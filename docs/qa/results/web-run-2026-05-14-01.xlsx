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Test Cases" sheetId="3" state="visible" r:id="rId3"/>
  </sheets>
  <definedNames>
    <definedName name="_xlnm._FilterDatabase" localSheetId="2" hidden="1">'Test Cases'!$A$1:$O$3349</definedName>
  </definedNames>
  <calcPr calcId="124519" fullCalcOnLoad="1"/>
</workbook>
</file>

<file path=xl/styles.xml><?xml version="1.0" encoding="utf-8"?>
<styleSheet xmlns="http://schemas.openxmlformats.org/spreadsheetml/2006/main">
  <numFmts count="1">
    <numFmt numFmtId="164" formatCode="0.0%;0.0%;-"/>
  </numFmts>
  <fonts count="6">
    <font>
      <name val="Calibri"/>
      <family val="2"/>
      <color theme="1"/>
      <sz val="11"/>
      <scheme val="minor"/>
    </font>
    <font>
      <name val="Arial"/>
      <b val="1"/>
      <color rgb="00FFFFFF"/>
      <sz val="14"/>
    </font>
    <font>
      <name val="Arial"/>
      <b val="1"/>
      <sz val="10"/>
    </font>
    <font>
      <name val="Arial"/>
      <sz val="10"/>
    </font>
    <font>
      <name val="Arial"/>
      <b val="1"/>
      <color rgb="00FFFFFF"/>
      <sz val="11"/>
    </font>
    <font>
      <name val="Arial"/>
      <b val="1"/>
      <color rgb="00FFFFFF"/>
      <sz val="12"/>
    </font>
  </fonts>
  <fills count="8">
    <fill>
      <patternFill/>
    </fill>
    <fill>
      <patternFill patternType="gray125"/>
    </fill>
    <fill>
      <patternFill patternType="solid">
        <fgColor rgb="004F46E5"/>
      </patternFill>
    </fill>
    <fill>
      <patternFill patternType="solid">
        <fgColor rgb="006D28D9"/>
      </patternFill>
    </fill>
    <fill>
      <patternFill patternType="solid">
        <fgColor rgb="00EDE9FE"/>
      </patternFill>
    </fill>
    <fill>
      <patternFill patternType="solid">
        <fgColor rgb="00FEE2E2"/>
      </patternFill>
    </fill>
    <fill>
      <patternFill patternType="solid">
        <fgColor rgb="00FEF3C7"/>
      </patternFill>
    </fill>
    <fill>
      <patternFill patternType="solid">
        <fgColor rgb="00DCFCE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center" vertical="center" wrapText="1"/>
    </xf>
    <xf numFmtId="164" fontId="3" fillId="0" borderId="1" applyAlignment="1" pivotButton="0" quotePrefix="0" xfId="0">
      <alignment horizontal="center" vertical="center" wrapText="1"/>
    </xf>
    <xf numFmtId="0" fontId="5" fillId="3" borderId="1" pivotButton="0" quotePrefix="0" xfId="0"/>
    <xf numFmtId="0" fontId="2" fillId="4" borderId="1" applyAlignment="1" pivotButton="0" quotePrefix="0" xfId="0">
      <alignment horizontal="center" vertical="center" wrapText="1"/>
    </xf>
    <xf numFmtId="164" fontId="2" fillId="4" borderId="1" applyAlignment="1" pivotButton="0" quotePrefix="0" xfId="0">
      <alignment horizontal="center" vertical="center" wrapText="1"/>
    </xf>
    <xf numFmtId="0" fontId="5" fillId="3" borderId="0"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left" vertical="top" wrapText="1"/>
    </xf>
  </cellXfs>
  <cellStyles count="1">
    <cellStyle name="Normal" xfId="0" builtinId="0" hidden="0"/>
  </cellStyles>
  <dxfs count="8">
    <dxf>
      <fill>
        <patternFill patternType="solid">
          <fgColor rgb="00BBF7D0"/>
        </patternFill>
      </fill>
    </dxf>
    <dxf>
      <fill>
        <patternFill patternType="solid">
          <fgColor rgb="00FECACA"/>
        </patternFill>
      </fill>
    </dxf>
    <dxf>
      <fill>
        <patternFill patternType="solid">
          <fgColor rgb="00FED7AA"/>
        </patternFill>
      </fill>
    </dxf>
    <dxf>
      <fill>
        <patternFill patternType="solid">
          <fgColor rgb="00E5E7EB"/>
        </patternFill>
      </fill>
    </dxf>
    <dxf>
      <fill>
        <patternFill patternType="solid">
          <fgColor rgb="00DBEAFE"/>
        </patternFill>
      </fill>
    </dxf>
    <dxf>
      <fill>
        <patternFill patternType="solid">
          <fgColor rgb="00FEE2E2"/>
        </patternFill>
      </fill>
    </dxf>
    <dxf>
      <fill>
        <patternFill patternType="solid">
          <fgColor rgb="00FEF3C7"/>
        </patternFill>
      </fill>
    </dxf>
    <dxf>
      <fill>
        <patternFill patternType="solid">
          <fgColor rgb="00DCFC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28" customWidth="1" min="1" max="1"/>
    <col width="120" customWidth="1" min="2" max="2"/>
  </cols>
  <sheetData>
    <row r="1" ht="30" customHeight="1">
      <c r="A1" s="1" t="inlineStr">
        <is>
          <t>APICircle Studio - Web App Manual Test Cases</t>
        </is>
      </c>
    </row>
    <row r="2">
      <c r="A2" s="2" t="inlineStr">
        <is>
          <t>Platform</t>
        </is>
      </c>
      <c r="B2" s="3" t="inlineStr">
        <is>
          <t>web</t>
        </is>
      </c>
    </row>
    <row r="3">
      <c r="A3" s="2" t="inlineStr">
        <is>
          <t>Document owner</t>
        </is>
      </c>
      <c r="B3" s="3" t="inlineStr">
        <is>
          <t>QA Engineering</t>
        </is>
      </c>
    </row>
    <row r="4">
      <c r="A4" s="2" t="inlineStr">
        <is>
          <t>Build under test</t>
        </is>
      </c>
      <c r="B4" s="3" t="inlineStr">
        <is>
          <t>Fill in version before each cycle.</t>
        </is>
      </c>
    </row>
    <row r="5">
      <c r="A5" s="2" t="inlineStr">
        <is>
          <t>Test environment</t>
        </is>
      </c>
      <c r="B5" s="3" t="inlineStr">
        <is>
          <t>OS, browser/Electron version, network, vault state.</t>
        </is>
      </c>
    </row>
    <row r="6">
      <c r="A6" s="2" t="inlineStr">
        <is>
          <t>Last updated</t>
        </is>
      </c>
      <c r="B6" s="3" t="inlineStr">
        <is>
          <t>2026-05-14</t>
        </is>
      </c>
    </row>
    <row r="7">
      <c r="A7" s="2" t="inlineStr">
        <is>
          <t>Total test cases</t>
        </is>
      </c>
      <c r="B7" s="3" t="inlineStr">
        <is>
          <t>3348</t>
        </is>
      </c>
    </row>
    <row r="8">
      <c r="A8" s="2" t="inlineStr"/>
      <c r="B8" s="3" t="inlineStr"/>
    </row>
    <row r="9">
      <c r="A9" s="2" t="inlineStr">
        <is>
          <t>Scope</t>
        </is>
      </c>
      <c r="B9" s="3" t="inlineStr">
        <is>
          <t>Covers the APICircle Studio web build (apps/web). OAuth2 uses popup + BroadcastChannel relay. Mock-server runtime is disabled (definitions remain editable). Data persists in IndexedDB; secrets are encrypted via passphrase-derived AES-GCM with the master JWK stored wrapped in IndexedDB.</t>
        </is>
      </c>
    </row>
    <row r="10">
      <c r="A10" s="2" t="inlineStr"/>
      <c r="B10" s="3" t="inlineStr"/>
    </row>
    <row r="11">
      <c r="A11" s="2" t="inlineStr">
        <is>
          <t>Combinatorial coverage included</t>
        </is>
      </c>
      <c r="B11" s="3" t="inlineStr"/>
    </row>
    <row r="12">
      <c r="A12" s="2" t="inlineStr">
        <is>
          <t>HTTP Method x Body Type matrix</t>
        </is>
      </c>
      <c r="B12" s="3" t="inlineStr">
        <is>
          <t>7 methods x 9 body types (every cell)</t>
        </is>
      </c>
    </row>
    <row r="13">
      <c r="A13" s="2" t="inlineStr">
        <is>
          <t>Auth x Method matrix</t>
        </is>
      </c>
      <c r="B13" s="3" t="inlineStr">
        <is>
          <t>17 auth schemes x 4 representative methods</t>
        </is>
      </c>
    </row>
    <row r="14">
      <c r="A14" s="2" t="inlineStr">
        <is>
          <t>Body content variations</t>
        </is>
      </c>
      <c r="B14" s="3" t="inlineStr">
        <is>
          <t>JSON/XML/form-data/binary/urlencoded/GraphQL edge cases</t>
        </is>
      </c>
    </row>
    <row r="15">
      <c r="A15" s="2" t="inlineStr">
        <is>
          <t>Variable interpolation matrix</t>
        </is>
      </c>
      <c r="B15" s="3" t="inlineStr">
        <is>
          <t>15 surfaces x 7 scopes</t>
        </is>
      </c>
    </row>
    <row r="16">
      <c r="A16" s="2" t="inlineStr">
        <is>
          <t>Changes-to-Push view</t>
        </is>
      </c>
      <c r="B16" s="3" t="inlineStr">
        <is>
          <t>21 entity buckets x 3 operations (Added/Modified/Removed) plus per-field modifies</t>
        </is>
      </c>
    </row>
    <row r="17">
      <c r="A17" s="2" t="inlineStr">
        <is>
          <t>Git conflict matrix</t>
        </is>
      </c>
      <c r="B17" s="3" t="inlineStr">
        <is>
          <t>18 buckets x 10 conflict shapes + 3 resolution strategies</t>
        </is>
      </c>
    </row>
    <row r="18">
      <c r="A18" s="2" t="inlineStr">
        <is>
          <t>Mock response matrix</t>
        </is>
      </c>
      <c r="B18" s="3" t="inlineStr">
        <is>
          <t>15 status codes x 8 content types + matching rules + timing</t>
        </is>
      </c>
    </row>
    <row r="19">
      <c r="A19" s="2" t="inlineStr">
        <is>
          <t>Headers deep matrix</t>
        </is>
      </c>
      <c r="B19" s="3" t="inlineStr">
        <is>
          <t>17 standard headers + 20 edge cases</t>
        </is>
      </c>
    </row>
    <row r="20">
      <c r="A20" s="2" t="inlineStr">
        <is>
          <t>JSON Schema references</t>
        </is>
      </c>
      <c r="B20" s="3" t="inlineStr">
        <is>
          <t>$ref depth, composition, circular, external, validation</t>
        </is>
      </c>
    </row>
    <row r="21">
      <c r="A21" s="2" t="inlineStr">
        <is>
          <t>Workspace restore round-trip</t>
        </is>
      </c>
      <c r="B21" s="3" t="inlineStr">
        <is>
          <t>23 data types verified after re-clone</t>
        </is>
      </c>
    </row>
    <row r="22">
      <c r="A22" s="2" t="inlineStr">
        <is>
          <t>History replay matrix</t>
        </is>
      </c>
      <c r="B22" s="3" t="inlineStr">
        <is>
          <t>19 replay scenarios including auth/var/cookie semantics</t>
        </is>
      </c>
    </row>
    <row r="23">
      <c r="A23" s="2" t="inlineStr">
        <is>
          <t>HTTP method edge cases</t>
        </is>
      </c>
      <c r="B23" s="3" t="inlineStr">
        <is>
          <t>GET-with-body, DELETE-with-body, HEAD-with-body, OPTIONS preflight, custom methods</t>
        </is>
      </c>
    </row>
    <row r="24">
      <c r="A24" s="2" t="inlineStr"/>
      <c r="B24" s="3" t="inlineStr"/>
    </row>
    <row r="25">
      <c r="A25" s="2" t="inlineStr">
        <is>
          <t>How to use this workbook</t>
        </is>
      </c>
      <c r="B25" s="3" t="inlineStr"/>
    </row>
    <row r="26">
      <c r="A26" s="2" t="inlineStr">
        <is>
          <t>1.</t>
        </is>
      </c>
      <c r="B26" s="3" t="inlineStr">
        <is>
          <t>Open the 'Test Cases' sheet. Filters are enabled on every column.</t>
        </is>
      </c>
    </row>
    <row r="27">
      <c r="A27" s="2" t="inlineStr">
        <is>
          <t>2.</t>
        </is>
      </c>
      <c r="B27" s="3" t="inlineStr">
        <is>
          <t>Pick a module (column B), Test Type (column D), or priority (column L) to scope your session.</t>
        </is>
      </c>
    </row>
    <row r="28">
      <c r="A28" s="2" t="inlineStr">
        <is>
          <t>3.</t>
        </is>
      </c>
      <c r="B28" s="3" t="inlineStr">
        <is>
          <t>For each row, follow the steps in 'Test Steps' (column G) using 'Test Data' (column H).</t>
        </is>
      </c>
    </row>
    <row r="29">
      <c r="A29" s="2" t="inlineStr">
        <is>
          <t>4.</t>
        </is>
      </c>
      <c r="B29" s="3" t="inlineStr">
        <is>
          <t>Compare what you see against 'Expected Result' (column I).</t>
        </is>
      </c>
    </row>
    <row r="30">
      <c r="A30" s="2" t="inlineStr">
        <is>
          <t>5.</t>
        </is>
      </c>
      <c r="B30" s="3" t="inlineStr">
        <is>
          <t>Record what you saw in 'Actual Result' (column J).</t>
        </is>
      </c>
    </row>
    <row r="31">
      <c r="A31" s="2" t="inlineStr">
        <is>
          <t>6.</t>
        </is>
      </c>
      <c r="B31" s="3" t="inlineStr">
        <is>
          <t>Set 'Status' (column K) to Pass / Fail / Blocked / Skipped / Not Run.</t>
        </is>
      </c>
    </row>
    <row r="32">
      <c r="A32" s="2" t="inlineStr">
        <is>
          <t>7.</t>
        </is>
      </c>
      <c r="B32" s="3" t="inlineStr">
        <is>
          <t>Add 'Tester' (column M), 'Test Date' (column N), and a defect link in 'Notes' (column O).</t>
        </is>
      </c>
    </row>
    <row r="33">
      <c r="A33" s="2" t="inlineStr"/>
      <c r="B33" s="3" t="inlineStr"/>
    </row>
    <row r="34">
      <c r="A34" s="2" t="inlineStr">
        <is>
          <t>Status values</t>
        </is>
      </c>
      <c r="B34" s="3" t="inlineStr">
        <is>
          <t>Pass, Fail, Blocked, Skipped, Not Run</t>
        </is>
      </c>
    </row>
    <row r="35">
      <c r="A35" s="2" t="inlineStr">
        <is>
          <t>Priority values</t>
        </is>
      </c>
      <c r="B35" s="3" t="inlineStr">
        <is>
          <t>High, Medium, Low</t>
        </is>
      </c>
    </row>
    <row r="36">
      <c r="A36" s="2" t="inlineStr">
        <is>
          <t>Test Type values</t>
        </is>
      </c>
      <c r="B36" s="3" t="inlineStr">
        <is>
          <t>Functional, Negative, Edge Case, Security, A11y, Performance, Compatibility, UX/UI, Regression</t>
        </is>
      </c>
    </row>
    <row r="37">
      <c r="A37" s="2" t="inlineStr"/>
      <c r="B37" s="3" t="inlineStr"/>
    </row>
    <row r="38">
      <c r="A38" s="2" t="inlineStr">
        <is>
          <t>Summary dashboard</t>
        </is>
      </c>
      <c r="B38" s="3" t="inlineStr">
        <is>
          <t>The 'Summary' sheet auto-aggregates counts by module, priority, and test type via formulas. Do not edit manually.</t>
        </is>
      </c>
    </row>
    <row r="39">
      <c r="A39" s="2" t="inlineStr"/>
      <c r="B39" s="3" t="inlineStr"/>
    </row>
    <row r="40">
      <c r="A40" s="2" t="inlineStr">
        <is>
          <t>Prioritized smoke pass</t>
        </is>
      </c>
      <c r="B40" s="3" t="inlineStr">
        <is>
          <t>Filter Priority='High' for a smoke pass (covers OAuth, push/pull, every body type happy path, auth happy paths, JSON schema basics).</t>
        </is>
      </c>
    </row>
    <row r="41">
      <c r="A41" s="2" t="inlineStr">
        <is>
          <t>Defect tracking</t>
        </is>
      </c>
      <c r="B41" s="3" t="inlineStr">
        <is>
          <t>Use column O to link the issue tracker for failed rows.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7"/>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ht="28" customHeight="1">
      <c r="A1" s="1" t="inlineStr">
        <is>
          <t>Test Execution Summary - Web</t>
        </is>
      </c>
    </row>
    <row r="3">
      <c r="A3" s="4" t="inlineStr">
        <is>
          <t>Module</t>
        </is>
      </c>
      <c r="B3" s="4" t="inlineStr">
        <is>
          <t>Total</t>
        </is>
      </c>
      <c r="C3" s="4" t="inlineStr">
        <is>
          <t>Not Run</t>
        </is>
      </c>
      <c r="D3" s="4" t="inlineStr">
        <is>
          <t>Pass</t>
        </is>
      </c>
      <c r="E3" s="4" t="inlineStr">
        <is>
          <t>Fail</t>
        </is>
      </c>
      <c r="F3" s="4" t="inlineStr">
        <is>
          <t>Blocked</t>
        </is>
      </c>
      <c r="G3" s="4" t="inlineStr">
        <is>
          <t>Skipped</t>
        </is>
      </c>
      <c r="H3" s="4" t="inlineStr">
        <is>
          <t>Pass %</t>
        </is>
      </c>
    </row>
    <row r="4">
      <c r="A4" s="5" t="inlineStr">
        <is>
          <t>Workspace Management</t>
        </is>
      </c>
      <c r="B4" s="6">
        <f>COUNTIF('Test Cases'!B:B,"Workspace Management")</f>
        <v/>
      </c>
      <c r="C4" s="6">
        <f>COUNTIFS('Test Cases'!B:B,"Workspace Management",'Test Cases'!K:K,"Not Run")</f>
        <v/>
      </c>
      <c r="D4" s="6">
        <f>COUNTIFS('Test Cases'!B:B,"Workspace Management",'Test Cases'!K:K,"Pass")</f>
        <v/>
      </c>
      <c r="E4" s="6">
        <f>COUNTIFS('Test Cases'!B:B,"Workspace Management",'Test Cases'!K:K,"Fail")</f>
        <v/>
      </c>
      <c r="F4" s="6">
        <f>COUNTIFS('Test Cases'!B:B,"Workspace Management",'Test Cases'!K:K,"Blocked")</f>
        <v/>
      </c>
      <c r="G4" s="6">
        <f>COUNTIFS('Test Cases'!B:B,"Workspace Management",'Test Cases'!K:K,"Skipped")</f>
        <v/>
      </c>
      <c r="H4" s="7">
        <f>IFERROR(D4/(D4+E4),"-")</f>
        <v/>
      </c>
    </row>
    <row r="5">
      <c r="A5" s="5" t="inlineStr">
        <is>
          <t>Collections &amp; Requests</t>
        </is>
      </c>
      <c r="B5" s="6">
        <f>COUNTIF('Test Cases'!B:B,"Collections &amp; Requests")</f>
        <v/>
      </c>
      <c r="C5" s="6">
        <f>COUNTIFS('Test Cases'!B:B,"Collections &amp; Requests",'Test Cases'!K:K,"Not Run")</f>
        <v/>
      </c>
      <c r="D5" s="6">
        <f>COUNTIFS('Test Cases'!B:B,"Collections &amp; Requests",'Test Cases'!K:K,"Pass")</f>
        <v/>
      </c>
      <c r="E5" s="6">
        <f>COUNTIFS('Test Cases'!B:B,"Collections &amp; Requests",'Test Cases'!K:K,"Fail")</f>
        <v/>
      </c>
      <c r="F5" s="6">
        <f>COUNTIFS('Test Cases'!B:B,"Collections &amp; Requests",'Test Cases'!K:K,"Blocked")</f>
        <v/>
      </c>
      <c r="G5" s="6">
        <f>COUNTIFS('Test Cases'!B:B,"Collections &amp; Requests",'Test Cases'!K:K,"Skipped")</f>
        <v/>
      </c>
      <c r="H5" s="7">
        <f>IFERROR(D5/(D5+E5),"-")</f>
        <v/>
      </c>
    </row>
    <row r="6">
      <c r="A6" s="5" t="inlineStr">
        <is>
          <t>Request Editor</t>
        </is>
      </c>
      <c r="B6" s="6">
        <f>COUNTIF('Test Cases'!B:B,"Request Editor")</f>
        <v/>
      </c>
      <c r="C6" s="6">
        <f>COUNTIFS('Test Cases'!B:B,"Request Editor",'Test Cases'!K:K,"Not Run")</f>
        <v/>
      </c>
      <c r="D6" s="6">
        <f>COUNTIFS('Test Cases'!B:B,"Request Editor",'Test Cases'!K:K,"Pass")</f>
        <v/>
      </c>
      <c r="E6" s="6">
        <f>COUNTIFS('Test Cases'!B:B,"Request Editor",'Test Cases'!K:K,"Fail")</f>
        <v/>
      </c>
      <c r="F6" s="6">
        <f>COUNTIFS('Test Cases'!B:B,"Request Editor",'Test Cases'!K:K,"Blocked")</f>
        <v/>
      </c>
      <c r="G6" s="6">
        <f>COUNTIFS('Test Cases'!B:B,"Request Editor",'Test Cases'!K:K,"Skipped")</f>
        <v/>
      </c>
      <c r="H6" s="7">
        <f>IFERROR(D6/(D6+E6),"-")</f>
        <v/>
      </c>
    </row>
    <row r="7">
      <c r="A7" s="5" t="inlineStr">
        <is>
          <t>Body Editor</t>
        </is>
      </c>
      <c r="B7" s="6">
        <f>COUNTIF('Test Cases'!B:B,"Body Editor")</f>
        <v/>
      </c>
      <c r="C7" s="6">
        <f>COUNTIFS('Test Cases'!B:B,"Body Editor",'Test Cases'!K:K,"Not Run")</f>
        <v/>
      </c>
      <c r="D7" s="6">
        <f>COUNTIFS('Test Cases'!B:B,"Body Editor",'Test Cases'!K:K,"Pass")</f>
        <v/>
      </c>
      <c r="E7" s="6">
        <f>COUNTIFS('Test Cases'!B:B,"Body Editor",'Test Cases'!K:K,"Fail")</f>
        <v/>
      </c>
      <c r="F7" s="6">
        <f>COUNTIFS('Test Cases'!B:B,"Body Editor",'Test Cases'!K:K,"Blocked")</f>
        <v/>
      </c>
      <c r="G7" s="6">
        <f>COUNTIFS('Test Cases'!B:B,"Body Editor",'Test Cases'!K:K,"Skipped")</f>
        <v/>
      </c>
      <c r="H7" s="7">
        <f>IFERROR(D7/(D7+E7),"-")</f>
        <v/>
      </c>
    </row>
    <row r="8">
      <c r="A8" s="5" t="inlineStr">
        <is>
          <t>Body Content Variations</t>
        </is>
      </c>
      <c r="B8" s="6">
        <f>COUNTIF('Test Cases'!B:B,"Body Content Variations")</f>
        <v/>
      </c>
      <c r="C8" s="6">
        <f>COUNTIFS('Test Cases'!B:B,"Body Content Variations",'Test Cases'!K:K,"Not Run")</f>
        <v/>
      </c>
      <c r="D8" s="6">
        <f>COUNTIFS('Test Cases'!B:B,"Body Content Variations",'Test Cases'!K:K,"Pass")</f>
        <v/>
      </c>
      <c r="E8" s="6">
        <f>COUNTIFS('Test Cases'!B:B,"Body Content Variations",'Test Cases'!K:K,"Fail")</f>
        <v/>
      </c>
      <c r="F8" s="6">
        <f>COUNTIFS('Test Cases'!B:B,"Body Content Variations",'Test Cases'!K:K,"Blocked")</f>
        <v/>
      </c>
      <c r="G8" s="6">
        <f>COUNTIFS('Test Cases'!B:B,"Body Content Variations",'Test Cases'!K:K,"Skipped")</f>
        <v/>
      </c>
      <c r="H8" s="7">
        <f>IFERROR(D8/(D8+E8),"-")</f>
        <v/>
      </c>
    </row>
    <row r="9">
      <c r="A9" s="5" t="inlineStr">
        <is>
          <t>Method x Body Matrix</t>
        </is>
      </c>
      <c r="B9" s="6">
        <f>COUNTIF('Test Cases'!B:B,"Method x Body Matrix")</f>
        <v/>
      </c>
      <c r="C9" s="6">
        <f>COUNTIFS('Test Cases'!B:B,"Method x Body Matrix",'Test Cases'!K:K,"Not Run")</f>
        <v/>
      </c>
      <c r="D9" s="6">
        <f>COUNTIFS('Test Cases'!B:B,"Method x Body Matrix",'Test Cases'!K:K,"Pass")</f>
        <v/>
      </c>
      <c r="E9" s="6">
        <f>COUNTIFS('Test Cases'!B:B,"Method x Body Matrix",'Test Cases'!K:K,"Fail")</f>
        <v/>
      </c>
      <c r="F9" s="6">
        <f>COUNTIFS('Test Cases'!B:B,"Method x Body Matrix",'Test Cases'!K:K,"Blocked")</f>
        <v/>
      </c>
      <c r="G9" s="6">
        <f>COUNTIFS('Test Cases'!B:B,"Method x Body Matrix",'Test Cases'!K:K,"Skipped")</f>
        <v/>
      </c>
      <c r="H9" s="7">
        <f>IFERROR(D9/(D9+E9),"-")</f>
        <v/>
      </c>
    </row>
    <row r="10">
      <c r="A10" s="5" t="inlineStr">
        <is>
          <t>HTTP Method Edge Cases</t>
        </is>
      </c>
      <c r="B10" s="6">
        <f>COUNTIF('Test Cases'!B:B,"HTTP Method Edge Cases")</f>
        <v/>
      </c>
      <c r="C10" s="6">
        <f>COUNTIFS('Test Cases'!B:B,"HTTP Method Edge Cases",'Test Cases'!K:K,"Not Run")</f>
        <v/>
      </c>
      <c r="D10" s="6">
        <f>COUNTIFS('Test Cases'!B:B,"HTTP Method Edge Cases",'Test Cases'!K:K,"Pass")</f>
        <v/>
      </c>
      <c r="E10" s="6">
        <f>COUNTIFS('Test Cases'!B:B,"HTTP Method Edge Cases",'Test Cases'!K:K,"Fail")</f>
        <v/>
      </c>
      <c r="F10" s="6">
        <f>COUNTIFS('Test Cases'!B:B,"HTTP Method Edge Cases",'Test Cases'!K:K,"Blocked")</f>
        <v/>
      </c>
      <c r="G10" s="6">
        <f>COUNTIFS('Test Cases'!B:B,"HTTP Method Edge Cases",'Test Cases'!K:K,"Skipped")</f>
        <v/>
      </c>
      <c r="H10" s="7">
        <f>IFERROR(D10/(D10+E10),"-")</f>
        <v/>
      </c>
    </row>
    <row r="11">
      <c r="A11" s="5" t="inlineStr">
        <is>
          <t>Authentication</t>
        </is>
      </c>
      <c r="B11" s="6">
        <f>COUNTIF('Test Cases'!B:B,"Authentication")</f>
        <v/>
      </c>
      <c r="C11" s="6">
        <f>COUNTIFS('Test Cases'!B:B,"Authentication",'Test Cases'!K:K,"Not Run")</f>
        <v/>
      </c>
      <c r="D11" s="6">
        <f>COUNTIFS('Test Cases'!B:B,"Authentication",'Test Cases'!K:K,"Pass")</f>
        <v/>
      </c>
      <c r="E11" s="6">
        <f>COUNTIFS('Test Cases'!B:B,"Authentication",'Test Cases'!K:K,"Fail")</f>
        <v/>
      </c>
      <c r="F11" s="6">
        <f>COUNTIFS('Test Cases'!B:B,"Authentication",'Test Cases'!K:K,"Blocked")</f>
        <v/>
      </c>
      <c r="G11" s="6">
        <f>COUNTIFS('Test Cases'!B:B,"Authentication",'Test Cases'!K:K,"Skipped")</f>
        <v/>
      </c>
      <c r="H11" s="7">
        <f>IFERROR(D11/(D11+E11),"-")</f>
        <v/>
      </c>
    </row>
    <row r="12">
      <c r="A12" s="5" t="inlineStr">
        <is>
          <t>Auth x Method Matrix</t>
        </is>
      </c>
      <c r="B12" s="6">
        <f>COUNTIF('Test Cases'!B:B,"Auth x Method Matrix")</f>
        <v/>
      </c>
      <c r="C12" s="6">
        <f>COUNTIFS('Test Cases'!B:B,"Auth x Method Matrix",'Test Cases'!K:K,"Not Run")</f>
        <v/>
      </c>
      <c r="D12" s="6">
        <f>COUNTIFS('Test Cases'!B:B,"Auth x Method Matrix",'Test Cases'!K:K,"Pass")</f>
        <v/>
      </c>
      <c r="E12" s="6">
        <f>COUNTIFS('Test Cases'!B:B,"Auth x Method Matrix",'Test Cases'!K:K,"Fail")</f>
        <v/>
      </c>
      <c r="F12" s="6">
        <f>COUNTIFS('Test Cases'!B:B,"Auth x Method Matrix",'Test Cases'!K:K,"Blocked")</f>
        <v/>
      </c>
      <c r="G12" s="6">
        <f>COUNTIFS('Test Cases'!B:B,"Auth x Method Matrix",'Test Cases'!K:K,"Skipped")</f>
        <v/>
      </c>
      <c r="H12" s="7">
        <f>IFERROR(D12/(D12+E12),"-")</f>
        <v/>
      </c>
    </row>
    <row r="13">
      <c r="A13" s="5" t="inlineStr">
        <is>
          <t>OAuth2 Flows</t>
        </is>
      </c>
      <c r="B13" s="6">
        <f>COUNTIF('Test Cases'!B:B,"OAuth2 Flows")</f>
        <v/>
      </c>
      <c r="C13" s="6">
        <f>COUNTIFS('Test Cases'!B:B,"OAuth2 Flows",'Test Cases'!K:K,"Not Run")</f>
        <v/>
      </c>
      <c r="D13" s="6">
        <f>COUNTIFS('Test Cases'!B:B,"OAuth2 Flows",'Test Cases'!K:K,"Pass")</f>
        <v/>
      </c>
      <c r="E13" s="6">
        <f>COUNTIFS('Test Cases'!B:B,"OAuth2 Flows",'Test Cases'!K:K,"Fail")</f>
        <v/>
      </c>
      <c r="F13" s="6">
        <f>COUNTIFS('Test Cases'!B:B,"OAuth2 Flows",'Test Cases'!K:K,"Blocked")</f>
        <v/>
      </c>
      <c r="G13" s="6">
        <f>COUNTIFS('Test Cases'!B:B,"OAuth2 Flows",'Test Cases'!K:K,"Skipped")</f>
        <v/>
      </c>
      <c r="H13" s="7">
        <f>IFERROR(D13/(D13+E13),"-")</f>
        <v/>
      </c>
    </row>
    <row r="14">
      <c r="A14" s="5" t="inlineStr">
        <is>
          <t>Variables &amp; Environments</t>
        </is>
      </c>
      <c r="B14" s="6">
        <f>COUNTIF('Test Cases'!B:B,"Variables &amp; Environments")</f>
        <v/>
      </c>
      <c r="C14" s="6">
        <f>COUNTIFS('Test Cases'!B:B,"Variables &amp; Environments",'Test Cases'!K:K,"Not Run")</f>
        <v/>
      </c>
      <c r="D14" s="6">
        <f>COUNTIFS('Test Cases'!B:B,"Variables &amp; Environments",'Test Cases'!K:K,"Pass")</f>
        <v/>
      </c>
      <c r="E14" s="6">
        <f>COUNTIFS('Test Cases'!B:B,"Variables &amp; Environments",'Test Cases'!K:K,"Fail")</f>
        <v/>
      </c>
      <c r="F14" s="6">
        <f>COUNTIFS('Test Cases'!B:B,"Variables &amp; Environments",'Test Cases'!K:K,"Blocked")</f>
        <v/>
      </c>
      <c r="G14" s="6">
        <f>COUNTIFS('Test Cases'!B:B,"Variables &amp; Environments",'Test Cases'!K:K,"Skipped")</f>
        <v/>
      </c>
      <c r="H14" s="7">
        <f>IFERROR(D14/(D14+E14),"-")</f>
        <v/>
      </c>
    </row>
    <row r="15">
      <c r="A15" s="5" t="inlineStr">
        <is>
          <t>Variable Interpolation Matrix</t>
        </is>
      </c>
      <c r="B15" s="6">
        <f>COUNTIF('Test Cases'!B:B,"Variable Interpolation Matrix")</f>
        <v/>
      </c>
      <c r="C15" s="6">
        <f>COUNTIFS('Test Cases'!B:B,"Variable Interpolation Matrix",'Test Cases'!K:K,"Not Run")</f>
        <v/>
      </c>
      <c r="D15" s="6">
        <f>COUNTIFS('Test Cases'!B:B,"Variable Interpolation Matrix",'Test Cases'!K:K,"Pass")</f>
        <v/>
      </c>
      <c r="E15" s="6">
        <f>COUNTIFS('Test Cases'!B:B,"Variable Interpolation Matrix",'Test Cases'!K:K,"Fail")</f>
        <v/>
      </c>
      <c r="F15" s="6">
        <f>COUNTIFS('Test Cases'!B:B,"Variable Interpolation Matrix",'Test Cases'!K:K,"Blocked")</f>
        <v/>
      </c>
      <c r="G15" s="6">
        <f>COUNTIFS('Test Cases'!B:B,"Variable Interpolation Matrix",'Test Cases'!K:K,"Skipped")</f>
        <v/>
      </c>
      <c r="H15" s="7">
        <f>IFERROR(D15/(D15+E15),"-")</f>
        <v/>
      </c>
    </row>
    <row r="16">
      <c r="A16" s="5" t="inlineStr">
        <is>
          <t>Headers Deep Matrix</t>
        </is>
      </c>
      <c r="B16" s="6">
        <f>COUNTIF('Test Cases'!B:B,"Headers Deep Matrix")</f>
        <v/>
      </c>
      <c r="C16" s="6">
        <f>COUNTIFS('Test Cases'!B:B,"Headers Deep Matrix",'Test Cases'!K:K,"Not Run")</f>
        <v/>
      </c>
      <c r="D16" s="6">
        <f>COUNTIFS('Test Cases'!B:B,"Headers Deep Matrix",'Test Cases'!K:K,"Pass")</f>
        <v/>
      </c>
      <c r="E16" s="6">
        <f>COUNTIFS('Test Cases'!B:B,"Headers Deep Matrix",'Test Cases'!K:K,"Fail")</f>
        <v/>
      </c>
      <c r="F16" s="6">
        <f>COUNTIFS('Test Cases'!B:B,"Headers Deep Matrix",'Test Cases'!K:K,"Blocked")</f>
        <v/>
      </c>
      <c r="G16" s="6">
        <f>COUNTIFS('Test Cases'!B:B,"Headers Deep Matrix",'Test Cases'!K:K,"Skipped")</f>
        <v/>
      </c>
      <c r="H16" s="7">
        <f>IFERROR(D16/(D16+E16),"-")</f>
        <v/>
      </c>
    </row>
    <row r="17">
      <c r="A17" s="5" t="inlineStr">
        <is>
          <t>Response Panel</t>
        </is>
      </c>
      <c r="B17" s="6">
        <f>COUNTIF('Test Cases'!B:B,"Response Panel")</f>
        <v/>
      </c>
      <c r="C17" s="6">
        <f>COUNTIFS('Test Cases'!B:B,"Response Panel",'Test Cases'!K:K,"Not Run")</f>
        <v/>
      </c>
      <c r="D17" s="6">
        <f>COUNTIFS('Test Cases'!B:B,"Response Panel",'Test Cases'!K:K,"Pass")</f>
        <v/>
      </c>
      <c r="E17" s="6">
        <f>COUNTIFS('Test Cases'!B:B,"Response Panel",'Test Cases'!K:K,"Fail")</f>
        <v/>
      </c>
      <c r="F17" s="6">
        <f>COUNTIFS('Test Cases'!B:B,"Response Panel",'Test Cases'!K:K,"Blocked")</f>
        <v/>
      </c>
      <c r="G17" s="6">
        <f>COUNTIFS('Test Cases'!B:B,"Response Panel",'Test Cases'!K:K,"Skipped")</f>
        <v/>
      </c>
      <c r="H17" s="7">
        <f>IFERROR(D17/(D17+E17),"-")</f>
        <v/>
      </c>
    </row>
    <row r="18">
      <c r="A18" s="5" t="inlineStr">
        <is>
          <t>Pre-request Scripts &amp; Tests</t>
        </is>
      </c>
      <c r="B18" s="6">
        <f>COUNTIF('Test Cases'!B:B,"Pre-request Scripts &amp; Tests")</f>
        <v/>
      </c>
      <c r="C18" s="6">
        <f>COUNTIFS('Test Cases'!B:B,"Pre-request Scripts &amp; Tests",'Test Cases'!K:K,"Not Run")</f>
        <v/>
      </c>
      <c r="D18" s="6">
        <f>COUNTIFS('Test Cases'!B:B,"Pre-request Scripts &amp; Tests",'Test Cases'!K:K,"Pass")</f>
        <v/>
      </c>
      <c r="E18" s="6">
        <f>COUNTIFS('Test Cases'!B:B,"Pre-request Scripts &amp; Tests",'Test Cases'!K:K,"Fail")</f>
        <v/>
      </c>
      <c r="F18" s="6">
        <f>COUNTIFS('Test Cases'!B:B,"Pre-request Scripts &amp; Tests",'Test Cases'!K:K,"Blocked")</f>
        <v/>
      </c>
      <c r="G18" s="6">
        <f>COUNTIFS('Test Cases'!B:B,"Pre-request Scripts &amp; Tests",'Test Cases'!K:K,"Skipped")</f>
        <v/>
      </c>
      <c r="H18" s="7">
        <f>IFERROR(D18/(D18+E18),"-")</f>
        <v/>
      </c>
    </row>
    <row r="19">
      <c r="A19" s="5" t="inlineStr">
        <is>
          <t>History</t>
        </is>
      </c>
      <c r="B19" s="6">
        <f>COUNTIF('Test Cases'!B:B,"History")</f>
        <v/>
      </c>
      <c r="C19" s="6">
        <f>COUNTIFS('Test Cases'!B:B,"History",'Test Cases'!K:K,"Not Run")</f>
        <v/>
      </c>
      <c r="D19" s="6">
        <f>COUNTIFS('Test Cases'!B:B,"History",'Test Cases'!K:K,"Pass")</f>
        <v/>
      </c>
      <c r="E19" s="6">
        <f>COUNTIFS('Test Cases'!B:B,"History",'Test Cases'!K:K,"Fail")</f>
        <v/>
      </c>
      <c r="F19" s="6">
        <f>COUNTIFS('Test Cases'!B:B,"History",'Test Cases'!K:K,"Blocked")</f>
        <v/>
      </c>
      <c r="G19" s="6">
        <f>COUNTIFS('Test Cases'!B:B,"History",'Test Cases'!K:K,"Skipped")</f>
        <v/>
      </c>
      <c r="H19" s="7">
        <f>IFERROR(D19/(D19+E19),"-")</f>
        <v/>
      </c>
    </row>
    <row r="20">
      <c r="A20" s="5" t="inlineStr">
        <is>
          <t>History Replay Matrix</t>
        </is>
      </c>
      <c r="B20" s="6">
        <f>COUNTIF('Test Cases'!B:B,"History Replay Matrix")</f>
        <v/>
      </c>
      <c r="C20" s="6">
        <f>COUNTIFS('Test Cases'!B:B,"History Replay Matrix",'Test Cases'!K:K,"Not Run")</f>
        <v/>
      </c>
      <c r="D20" s="6">
        <f>COUNTIFS('Test Cases'!B:B,"History Replay Matrix",'Test Cases'!K:K,"Pass")</f>
        <v/>
      </c>
      <c r="E20" s="6">
        <f>COUNTIFS('Test Cases'!B:B,"History Replay Matrix",'Test Cases'!K:K,"Fail")</f>
        <v/>
      </c>
      <c r="F20" s="6">
        <f>COUNTIFS('Test Cases'!B:B,"History Replay Matrix",'Test Cases'!K:K,"Blocked")</f>
        <v/>
      </c>
      <c r="G20" s="6">
        <f>COUNTIFS('Test Cases'!B:B,"History Replay Matrix",'Test Cases'!K:K,"Skipped")</f>
        <v/>
      </c>
      <c r="H20" s="7">
        <f>IFERROR(D20/(D20+E20),"-")</f>
        <v/>
      </c>
    </row>
    <row r="21">
      <c r="A21" s="5" t="inlineStr">
        <is>
          <t>Cookies</t>
        </is>
      </c>
      <c r="B21" s="6">
        <f>COUNTIF('Test Cases'!B:B,"Cookies")</f>
        <v/>
      </c>
      <c r="C21" s="6">
        <f>COUNTIFS('Test Cases'!B:B,"Cookies",'Test Cases'!K:K,"Not Run")</f>
        <v/>
      </c>
      <c r="D21" s="6">
        <f>COUNTIFS('Test Cases'!B:B,"Cookies",'Test Cases'!K:K,"Pass")</f>
        <v/>
      </c>
      <c r="E21" s="6">
        <f>COUNTIFS('Test Cases'!B:B,"Cookies",'Test Cases'!K:K,"Fail")</f>
        <v/>
      </c>
      <c r="F21" s="6">
        <f>COUNTIFS('Test Cases'!B:B,"Cookies",'Test Cases'!K:K,"Blocked")</f>
        <v/>
      </c>
      <c r="G21" s="6">
        <f>COUNTIFS('Test Cases'!B:B,"Cookies",'Test Cases'!K:K,"Skipped")</f>
        <v/>
      </c>
      <c r="H21" s="7">
        <f>IFERROR(D21/(D21+E21),"-")</f>
        <v/>
      </c>
    </row>
    <row r="22">
      <c r="A22" s="5" t="inlineStr">
        <is>
          <t>Mock Servers</t>
        </is>
      </c>
      <c r="B22" s="6">
        <f>COUNTIF('Test Cases'!B:B,"Mock Servers")</f>
        <v/>
      </c>
      <c r="C22" s="6">
        <f>COUNTIFS('Test Cases'!B:B,"Mock Servers",'Test Cases'!K:K,"Not Run")</f>
        <v/>
      </c>
      <c r="D22" s="6">
        <f>COUNTIFS('Test Cases'!B:B,"Mock Servers",'Test Cases'!K:K,"Pass")</f>
        <v/>
      </c>
      <c r="E22" s="6">
        <f>COUNTIFS('Test Cases'!B:B,"Mock Servers",'Test Cases'!K:K,"Fail")</f>
        <v/>
      </c>
      <c r="F22" s="6">
        <f>COUNTIFS('Test Cases'!B:B,"Mock Servers",'Test Cases'!K:K,"Blocked")</f>
        <v/>
      </c>
      <c r="G22" s="6">
        <f>COUNTIFS('Test Cases'!B:B,"Mock Servers",'Test Cases'!K:K,"Skipped")</f>
        <v/>
      </c>
      <c r="H22" s="7">
        <f>IFERROR(D22/(D22+E22),"-")</f>
        <v/>
      </c>
    </row>
    <row r="23">
      <c r="A23" s="5" t="inlineStr">
        <is>
          <t>Mock Response Matrix</t>
        </is>
      </c>
      <c r="B23" s="6">
        <f>COUNTIF('Test Cases'!B:B,"Mock Response Matrix")</f>
        <v/>
      </c>
      <c r="C23" s="6">
        <f>COUNTIFS('Test Cases'!B:B,"Mock Response Matrix",'Test Cases'!K:K,"Not Run")</f>
        <v/>
      </c>
      <c r="D23" s="6">
        <f>COUNTIFS('Test Cases'!B:B,"Mock Response Matrix",'Test Cases'!K:K,"Pass")</f>
        <v/>
      </c>
      <c r="E23" s="6">
        <f>COUNTIFS('Test Cases'!B:B,"Mock Response Matrix",'Test Cases'!K:K,"Fail")</f>
        <v/>
      </c>
      <c r="F23" s="6">
        <f>COUNTIFS('Test Cases'!B:B,"Mock Response Matrix",'Test Cases'!K:K,"Blocked")</f>
        <v/>
      </c>
      <c r="G23" s="6">
        <f>COUNTIFS('Test Cases'!B:B,"Mock Response Matrix",'Test Cases'!K:K,"Skipped")</f>
        <v/>
      </c>
      <c r="H23" s="7">
        <f>IFERROR(D23/(D23+E23),"-")</f>
        <v/>
      </c>
    </row>
    <row r="24">
      <c r="A24" s="5" t="inlineStr">
        <is>
          <t>Settings &amp; Theming</t>
        </is>
      </c>
      <c r="B24" s="6">
        <f>COUNTIF('Test Cases'!B:B,"Settings &amp; Theming")</f>
        <v/>
      </c>
      <c r="C24" s="6">
        <f>COUNTIFS('Test Cases'!B:B,"Settings &amp; Theming",'Test Cases'!K:K,"Not Run")</f>
        <v/>
      </c>
      <c r="D24" s="6">
        <f>COUNTIFS('Test Cases'!B:B,"Settings &amp; Theming",'Test Cases'!K:K,"Pass")</f>
        <v/>
      </c>
      <c r="E24" s="6">
        <f>COUNTIFS('Test Cases'!B:B,"Settings &amp; Theming",'Test Cases'!K:K,"Fail")</f>
        <v/>
      </c>
      <c r="F24" s="6">
        <f>COUNTIFS('Test Cases'!B:B,"Settings &amp; Theming",'Test Cases'!K:K,"Blocked")</f>
        <v/>
      </c>
      <c r="G24" s="6">
        <f>COUNTIFS('Test Cases'!B:B,"Settings &amp; Theming",'Test Cases'!K:K,"Skipped")</f>
        <v/>
      </c>
      <c r="H24" s="7">
        <f>IFERROR(D24/(D24+E24),"-")</f>
        <v/>
      </c>
    </row>
    <row r="25">
      <c r="A25" s="5" t="inlineStr">
        <is>
          <t>Import / Export</t>
        </is>
      </c>
      <c r="B25" s="6">
        <f>COUNTIF('Test Cases'!B:B,"Import / Export")</f>
        <v/>
      </c>
      <c r="C25" s="6">
        <f>COUNTIFS('Test Cases'!B:B,"Import / Export",'Test Cases'!K:K,"Not Run")</f>
        <v/>
      </c>
      <c r="D25" s="6">
        <f>COUNTIFS('Test Cases'!B:B,"Import / Export",'Test Cases'!K:K,"Pass")</f>
        <v/>
      </c>
      <c r="E25" s="6">
        <f>COUNTIFS('Test Cases'!B:B,"Import / Export",'Test Cases'!K:K,"Fail")</f>
        <v/>
      </c>
      <c r="F25" s="6">
        <f>COUNTIFS('Test Cases'!B:B,"Import / Export",'Test Cases'!K:K,"Blocked")</f>
        <v/>
      </c>
      <c r="G25" s="6">
        <f>COUNTIFS('Test Cases'!B:B,"Import / Export",'Test Cases'!K:K,"Skipped")</f>
        <v/>
      </c>
      <c r="H25" s="7">
        <f>IFERROR(D25/(D25+E25),"-")</f>
        <v/>
      </c>
    </row>
    <row r="26">
      <c r="A26" s="5" t="inlineStr">
        <is>
          <t>Git Integration</t>
        </is>
      </c>
      <c r="B26" s="6">
        <f>COUNTIF('Test Cases'!B:B,"Git Integration")</f>
        <v/>
      </c>
      <c r="C26" s="6">
        <f>COUNTIFS('Test Cases'!B:B,"Git Integration",'Test Cases'!K:K,"Not Run")</f>
        <v/>
      </c>
      <c r="D26" s="6">
        <f>COUNTIFS('Test Cases'!B:B,"Git Integration",'Test Cases'!K:K,"Pass")</f>
        <v/>
      </c>
      <c r="E26" s="6">
        <f>COUNTIFS('Test Cases'!B:B,"Git Integration",'Test Cases'!K:K,"Fail")</f>
        <v/>
      </c>
      <c r="F26" s="6">
        <f>COUNTIFS('Test Cases'!B:B,"Git Integration",'Test Cases'!K:K,"Blocked")</f>
        <v/>
      </c>
      <c r="G26" s="6">
        <f>COUNTIFS('Test Cases'!B:B,"Git Integration",'Test Cases'!K:K,"Skipped")</f>
        <v/>
      </c>
      <c r="H26" s="7">
        <f>IFERROR(D26/(D26+E26),"-")</f>
        <v/>
      </c>
    </row>
    <row r="27">
      <c r="A27" s="5" t="inlineStr">
        <is>
          <t>Changes-to-Push View</t>
        </is>
      </c>
      <c r="B27" s="6">
        <f>COUNTIF('Test Cases'!B:B,"Changes-to-Push View")</f>
        <v/>
      </c>
      <c r="C27" s="6">
        <f>COUNTIFS('Test Cases'!B:B,"Changes-to-Push View",'Test Cases'!K:K,"Not Run")</f>
        <v/>
      </c>
      <c r="D27" s="6">
        <f>COUNTIFS('Test Cases'!B:B,"Changes-to-Push View",'Test Cases'!K:K,"Pass")</f>
        <v/>
      </c>
      <c r="E27" s="6">
        <f>COUNTIFS('Test Cases'!B:B,"Changes-to-Push View",'Test Cases'!K:K,"Fail")</f>
        <v/>
      </c>
      <c r="F27" s="6">
        <f>COUNTIFS('Test Cases'!B:B,"Changes-to-Push View",'Test Cases'!K:K,"Blocked")</f>
        <v/>
      </c>
      <c r="G27" s="6">
        <f>COUNTIFS('Test Cases'!B:B,"Changes-to-Push View",'Test Cases'!K:K,"Skipped")</f>
        <v/>
      </c>
      <c r="H27" s="7">
        <f>IFERROR(D27/(D27+E27),"-")</f>
        <v/>
      </c>
    </row>
    <row r="28">
      <c r="A28" s="5" t="inlineStr">
        <is>
          <t>Git Conflict Matrix</t>
        </is>
      </c>
      <c r="B28" s="6">
        <f>COUNTIF('Test Cases'!B:B,"Git Conflict Matrix")</f>
        <v/>
      </c>
      <c r="C28" s="6">
        <f>COUNTIFS('Test Cases'!B:B,"Git Conflict Matrix",'Test Cases'!K:K,"Not Run")</f>
        <v/>
      </c>
      <c r="D28" s="6">
        <f>COUNTIFS('Test Cases'!B:B,"Git Conflict Matrix",'Test Cases'!K:K,"Pass")</f>
        <v/>
      </c>
      <c r="E28" s="6">
        <f>COUNTIFS('Test Cases'!B:B,"Git Conflict Matrix",'Test Cases'!K:K,"Fail")</f>
        <v/>
      </c>
      <c r="F28" s="6">
        <f>COUNTIFS('Test Cases'!B:B,"Git Conflict Matrix",'Test Cases'!K:K,"Blocked")</f>
        <v/>
      </c>
      <c r="G28" s="6">
        <f>COUNTIFS('Test Cases'!B:B,"Git Conflict Matrix",'Test Cases'!K:K,"Skipped")</f>
        <v/>
      </c>
      <c r="H28" s="7">
        <f>IFERROR(D28/(D28+E28),"-")</f>
        <v/>
      </c>
    </row>
    <row r="29">
      <c r="A29" s="5" t="inlineStr">
        <is>
          <t>Workspace Restore from Git</t>
        </is>
      </c>
      <c r="B29" s="6">
        <f>COUNTIF('Test Cases'!B:B,"Workspace Restore from Git")</f>
        <v/>
      </c>
      <c r="C29" s="6">
        <f>COUNTIFS('Test Cases'!B:B,"Workspace Restore from Git",'Test Cases'!K:K,"Not Run")</f>
        <v/>
      </c>
      <c r="D29" s="6">
        <f>COUNTIFS('Test Cases'!B:B,"Workspace Restore from Git",'Test Cases'!K:K,"Pass")</f>
        <v/>
      </c>
      <c r="E29" s="6">
        <f>COUNTIFS('Test Cases'!B:B,"Workspace Restore from Git",'Test Cases'!K:K,"Fail")</f>
        <v/>
      </c>
      <c r="F29" s="6">
        <f>COUNTIFS('Test Cases'!B:B,"Workspace Restore from Git",'Test Cases'!K:K,"Blocked")</f>
        <v/>
      </c>
      <c r="G29" s="6">
        <f>COUNTIFS('Test Cases'!B:B,"Workspace Restore from Git",'Test Cases'!K:K,"Skipped")</f>
        <v/>
      </c>
      <c r="H29" s="7">
        <f>IFERROR(D29/(D29+E29),"-")</f>
        <v/>
      </c>
    </row>
    <row r="30">
      <c r="A30" s="5" t="inlineStr">
        <is>
          <t>GraphQL</t>
        </is>
      </c>
      <c r="B30" s="6">
        <f>COUNTIF('Test Cases'!B:B,"GraphQL")</f>
        <v/>
      </c>
      <c r="C30" s="6">
        <f>COUNTIFS('Test Cases'!B:B,"GraphQL",'Test Cases'!K:K,"Not Run")</f>
        <v/>
      </c>
      <c r="D30" s="6">
        <f>COUNTIFS('Test Cases'!B:B,"GraphQL",'Test Cases'!K:K,"Pass")</f>
        <v/>
      </c>
      <c r="E30" s="6">
        <f>COUNTIFS('Test Cases'!B:B,"GraphQL",'Test Cases'!K:K,"Fail")</f>
        <v/>
      </c>
      <c r="F30" s="6">
        <f>COUNTIFS('Test Cases'!B:B,"GraphQL",'Test Cases'!K:K,"Blocked")</f>
        <v/>
      </c>
      <c r="G30" s="6">
        <f>COUNTIFS('Test Cases'!B:B,"GraphQL",'Test Cases'!K:K,"Skipped")</f>
        <v/>
      </c>
      <c r="H30" s="7">
        <f>IFERROR(D30/(D30+E30),"-")</f>
        <v/>
      </c>
    </row>
    <row r="31">
      <c r="A31" s="5" t="inlineStr">
        <is>
          <t>JSON Schema References</t>
        </is>
      </c>
      <c r="B31" s="6">
        <f>COUNTIF('Test Cases'!B:B,"JSON Schema References")</f>
        <v/>
      </c>
      <c r="C31" s="6">
        <f>COUNTIFS('Test Cases'!B:B,"JSON Schema References",'Test Cases'!K:K,"Not Run")</f>
        <v/>
      </c>
      <c r="D31" s="6">
        <f>COUNTIFS('Test Cases'!B:B,"JSON Schema References",'Test Cases'!K:K,"Pass")</f>
        <v/>
      </c>
      <c r="E31" s="6">
        <f>COUNTIFS('Test Cases'!B:B,"JSON Schema References",'Test Cases'!K:K,"Fail")</f>
        <v/>
      </c>
      <c r="F31" s="6">
        <f>COUNTIFS('Test Cases'!B:B,"JSON Schema References",'Test Cases'!K:K,"Blocked")</f>
        <v/>
      </c>
      <c r="G31" s="6">
        <f>COUNTIFS('Test Cases'!B:B,"JSON Schema References",'Test Cases'!K:K,"Skipped")</f>
        <v/>
      </c>
      <c r="H31" s="7">
        <f>IFERROR(D31/(D31+E31),"-")</f>
        <v/>
      </c>
    </row>
    <row r="32">
      <c r="A32" s="5" t="inlineStr">
        <is>
          <t>Assertions &amp; Execution Plans</t>
        </is>
      </c>
      <c r="B32" s="6">
        <f>COUNTIF('Test Cases'!B:B,"Assertions &amp; Execution Plans")</f>
        <v/>
      </c>
      <c r="C32" s="6">
        <f>COUNTIFS('Test Cases'!B:B,"Assertions &amp; Execution Plans",'Test Cases'!K:K,"Not Run")</f>
        <v/>
      </c>
      <c r="D32" s="6">
        <f>COUNTIFS('Test Cases'!B:B,"Assertions &amp; Execution Plans",'Test Cases'!K:K,"Pass")</f>
        <v/>
      </c>
      <c r="E32" s="6">
        <f>COUNTIFS('Test Cases'!B:B,"Assertions &amp; Execution Plans",'Test Cases'!K:K,"Fail")</f>
        <v/>
      </c>
      <c r="F32" s="6">
        <f>COUNTIFS('Test Cases'!B:B,"Assertions &amp; Execution Plans",'Test Cases'!K:K,"Blocked")</f>
        <v/>
      </c>
      <c r="G32" s="6">
        <f>COUNTIFS('Test Cases'!B:B,"Assertions &amp; Execution Plans",'Test Cases'!K:K,"Skipped")</f>
        <v/>
      </c>
      <c r="H32" s="7">
        <f>IFERROR(D32/(D32+E32),"-")</f>
        <v/>
      </c>
    </row>
    <row r="33">
      <c r="A33" s="5" t="inlineStr">
        <is>
          <t>Documentation Viewer</t>
        </is>
      </c>
      <c r="B33" s="6">
        <f>COUNTIF('Test Cases'!B:B,"Documentation Viewer")</f>
        <v/>
      </c>
      <c r="C33" s="6">
        <f>COUNTIFS('Test Cases'!B:B,"Documentation Viewer",'Test Cases'!K:K,"Not Run")</f>
        <v/>
      </c>
      <c r="D33" s="6">
        <f>COUNTIFS('Test Cases'!B:B,"Documentation Viewer",'Test Cases'!K:K,"Pass")</f>
        <v/>
      </c>
      <c r="E33" s="6">
        <f>COUNTIFS('Test Cases'!B:B,"Documentation Viewer",'Test Cases'!K:K,"Fail")</f>
        <v/>
      </c>
      <c r="F33" s="6">
        <f>COUNTIFS('Test Cases'!B:B,"Documentation Viewer",'Test Cases'!K:K,"Blocked")</f>
        <v/>
      </c>
      <c r="G33" s="6">
        <f>COUNTIFS('Test Cases'!B:B,"Documentation Viewer",'Test Cases'!K:K,"Skipped")</f>
        <v/>
      </c>
      <c r="H33" s="7">
        <f>IFERROR(D33/(D33+E33),"-")</f>
        <v/>
      </c>
    </row>
    <row r="34">
      <c r="A34" s="5" t="inlineStr">
        <is>
          <t>Search &amp; Marketplace</t>
        </is>
      </c>
      <c r="B34" s="6">
        <f>COUNTIF('Test Cases'!B:B,"Search &amp; Marketplace")</f>
        <v/>
      </c>
      <c r="C34" s="6">
        <f>COUNTIFS('Test Cases'!B:B,"Search &amp; Marketplace",'Test Cases'!K:K,"Not Run")</f>
        <v/>
      </c>
      <c r="D34" s="6">
        <f>COUNTIFS('Test Cases'!B:B,"Search &amp; Marketplace",'Test Cases'!K:K,"Pass")</f>
        <v/>
      </c>
      <c r="E34" s="6">
        <f>COUNTIFS('Test Cases'!B:B,"Search &amp; Marketplace",'Test Cases'!K:K,"Fail")</f>
        <v/>
      </c>
      <c r="F34" s="6">
        <f>COUNTIFS('Test Cases'!B:B,"Search &amp; Marketplace",'Test Cases'!K:K,"Blocked")</f>
        <v/>
      </c>
      <c r="G34" s="6">
        <f>COUNTIFS('Test Cases'!B:B,"Search &amp; Marketplace",'Test Cases'!K:K,"Skipped")</f>
        <v/>
      </c>
      <c r="H34" s="7">
        <f>IFERROR(D34/(D34+E34),"-")</f>
        <v/>
      </c>
    </row>
    <row r="35">
      <c r="A35" s="5" t="inlineStr">
        <is>
          <t>Keyboard Shortcuts</t>
        </is>
      </c>
      <c r="B35" s="6">
        <f>COUNTIF('Test Cases'!B:B,"Keyboard Shortcuts")</f>
        <v/>
      </c>
      <c r="C35" s="6">
        <f>COUNTIFS('Test Cases'!B:B,"Keyboard Shortcuts",'Test Cases'!K:K,"Not Run")</f>
        <v/>
      </c>
      <c r="D35" s="6">
        <f>COUNTIFS('Test Cases'!B:B,"Keyboard Shortcuts",'Test Cases'!K:K,"Pass")</f>
        <v/>
      </c>
      <c r="E35" s="6">
        <f>COUNTIFS('Test Cases'!B:B,"Keyboard Shortcuts",'Test Cases'!K:K,"Fail")</f>
        <v/>
      </c>
      <c r="F35" s="6">
        <f>COUNTIFS('Test Cases'!B:B,"Keyboard Shortcuts",'Test Cases'!K:K,"Blocked")</f>
        <v/>
      </c>
      <c r="G35" s="6">
        <f>COUNTIFS('Test Cases'!B:B,"Keyboard Shortcuts",'Test Cases'!K:K,"Skipped")</f>
        <v/>
      </c>
      <c r="H35" s="7">
        <f>IFERROR(D35/(D35+E35),"-")</f>
        <v/>
      </c>
    </row>
    <row r="36">
      <c r="A36" s="5" t="inlineStr">
        <is>
          <t>Accessibility</t>
        </is>
      </c>
      <c r="B36" s="6">
        <f>COUNTIF('Test Cases'!B:B,"Accessibility")</f>
        <v/>
      </c>
      <c r="C36" s="6">
        <f>COUNTIFS('Test Cases'!B:B,"Accessibility",'Test Cases'!K:K,"Not Run")</f>
        <v/>
      </c>
      <c r="D36" s="6">
        <f>COUNTIFS('Test Cases'!B:B,"Accessibility",'Test Cases'!K:K,"Pass")</f>
        <v/>
      </c>
      <c r="E36" s="6">
        <f>COUNTIFS('Test Cases'!B:B,"Accessibility",'Test Cases'!K:K,"Fail")</f>
        <v/>
      </c>
      <c r="F36" s="6">
        <f>COUNTIFS('Test Cases'!B:B,"Accessibility",'Test Cases'!K:K,"Blocked")</f>
        <v/>
      </c>
      <c r="G36" s="6">
        <f>COUNTIFS('Test Cases'!B:B,"Accessibility",'Test Cases'!K:K,"Skipped")</f>
        <v/>
      </c>
      <c r="H36" s="7">
        <f>IFERROR(D36/(D36+E36),"-")</f>
        <v/>
      </c>
    </row>
    <row r="37">
      <c r="A37" s="5" t="inlineStr">
        <is>
          <t>Network Conditions</t>
        </is>
      </c>
      <c r="B37" s="6">
        <f>COUNTIF('Test Cases'!B:B,"Network Conditions")</f>
        <v/>
      </c>
      <c r="C37" s="6">
        <f>COUNTIFS('Test Cases'!B:B,"Network Conditions",'Test Cases'!K:K,"Not Run")</f>
        <v/>
      </c>
      <c r="D37" s="6">
        <f>COUNTIFS('Test Cases'!B:B,"Network Conditions",'Test Cases'!K:K,"Pass")</f>
        <v/>
      </c>
      <c r="E37" s="6">
        <f>COUNTIFS('Test Cases'!B:B,"Network Conditions",'Test Cases'!K:K,"Fail")</f>
        <v/>
      </c>
      <c r="F37" s="6">
        <f>COUNTIFS('Test Cases'!B:B,"Network Conditions",'Test Cases'!K:K,"Blocked")</f>
        <v/>
      </c>
      <c r="G37" s="6">
        <f>COUNTIFS('Test Cases'!B:B,"Network Conditions",'Test Cases'!K:K,"Skipped")</f>
        <v/>
      </c>
      <c r="H37" s="7">
        <f>IFERROR(D37/(D37+E37),"-")</f>
        <v/>
      </c>
    </row>
    <row r="38">
      <c r="A38" s="5" t="inlineStr">
        <is>
          <t>Performance</t>
        </is>
      </c>
      <c r="B38" s="6">
        <f>COUNTIF('Test Cases'!B:B,"Performance")</f>
        <v/>
      </c>
      <c r="C38" s="6">
        <f>COUNTIFS('Test Cases'!B:B,"Performance",'Test Cases'!K:K,"Not Run")</f>
        <v/>
      </c>
      <c r="D38" s="6">
        <f>COUNTIFS('Test Cases'!B:B,"Performance",'Test Cases'!K:K,"Pass")</f>
        <v/>
      </c>
      <c r="E38" s="6">
        <f>COUNTIFS('Test Cases'!B:B,"Performance",'Test Cases'!K:K,"Fail")</f>
        <v/>
      </c>
      <c r="F38" s="6">
        <f>COUNTIFS('Test Cases'!B:B,"Performance",'Test Cases'!K:K,"Blocked")</f>
        <v/>
      </c>
      <c r="G38" s="6">
        <f>COUNTIFS('Test Cases'!B:B,"Performance",'Test Cases'!K:K,"Skipped")</f>
        <v/>
      </c>
      <c r="H38" s="7">
        <f>IFERROR(D38/(D38+E38),"-")</f>
        <v/>
      </c>
    </row>
    <row r="39">
      <c r="A39" s="5" t="inlineStr">
        <is>
          <t>Security</t>
        </is>
      </c>
      <c r="B39" s="6">
        <f>COUNTIF('Test Cases'!B:B,"Security")</f>
        <v/>
      </c>
      <c r="C39" s="6">
        <f>COUNTIFS('Test Cases'!B:B,"Security",'Test Cases'!K:K,"Not Run")</f>
        <v/>
      </c>
      <c r="D39" s="6">
        <f>COUNTIFS('Test Cases'!B:B,"Security",'Test Cases'!K:K,"Pass")</f>
        <v/>
      </c>
      <c r="E39" s="6">
        <f>COUNTIFS('Test Cases'!B:B,"Security",'Test Cases'!K:K,"Fail")</f>
        <v/>
      </c>
      <c r="F39" s="6">
        <f>COUNTIFS('Test Cases'!B:B,"Security",'Test Cases'!K:K,"Blocked")</f>
        <v/>
      </c>
      <c r="G39" s="6">
        <f>COUNTIFS('Test Cases'!B:B,"Security",'Test Cases'!K:K,"Skipped")</f>
        <v/>
      </c>
      <c r="H39" s="7">
        <f>IFERROR(D39/(D39+E39),"-")</f>
        <v/>
      </c>
    </row>
    <row r="40">
      <c r="A40" s="5" t="inlineStr">
        <is>
          <t>Cross-Cutting UX</t>
        </is>
      </c>
      <c r="B40" s="6">
        <f>COUNTIF('Test Cases'!B:B,"Cross-Cutting UX")</f>
        <v/>
      </c>
      <c r="C40" s="6">
        <f>COUNTIFS('Test Cases'!B:B,"Cross-Cutting UX",'Test Cases'!K:K,"Not Run")</f>
        <v/>
      </c>
      <c r="D40" s="6">
        <f>COUNTIFS('Test Cases'!B:B,"Cross-Cutting UX",'Test Cases'!K:K,"Pass")</f>
        <v/>
      </c>
      <c r="E40" s="6">
        <f>COUNTIFS('Test Cases'!B:B,"Cross-Cutting UX",'Test Cases'!K:K,"Fail")</f>
        <v/>
      </c>
      <c r="F40" s="6">
        <f>COUNTIFS('Test Cases'!B:B,"Cross-Cutting UX",'Test Cases'!K:K,"Blocked")</f>
        <v/>
      </c>
      <c r="G40" s="6">
        <f>COUNTIFS('Test Cases'!B:B,"Cross-Cutting UX",'Test Cases'!K:K,"Skipped")</f>
        <v/>
      </c>
      <c r="H40" s="7">
        <f>IFERROR(D40/(D40+E40),"-")</f>
        <v/>
      </c>
    </row>
    <row r="41">
      <c r="A41" s="5" t="inlineStr">
        <is>
          <t>Web-Specific (Browser)</t>
        </is>
      </c>
      <c r="B41" s="6">
        <f>COUNTIF('Test Cases'!B:B,"Web-Specific (Browser)")</f>
        <v/>
      </c>
      <c r="C41" s="6">
        <f>COUNTIFS('Test Cases'!B:B,"Web-Specific (Browser)",'Test Cases'!K:K,"Not Run")</f>
        <v/>
      </c>
      <c r="D41" s="6">
        <f>COUNTIFS('Test Cases'!B:B,"Web-Specific (Browser)",'Test Cases'!K:K,"Pass")</f>
        <v/>
      </c>
      <c r="E41" s="6">
        <f>COUNTIFS('Test Cases'!B:B,"Web-Specific (Browser)",'Test Cases'!K:K,"Fail")</f>
        <v/>
      </c>
      <c r="F41" s="6">
        <f>COUNTIFS('Test Cases'!B:B,"Web-Specific (Browser)",'Test Cases'!K:K,"Blocked")</f>
        <v/>
      </c>
      <c r="G41" s="6">
        <f>COUNTIFS('Test Cases'!B:B,"Web-Specific (Browser)",'Test Cases'!K:K,"Skipped")</f>
        <v/>
      </c>
      <c r="H41" s="7">
        <f>IFERROR(D41/(D41+E41),"-")</f>
        <v/>
      </c>
    </row>
    <row r="42">
      <c r="A42" s="5" t="inlineStr">
        <is>
          <t>OAuth2 IdP Compatibility</t>
        </is>
      </c>
      <c r="B42" s="6">
        <f>COUNTIF('Test Cases'!B:B,"OAuth2 IdP Compatibility")</f>
        <v/>
      </c>
      <c r="C42" s="6">
        <f>COUNTIFS('Test Cases'!B:B,"OAuth2 IdP Compatibility",'Test Cases'!K:K,"Not Run")</f>
        <v/>
      </c>
      <c r="D42" s="6">
        <f>COUNTIFS('Test Cases'!B:B,"OAuth2 IdP Compatibility",'Test Cases'!K:K,"Pass")</f>
        <v/>
      </c>
      <c r="E42" s="6">
        <f>COUNTIFS('Test Cases'!B:B,"OAuth2 IdP Compatibility",'Test Cases'!K:K,"Fail")</f>
        <v/>
      </c>
      <c r="F42" s="6">
        <f>COUNTIFS('Test Cases'!B:B,"OAuth2 IdP Compatibility",'Test Cases'!K:K,"Blocked")</f>
        <v/>
      </c>
      <c r="G42" s="6">
        <f>COUNTIFS('Test Cases'!B:B,"OAuth2 IdP Compatibility",'Test Cases'!K:K,"Skipped")</f>
        <v/>
      </c>
      <c r="H42" s="7">
        <f>IFERROR(D42/(D42+E42),"-")</f>
        <v/>
      </c>
    </row>
    <row r="43">
      <c r="A43" s="5" t="inlineStr">
        <is>
          <t>Network Security / TLS</t>
        </is>
      </c>
      <c r="B43" s="6">
        <f>COUNTIF('Test Cases'!B:B,"Network Security / TLS")</f>
        <v/>
      </c>
      <c r="C43" s="6">
        <f>COUNTIFS('Test Cases'!B:B,"Network Security / TLS",'Test Cases'!K:K,"Not Run")</f>
        <v/>
      </c>
      <c r="D43" s="6">
        <f>COUNTIFS('Test Cases'!B:B,"Network Security / TLS",'Test Cases'!K:K,"Pass")</f>
        <v/>
      </c>
      <c r="E43" s="6">
        <f>COUNTIFS('Test Cases'!B:B,"Network Security / TLS",'Test Cases'!K:K,"Fail")</f>
        <v/>
      </c>
      <c r="F43" s="6">
        <f>COUNTIFS('Test Cases'!B:B,"Network Security / TLS",'Test Cases'!K:K,"Blocked")</f>
        <v/>
      </c>
      <c r="G43" s="6">
        <f>COUNTIFS('Test Cases'!B:B,"Network Security / TLS",'Test Cases'!K:K,"Skipped")</f>
        <v/>
      </c>
      <c r="H43" s="7">
        <f>IFERROR(D43/(D43+E43),"-")</f>
        <v/>
      </c>
    </row>
    <row r="44">
      <c r="A44" s="5" t="inlineStr">
        <is>
          <t>Proxy Configuration</t>
        </is>
      </c>
      <c r="B44" s="6">
        <f>COUNTIF('Test Cases'!B:B,"Proxy Configuration")</f>
        <v/>
      </c>
      <c r="C44" s="6">
        <f>COUNTIFS('Test Cases'!B:B,"Proxy Configuration",'Test Cases'!K:K,"Not Run")</f>
        <v/>
      </c>
      <c r="D44" s="6">
        <f>COUNTIFS('Test Cases'!B:B,"Proxy Configuration",'Test Cases'!K:K,"Pass")</f>
        <v/>
      </c>
      <c r="E44" s="6">
        <f>COUNTIFS('Test Cases'!B:B,"Proxy Configuration",'Test Cases'!K:K,"Fail")</f>
        <v/>
      </c>
      <c r="F44" s="6">
        <f>COUNTIFS('Test Cases'!B:B,"Proxy Configuration",'Test Cases'!K:K,"Blocked")</f>
        <v/>
      </c>
      <c r="G44" s="6">
        <f>COUNTIFS('Test Cases'!B:B,"Proxy Configuration",'Test Cases'!K:K,"Skipped")</f>
        <v/>
      </c>
      <c r="H44" s="7">
        <f>IFERROR(D44/(D44+E44),"-")</f>
        <v/>
      </c>
    </row>
    <row r="45">
      <c r="A45" s="5" t="inlineStr">
        <is>
          <t>HTTP Protocol Versions</t>
        </is>
      </c>
      <c r="B45" s="6">
        <f>COUNTIF('Test Cases'!B:B,"HTTP Protocol Versions")</f>
        <v/>
      </c>
      <c r="C45" s="6">
        <f>COUNTIFS('Test Cases'!B:B,"HTTP Protocol Versions",'Test Cases'!K:K,"Not Run")</f>
        <v/>
      </c>
      <c r="D45" s="6">
        <f>COUNTIFS('Test Cases'!B:B,"HTTP Protocol Versions",'Test Cases'!K:K,"Pass")</f>
        <v/>
      </c>
      <c r="E45" s="6">
        <f>COUNTIFS('Test Cases'!B:B,"HTTP Protocol Versions",'Test Cases'!K:K,"Fail")</f>
        <v/>
      </c>
      <c r="F45" s="6">
        <f>COUNTIFS('Test Cases'!B:B,"HTTP Protocol Versions",'Test Cases'!K:K,"Blocked")</f>
        <v/>
      </c>
      <c r="G45" s="6">
        <f>COUNTIFS('Test Cases'!B:B,"HTTP Protocol Versions",'Test Cases'!K:K,"Skipped")</f>
        <v/>
      </c>
      <c r="H45" s="7">
        <f>IFERROR(D45/(D45+E45),"-")</f>
        <v/>
      </c>
    </row>
    <row r="46">
      <c r="A46" s="5" t="inlineStr">
        <is>
          <t>Compression &amp; Content Encoding</t>
        </is>
      </c>
      <c r="B46" s="6">
        <f>COUNTIF('Test Cases'!B:B,"Compression &amp; Content Encoding")</f>
        <v/>
      </c>
      <c r="C46" s="6">
        <f>COUNTIFS('Test Cases'!B:B,"Compression &amp; Content Encoding",'Test Cases'!K:K,"Not Run")</f>
        <v/>
      </c>
      <c r="D46" s="6">
        <f>COUNTIFS('Test Cases'!B:B,"Compression &amp; Content Encoding",'Test Cases'!K:K,"Pass")</f>
        <v/>
      </c>
      <c r="E46" s="6">
        <f>COUNTIFS('Test Cases'!B:B,"Compression &amp; Content Encoding",'Test Cases'!K:K,"Fail")</f>
        <v/>
      </c>
      <c r="F46" s="6">
        <f>COUNTIFS('Test Cases'!B:B,"Compression &amp; Content Encoding",'Test Cases'!K:K,"Blocked")</f>
        <v/>
      </c>
      <c r="G46" s="6">
        <f>COUNTIFS('Test Cases'!B:B,"Compression &amp; Content Encoding",'Test Cases'!K:K,"Skipped")</f>
        <v/>
      </c>
      <c r="H46" s="7">
        <f>IFERROR(D46/(D46+E46),"-")</f>
        <v/>
      </c>
    </row>
    <row r="47">
      <c r="A47" s="5" t="inlineStr">
        <is>
          <t>Schema Migration &amp; Versioning</t>
        </is>
      </c>
      <c r="B47" s="6">
        <f>COUNTIF('Test Cases'!B:B,"Schema Migration &amp; Versioning")</f>
        <v/>
      </c>
      <c r="C47" s="6">
        <f>COUNTIFS('Test Cases'!B:B,"Schema Migration &amp; Versioning",'Test Cases'!K:K,"Not Run")</f>
        <v/>
      </c>
      <c r="D47" s="6">
        <f>COUNTIFS('Test Cases'!B:B,"Schema Migration &amp; Versioning",'Test Cases'!K:K,"Pass")</f>
        <v/>
      </c>
      <c r="E47" s="6">
        <f>COUNTIFS('Test Cases'!B:B,"Schema Migration &amp; Versioning",'Test Cases'!K:K,"Fail")</f>
        <v/>
      </c>
      <c r="F47" s="6">
        <f>COUNTIFS('Test Cases'!B:B,"Schema Migration &amp; Versioning",'Test Cases'!K:K,"Blocked")</f>
        <v/>
      </c>
      <c r="G47" s="6">
        <f>COUNTIFS('Test Cases'!B:B,"Schema Migration &amp; Versioning",'Test Cases'!K:K,"Skipped")</f>
        <v/>
      </c>
      <c r="H47" s="7">
        <f>IFERROR(D47/(D47+E47),"-")</f>
        <v/>
      </c>
    </row>
    <row r="48">
      <c r="A48" s="5" t="inlineStr">
        <is>
          <t>Multi-User Concurrency</t>
        </is>
      </c>
      <c r="B48" s="6">
        <f>COUNTIF('Test Cases'!B:B,"Multi-User Concurrency")</f>
        <v/>
      </c>
      <c r="C48" s="6">
        <f>COUNTIFS('Test Cases'!B:B,"Multi-User Concurrency",'Test Cases'!K:K,"Not Run")</f>
        <v/>
      </c>
      <c r="D48" s="6">
        <f>COUNTIFS('Test Cases'!B:B,"Multi-User Concurrency",'Test Cases'!K:K,"Pass")</f>
        <v/>
      </c>
      <c r="E48" s="6">
        <f>COUNTIFS('Test Cases'!B:B,"Multi-User Concurrency",'Test Cases'!K:K,"Fail")</f>
        <v/>
      </c>
      <c r="F48" s="6">
        <f>COUNTIFS('Test Cases'!B:B,"Multi-User Concurrency",'Test Cases'!K:K,"Blocked")</f>
        <v/>
      </c>
      <c r="G48" s="6">
        <f>COUNTIFS('Test Cases'!B:B,"Multi-User Concurrency",'Test Cases'!K:K,"Skipped")</f>
        <v/>
      </c>
      <c r="H48" s="7">
        <f>IFERROR(D48/(D48+E48),"-")</f>
        <v/>
      </c>
    </row>
    <row r="49">
      <c r="A49" s="5" t="inlineStr">
        <is>
          <t>Locale &amp; i18n</t>
        </is>
      </c>
      <c r="B49" s="6">
        <f>COUNTIF('Test Cases'!B:B,"Locale &amp; i18n")</f>
        <v/>
      </c>
      <c r="C49" s="6">
        <f>COUNTIFS('Test Cases'!B:B,"Locale &amp; i18n",'Test Cases'!K:K,"Not Run")</f>
        <v/>
      </c>
      <c r="D49" s="6">
        <f>COUNTIFS('Test Cases'!B:B,"Locale &amp; i18n",'Test Cases'!K:K,"Pass")</f>
        <v/>
      </c>
      <c r="E49" s="6">
        <f>COUNTIFS('Test Cases'!B:B,"Locale &amp; i18n",'Test Cases'!K:K,"Fail")</f>
        <v/>
      </c>
      <c r="F49" s="6">
        <f>COUNTIFS('Test Cases'!B:B,"Locale &amp; i18n",'Test Cases'!K:K,"Blocked")</f>
        <v/>
      </c>
      <c r="G49" s="6">
        <f>COUNTIFS('Test Cases'!B:B,"Locale &amp; i18n",'Test Cases'!K:K,"Skipped")</f>
        <v/>
      </c>
      <c r="H49" s="7">
        <f>IFERROR(D49/(D49+E49),"-")</f>
        <v/>
      </c>
    </row>
    <row r="50">
      <c r="A50" s="5" t="inlineStr">
        <is>
          <t>OS / Platform Compatibility</t>
        </is>
      </c>
      <c r="B50" s="6">
        <f>COUNTIF('Test Cases'!B:B,"OS / Platform Compatibility")</f>
        <v/>
      </c>
      <c r="C50" s="6">
        <f>COUNTIFS('Test Cases'!B:B,"OS / Platform Compatibility",'Test Cases'!K:K,"Not Run")</f>
        <v/>
      </c>
      <c r="D50" s="6">
        <f>COUNTIFS('Test Cases'!B:B,"OS / Platform Compatibility",'Test Cases'!K:K,"Pass")</f>
        <v/>
      </c>
      <c r="E50" s="6">
        <f>COUNTIFS('Test Cases'!B:B,"OS / Platform Compatibility",'Test Cases'!K:K,"Fail")</f>
        <v/>
      </c>
      <c r="F50" s="6">
        <f>COUNTIFS('Test Cases'!B:B,"OS / Platform Compatibility",'Test Cases'!K:K,"Blocked")</f>
        <v/>
      </c>
      <c r="G50" s="6">
        <f>COUNTIFS('Test Cases'!B:B,"OS / Platform Compatibility",'Test Cases'!K:K,"Skipped")</f>
        <v/>
      </c>
      <c r="H50" s="7">
        <f>IFERROR(D50/(D50+E50),"-")</f>
        <v/>
      </c>
    </row>
    <row r="51">
      <c r="A51" s="5" t="inlineStr">
        <is>
          <t>Linked Workspace Versioning</t>
        </is>
      </c>
      <c r="B51" s="6">
        <f>COUNTIF('Test Cases'!B:B,"Linked Workspace Versioning")</f>
        <v/>
      </c>
      <c r="C51" s="6">
        <f>COUNTIFS('Test Cases'!B:B,"Linked Workspace Versioning",'Test Cases'!K:K,"Not Run")</f>
        <v/>
      </c>
      <c r="D51" s="6">
        <f>COUNTIFS('Test Cases'!B:B,"Linked Workspace Versioning",'Test Cases'!K:K,"Pass")</f>
        <v/>
      </c>
      <c r="E51" s="6">
        <f>COUNTIFS('Test Cases'!B:B,"Linked Workspace Versioning",'Test Cases'!K:K,"Fail")</f>
        <v/>
      </c>
      <c r="F51" s="6">
        <f>COUNTIFS('Test Cases'!B:B,"Linked Workspace Versioning",'Test Cases'!K:K,"Blocked")</f>
        <v/>
      </c>
      <c r="G51" s="6">
        <f>COUNTIFS('Test Cases'!B:B,"Linked Workspace Versioning",'Test Cases'!K:K,"Skipped")</f>
        <v/>
      </c>
      <c r="H51" s="7">
        <f>IFERROR(D51/(D51+E51),"-")</f>
        <v/>
      </c>
    </row>
    <row r="52">
      <c r="A52" s="5" t="inlineStr">
        <is>
          <t>WebSocket / SSE / Streaming</t>
        </is>
      </c>
      <c r="B52" s="6">
        <f>COUNTIF('Test Cases'!B:B,"WebSocket / SSE / Streaming")</f>
        <v/>
      </c>
      <c r="C52" s="6">
        <f>COUNTIFS('Test Cases'!B:B,"WebSocket / SSE / Streaming",'Test Cases'!K:K,"Not Run")</f>
        <v/>
      </c>
      <c r="D52" s="6">
        <f>COUNTIFS('Test Cases'!B:B,"WebSocket / SSE / Streaming",'Test Cases'!K:K,"Pass")</f>
        <v/>
      </c>
      <c r="E52" s="6">
        <f>COUNTIFS('Test Cases'!B:B,"WebSocket / SSE / Streaming",'Test Cases'!K:K,"Fail")</f>
        <v/>
      </c>
      <c r="F52" s="6">
        <f>COUNTIFS('Test Cases'!B:B,"WebSocket / SSE / Streaming",'Test Cases'!K:K,"Blocked")</f>
        <v/>
      </c>
      <c r="G52" s="6">
        <f>COUNTIFS('Test Cases'!B:B,"WebSocket / SSE / Streaming",'Test Cases'!K:K,"Skipped")</f>
        <v/>
      </c>
      <c r="H52" s="7">
        <f>IFERROR(D52/(D52+E52),"-")</f>
        <v/>
      </c>
    </row>
    <row r="53">
      <c r="A53" s="5" t="inlineStr">
        <is>
          <t>Caching / ETag / Conditional</t>
        </is>
      </c>
      <c r="B53" s="6">
        <f>COUNTIF('Test Cases'!B:B,"Caching / ETag / Conditional")</f>
        <v/>
      </c>
      <c r="C53" s="6">
        <f>COUNTIFS('Test Cases'!B:B,"Caching / ETag / Conditional",'Test Cases'!K:K,"Not Run")</f>
        <v/>
      </c>
      <c r="D53" s="6">
        <f>COUNTIFS('Test Cases'!B:B,"Caching / ETag / Conditional",'Test Cases'!K:K,"Pass")</f>
        <v/>
      </c>
      <c r="E53" s="6">
        <f>COUNTIFS('Test Cases'!B:B,"Caching / ETag / Conditional",'Test Cases'!K:K,"Fail")</f>
        <v/>
      </c>
      <c r="F53" s="6">
        <f>COUNTIFS('Test Cases'!B:B,"Caching / ETag / Conditional",'Test Cases'!K:K,"Blocked")</f>
        <v/>
      </c>
      <c r="G53" s="6">
        <f>COUNTIFS('Test Cases'!B:B,"Caching / ETag / Conditional",'Test Cases'!K:K,"Skipped")</f>
        <v/>
      </c>
      <c r="H53" s="7">
        <f>IFERROR(D53/(D53+E53),"-")</f>
        <v/>
      </c>
    </row>
    <row r="54">
      <c r="A54" s="5" t="inlineStr">
        <is>
          <t>Telemetry &amp; Privacy</t>
        </is>
      </c>
      <c r="B54" s="6">
        <f>COUNTIF('Test Cases'!B:B,"Telemetry &amp; Privacy")</f>
        <v/>
      </c>
      <c r="C54" s="6">
        <f>COUNTIFS('Test Cases'!B:B,"Telemetry &amp; Privacy",'Test Cases'!K:K,"Not Run")</f>
        <v/>
      </c>
      <c r="D54" s="6">
        <f>COUNTIFS('Test Cases'!B:B,"Telemetry &amp; Privacy",'Test Cases'!K:K,"Pass")</f>
        <v/>
      </c>
      <c r="E54" s="6">
        <f>COUNTIFS('Test Cases'!B:B,"Telemetry &amp; Privacy",'Test Cases'!K:K,"Fail")</f>
        <v/>
      </c>
      <c r="F54" s="6">
        <f>COUNTIFS('Test Cases'!B:B,"Telemetry &amp; Privacy",'Test Cases'!K:K,"Blocked")</f>
        <v/>
      </c>
      <c r="G54" s="6">
        <f>COUNTIFS('Test Cases'!B:B,"Telemetry &amp; Privacy",'Test Cases'!K:K,"Skipped")</f>
        <v/>
      </c>
      <c r="H54" s="7">
        <f>IFERROR(D54/(D54+E54),"-")</f>
        <v/>
      </c>
    </row>
    <row r="55">
      <c r="A55" s="5" t="inlineStr">
        <is>
          <t>Backup &amp; Restore</t>
        </is>
      </c>
      <c r="B55" s="6">
        <f>COUNTIF('Test Cases'!B:B,"Backup &amp; Restore")</f>
        <v/>
      </c>
      <c r="C55" s="6">
        <f>COUNTIFS('Test Cases'!B:B,"Backup &amp; Restore",'Test Cases'!K:K,"Not Run")</f>
        <v/>
      </c>
      <c r="D55" s="6">
        <f>COUNTIFS('Test Cases'!B:B,"Backup &amp; Restore",'Test Cases'!K:K,"Pass")</f>
        <v/>
      </c>
      <c r="E55" s="6">
        <f>COUNTIFS('Test Cases'!B:B,"Backup &amp; Restore",'Test Cases'!K:K,"Fail")</f>
        <v/>
      </c>
      <c r="F55" s="6">
        <f>COUNTIFS('Test Cases'!B:B,"Backup &amp; Restore",'Test Cases'!K:K,"Blocked")</f>
        <v/>
      </c>
      <c r="G55" s="6">
        <f>COUNTIFS('Test Cases'!B:B,"Backup &amp; Restore",'Test Cases'!K:K,"Skipped")</f>
        <v/>
      </c>
      <c r="H55" s="7">
        <f>IFERROR(D55/(D55+E55),"-")</f>
        <v/>
      </c>
    </row>
    <row r="56">
      <c r="A56" s="5" t="inlineStr">
        <is>
          <t>Code Generation</t>
        </is>
      </c>
      <c r="B56" s="6">
        <f>COUNTIF('Test Cases'!B:B,"Code Generation")</f>
        <v/>
      </c>
      <c r="C56" s="6">
        <f>COUNTIFS('Test Cases'!B:B,"Code Generation",'Test Cases'!K:K,"Not Run")</f>
        <v/>
      </c>
      <c r="D56" s="6">
        <f>COUNTIFS('Test Cases'!B:B,"Code Generation",'Test Cases'!K:K,"Pass")</f>
        <v/>
      </c>
      <c r="E56" s="6">
        <f>COUNTIFS('Test Cases'!B:B,"Code Generation",'Test Cases'!K:K,"Fail")</f>
        <v/>
      </c>
      <c r="F56" s="6">
        <f>COUNTIFS('Test Cases'!B:B,"Code Generation",'Test Cases'!K:K,"Blocked")</f>
        <v/>
      </c>
      <c r="G56" s="6">
        <f>COUNTIFS('Test Cases'!B:B,"Code Generation",'Test Cases'!K:K,"Skipped")</f>
        <v/>
      </c>
      <c r="H56" s="7">
        <f>IFERROR(D56/(D56+E56),"-")</f>
        <v/>
      </c>
    </row>
    <row r="57">
      <c r="A57" s="8" t="inlineStr">
        <is>
          <t>TOTAL</t>
        </is>
      </c>
      <c r="B57" s="9">
        <f>SUM(B4:B56)</f>
        <v/>
      </c>
      <c r="C57" s="9">
        <f>SUM(C4:C56)</f>
        <v/>
      </c>
      <c r="D57" s="9">
        <f>SUM(D4:D56)</f>
        <v/>
      </c>
      <c r="E57" s="9">
        <f>SUM(E4:E56)</f>
        <v/>
      </c>
      <c r="F57" s="9">
        <f>SUM(F4:F56)</f>
        <v/>
      </c>
      <c r="G57" s="9">
        <f>SUM(G4:G56)</f>
        <v/>
      </c>
      <c r="H57" s="10">
        <f>IFERROR(D57/(D57+E57),"-")</f>
        <v/>
      </c>
    </row>
    <row r="60" ht="22" customHeight="1">
      <c r="A60" s="11" t="inlineStr">
        <is>
          <t>Counts by Priority</t>
        </is>
      </c>
    </row>
    <row r="61">
      <c r="A61" s="4" t="inlineStr">
        <is>
          <t>Priority</t>
        </is>
      </c>
      <c r="B61" s="4" t="inlineStr">
        <is>
          <t>Total</t>
        </is>
      </c>
      <c r="C61" s="4" t="inlineStr">
        <is>
          <t>Not Run</t>
        </is>
      </c>
      <c r="D61" s="4" t="inlineStr">
        <is>
          <t>Pass</t>
        </is>
      </c>
      <c r="E61" s="4" t="inlineStr">
        <is>
          <t>Fail</t>
        </is>
      </c>
      <c r="F61" s="4" t="inlineStr">
        <is>
          <t>Blocked</t>
        </is>
      </c>
      <c r="G61" s="4" t="inlineStr">
        <is>
          <t>Skipped</t>
        </is>
      </c>
      <c r="H61" s="4" t="inlineStr">
        <is>
          <t>Pass %</t>
        </is>
      </c>
    </row>
    <row r="62">
      <c r="A62" s="12" t="inlineStr">
        <is>
          <t>High</t>
        </is>
      </c>
      <c r="B62" s="6">
        <f>COUNTIF('Test Cases'!L:L,"High")</f>
        <v/>
      </c>
      <c r="C62" s="6">
        <f>COUNTIFS('Test Cases'!L:L,"High",'Test Cases'!K:K,"Not Run")</f>
        <v/>
      </c>
      <c r="D62" s="6">
        <f>COUNTIFS('Test Cases'!L:L,"High",'Test Cases'!K:K,"Pass")</f>
        <v/>
      </c>
      <c r="E62" s="6">
        <f>COUNTIFS('Test Cases'!L:L,"High",'Test Cases'!K:K,"Fail")</f>
        <v/>
      </c>
      <c r="F62" s="6">
        <f>COUNTIFS('Test Cases'!L:L,"High",'Test Cases'!K:K,"Blocked")</f>
        <v/>
      </c>
      <c r="G62" s="6">
        <f>COUNTIFS('Test Cases'!L:L,"High",'Test Cases'!K:K,"Skipped")</f>
        <v/>
      </c>
      <c r="H62" s="7">
        <f>IFERROR(D62/(D62+E62),"-")</f>
        <v/>
      </c>
    </row>
    <row r="63">
      <c r="A63" s="13" t="inlineStr">
        <is>
          <t>Medium</t>
        </is>
      </c>
      <c r="B63" s="6">
        <f>COUNTIF('Test Cases'!L:L,"Medium")</f>
        <v/>
      </c>
      <c r="C63" s="6">
        <f>COUNTIFS('Test Cases'!L:L,"Medium",'Test Cases'!K:K,"Not Run")</f>
        <v/>
      </c>
      <c r="D63" s="6">
        <f>COUNTIFS('Test Cases'!L:L,"Medium",'Test Cases'!K:K,"Pass")</f>
        <v/>
      </c>
      <c r="E63" s="6">
        <f>COUNTIFS('Test Cases'!L:L,"Medium",'Test Cases'!K:K,"Fail")</f>
        <v/>
      </c>
      <c r="F63" s="6">
        <f>COUNTIFS('Test Cases'!L:L,"Medium",'Test Cases'!K:K,"Blocked")</f>
        <v/>
      </c>
      <c r="G63" s="6">
        <f>COUNTIFS('Test Cases'!L:L,"Medium",'Test Cases'!K:K,"Skipped")</f>
        <v/>
      </c>
      <c r="H63" s="7">
        <f>IFERROR(D63/(D63+E63),"-")</f>
        <v/>
      </c>
    </row>
    <row r="64">
      <c r="A64" s="14" t="inlineStr">
        <is>
          <t>Low</t>
        </is>
      </c>
      <c r="B64" s="6">
        <f>COUNTIF('Test Cases'!L:L,"Low")</f>
        <v/>
      </c>
      <c r="C64" s="6">
        <f>COUNTIFS('Test Cases'!L:L,"Low",'Test Cases'!K:K,"Not Run")</f>
        <v/>
      </c>
      <c r="D64" s="6">
        <f>COUNTIFS('Test Cases'!L:L,"Low",'Test Cases'!K:K,"Pass")</f>
        <v/>
      </c>
      <c r="E64" s="6">
        <f>COUNTIFS('Test Cases'!L:L,"Low",'Test Cases'!K:K,"Fail")</f>
        <v/>
      </c>
      <c r="F64" s="6">
        <f>COUNTIFS('Test Cases'!L:L,"Low",'Test Cases'!K:K,"Blocked")</f>
        <v/>
      </c>
      <c r="G64" s="6">
        <f>COUNTIFS('Test Cases'!L:L,"Low",'Test Cases'!K:K,"Skipped")</f>
        <v/>
      </c>
      <c r="H64" s="7">
        <f>IFERROR(D64/(D64+E64),"-")</f>
        <v/>
      </c>
    </row>
    <row r="67" ht="22" customHeight="1">
      <c r="A67" s="11" t="inlineStr">
        <is>
          <t>Counts by Test Type</t>
        </is>
      </c>
    </row>
    <row r="68">
      <c r="A68" s="4" t="inlineStr">
        <is>
          <t>Test Type</t>
        </is>
      </c>
      <c r="B68" s="4" t="inlineStr">
        <is>
          <t>Total</t>
        </is>
      </c>
      <c r="C68" s="4" t="inlineStr">
        <is>
          <t>Not Run</t>
        </is>
      </c>
      <c r="D68" s="4" t="inlineStr">
        <is>
          <t>Pass</t>
        </is>
      </c>
      <c r="E68" s="4" t="inlineStr">
        <is>
          <t>Fail</t>
        </is>
      </c>
      <c r="F68" s="4" t="inlineStr">
        <is>
          <t>Blocked</t>
        </is>
      </c>
      <c r="G68" s="4" t="inlineStr">
        <is>
          <t>Skipped</t>
        </is>
      </c>
      <c r="H68" s="4" t="inlineStr">
        <is>
          <t>Pass %</t>
        </is>
      </c>
    </row>
    <row r="69">
      <c r="A69" s="15" t="inlineStr">
        <is>
          <t>Functional</t>
        </is>
      </c>
      <c r="B69" s="6">
        <f>COUNTIF('Test Cases'!D:D,"Functional")</f>
        <v/>
      </c>
      <c r="C69" s="6">
        <f>COUNTIFS('Test Cases'!D:D,"Functional",'Test Cases'!K:K,"Not Run")</f>
        <v/>
      </c>
      <c r="D69" s="6">
        <f>COUNTIFS('Test Cases'!D:D,"Functional",'Test Cases'!K:K,"Pass")</f>
        <v/>
      </c>
      <c r="E69" s="6">
        <f>COUNTIFS('Test Cases'!D:D,"Functional",'Test Cases'!K:K,"Fail")</f>
        <v/>
      </c>
      <c r="F69" s="6">
        <f>COUNTIFS('Test Cases'!D:D,"Functional",'Test Cases'!K:K,"Blocked")</f>
        <v/>
      </c>
      <c r="G69" s="6">
        <f>COUNTIFS('Test Cases'!D:D,"Functional",'Test Cases'!K:K,"Skipped")</f>
        <v/>
      </c>
      <c r="H69" s="7">
        <f>IFERROR(D69/(D69+E69),"-")</f>
        <v/>
      </c>
    </row>
    <row r="70">
      <c r="A70" s="15" t="inlineStr">
        <is>
          <t>Negative</t>
        </is>
      </c>
      <c r="B70" s="6">
        <f>COUNTIF('Test Cases'!D:D,"Negative")</f>
        <v/>
      </c>
      <c r="C70" s="6">
        <f>COUNTIFS('Test Cases'!D:D,"Negative",'Test Cases'!K:K,"Not Run")</f>
        <v/>
      </c>
      <c r="D70" s="6">
        <f>COUNTIFS('Test Cases'!D:D,"Negative",'Test Cases'!K:K,"Pass")</f>
        <v/>
      </c>
      <c r="E70" s="6">
        <f>COUNTIFS('Test Cases'!D:D,"Negative",'Test Cases'!K:K,"Fail")</f>
        <v/>
      </c>
      <c r="F70" s="6">
        <f>COUNTIFS('Test Cases'!D:D,"Negative",'Test Cases'!K:K,"Blocked")</f>
        <v/>
      </c>
      <c r="G70" s="6">
        <f>COUNTIFS('Test Cases'!D:D,"Negative",'Test Cases'!K:K,"Skipped")</f>
        <v/>
      </c>
      <c r="H70" s="7">
        <f>IFERROR(D70/(D70+E70),"-")</f>
        <v/>
      </c>
    </row>
    <row r="71">
      <c r="A71" s="15" t="inlineStr">
        <is>
          <t>Edge Case</t>
        </is>
      </c>
      <c r="B71" s="6">
        <f>COUNTIF('Test Cases'!D:D,"Edge Case")</f>
        <v/>
      </c>
      <c r="C71" s="6">
        <f>COUNTIFS('Test Cases'!D:D,"Edge Case",'Test Cases'!K:K,"Not Run")</f>
        <v/>
      </c>
      <c r="D71" s="6">
        <f>COUNTIFS('Test Cases'!D:D,"Edge Case",'Test Cases'!K:K,"Pass")</f>
        <v/>
      </c>
      <c r="E71" s="6">
        <f>COUNTIFS('Test Cases'!D:D,"Edge Case",'Test Cases'!K:K,"Fail")</f>
        <v/>
      </c>
      <c r="F71" s="6">
        <f>COUNTIFS('Test Cases'!D:D,"Edge Case",'Test Cases'!K:K,"Blocked")</f>
        <v/>
      </c>
      <c r="G71" s="6">
        <f>COUNTIFS('Test Cases'!D:D,"Edge Case",'Test Cases'!K:K,"Skipped")</f>
        <v/>
      </c>
      <c r="H71" s="7">
        <f>IFERROR(D71/(D71+E71),"-")</f>
        <v/>
      </c>
    </row>
    <row r="72">
      <c r="A72" s="15" t="inlineStr">
        <is>
          <t>Security</t>
        </is>
      </c>
      <c r="B72" s="6">
        <f>COUNTIF('Test Cases'!D:D,"Security")</f>
        <v/>
      </c>
      <c r="C72" s="6">
        <f>COUNTIFS('Test Cases'!D:D,"Security",'Test Cases'!K:K,"Not Run")</f>
        <v/>
      </c>
      <c r="D72" s="6">
        <f>COUNTIFS('Test Cases'!D:D,"Security",'Test Cases'!K:K,"Pass")</f>
        <v/>
      </c>
      <c r="E72" s="6">
        <f>COUNTIFS('Test Cases'!D:D,"Security",'Test Cases'!K:K,"Fail")</f>
        <v/>
      </c>
      <c r="F72" s="6">
        <f>COUNTIFS('Test Cases'!D:D,"Security",'Test Cases'!K:K,"Blocked")</f>
        <v/>
      </c>
      <c r="G72" s="6">
        <f>COUNTIFS('Test Cases'!D:D,"Security",'Test Cases'!K:K,"Skipped")</f>
        <v/>
      </c>
      <c r="H72" s="7">
        <f>IFERROR(D72/(D72+E72),"-")</f>
        <v/>
      </c>
    </row>
    <row r="73">
      <c r="A73" s="15" t="inlineStr">
        <is>
          <t>A11y</t>
        </is>
      </c>
      <c r="B73" s="6">
        <f>COUNTIF('Test Cases'!D:D,"A11y")</f>
        <v/>
      </c>
      <c r="C73" s="6">
        <f>COUNTIFS('Test Cases'!D:D,"A11y",'Test Cases'!K:K,"Not Run")</f>
        <v/>
      </c>
      <c r="D73" s="6">
        <f>COUNTIFS('Test Cases'!D:D,"A11y",'Test Cases'!K:K,"Pass")</f>
        <v/>
      </c>
      <c r="E73" s="6">
        <f>COUNTIFS('Test Cases'!D:D,"A11y",'Test Cases'!K:K,"Fail")</f>
        <v/>
      </c>
      <c r="F73" s="6">
        <f>COUNTIFS('Test Cases'!D:D,"A11y",'Test Cases'!K:K,"Blocked")</f>
        <v/>
      </c>
      <c r="G73" s="6">
        <f>COUNTIFS('Test Cases'!D:D,"A11y",'Test Cases'!K:K,"Skipped")</f>
        <v/>
      </c>
      <c r="H73" s="7">
        <f>IFERROR(D73/(D73+E73),"-")</f>
        <v/>
      </c>
    </row>
    <row r="74">
      <c r="A74" s="15" t="inlineStr">
        <is>
          <t>Performance</t>
        </is>
      </c>
      <c r="B74" s="6">
        <f>COUNTIF('Test Cases'!D:D,"Performance")</f>
        <v/>
      </c>
      <c r="C74" s="6">
        <f>COUNTIFS('Test Cases'!D:D,"Performance",'Test Cases'!K:K,"Not Run")</f>
        <v/>
      </c>
      <c r="D74" s="6">
        <f>COUNTIFS('Test Cases'!D:D,"Performance",'Test Cases'!K:K,"Pass")</f>
        <v/>
      </c>
      <c r="E74" s="6">
        <f>COUNTIFS('Test Cases'!D:D,"Performance",'Test Cases'!K:K,"Fail")</f>
        <v/>
      </c>
      <c r="F74" s="6">
        <f>COUNTIFS('Test Cases'!D:D,"Performance",'Test Cases'!K:K,"Blocked")</f>
        <v/>
      </c>
      <c r="G74" s="6">
        <f>COUNTIFS('Test Cases'!D:D,"Performance",'Test Cases'!K:K,"Skipped")</f>
        <v/>
      </c>
      <c r="H74" s="7">
        <f>IFERROR(D74/(D74+E74),"-")</f>
        <v/>
      </c>
    </row>
    <row r="75">
      <c r="A75" s="15" t="inlineStr">
        <is>
          <t>Compatibility</t>
        </is>
      </c>
      <c r="B75" s="6">
        <f>COUNTIF('Test Cases'!D:D,"Compatibility")</f>
        <v/>
      </c>
      <c r="C75" s="6">
        <f>COUNTIFS('Test Cases'!D:D,"Compatibility",'Test Cases'!K:K,"Not Run")</f>
        <v/>
      </c>
      <c r="D75" s="6">
        <f>COUNTIFS('Test Cases'!D:D,"Compatibility",'Test Cases'!K:K,"Pass")</f>
        <v/>
      </c>
      <c r="E75" s="6">
        <f>COUNTIFS('Test Cases'!D:D,"Compatibility",'Test Cases'!K:K,"Fail")</f>
        <v/>
      </c>
      <c r="F75" s="6">
        <f>COUNTIFS('Test Cases'!D:D,"Compatibility",'Test Cases'!K:K,"Blocked")</f>
        <v/>
      </c>
      <c r="G75" s="6">
        <f>COUNTIFS('Test Cases'!D:D,"Compatibility",'Test Cases'!K:K,"Skipped")</f>
        <v/>
      </c>
      <c r="H75" s="7">
        <f>IFERROR(D75/(D75+E75),"-")</f>
        <v/>
      </c>
    </row>
    <row r="76">
      <c r="A76" s="15" t="inlineStr">
        <is>
          <t>UX/UI</t>
        </is>
      </c>
      <c r="B76" s="6">
        <f>COUNTIF('Test Cases'!D:D,"UX/UI")</f>
        <v/>
      </c>
      <c r="C76" s="6">
        <f>COUNTIFS('Test Cases'!D:D,"UX/UI",'Test Cases'!K:K,"Not Run")</f>
        <v/>
      </c>
      <c r="D76" s="6">
        <f>COUNTIFS('Test Cases'!D:D,"UX/UI",'Test Cases'!K:K,"Pass")</f>
        <v/>
      </c>
      <c r="E76" s="6">
        <f>COUNTIFS('Test Cases'!D:D,"UX/UI",'Test Cases'!K:K,"Fail")</f>
        <v/>
      </c>
      <c r="F76" s="6">
        <f>COUNTIFS('Test Cases'!D:D,"UX/UI",'Test Cases'!K:K,"Blocked")</f>
        <v/>
      </c>
      <c r="G76" s="6">
        <f>COUNTIFS('Test Cases'!D:D,"UX/UI",'Test Cases'!K:K,"Skipped")</f>
        <v/>
      </c>
      <c r="H76" s="7">
        <f>IFERROR(D76/(D76+E76),"-")</f>
        <v/>
      </c>
    </row>
    <row r="77">
      <c r="A77" s="15" t="inlineStr">
        <is>
          <t>Regression</t>
        </is>
      </c>
      <c r="B77" s="6">
        <f>COUNTIF('Test Cases'!D:D,"Regression")</f>
        <v/>
      </c>
      <c r="C77" s="6">
        <f>COUNTIFS('Test Cases'!D:D,"Regression",'Test Cases'!K:K,"Not Run")</f>
        <v/>
      </c>
      <c r="D77" s="6">
        <f>COUNTIFS('Test Cases'!D:D,"Regression",'Test Cases'!K:K,"Pass")</f>
        <v/>
      </c>
      <c r="E77" s="6">
        <f>COUNTIFS('Test Cases'!D:D,"Regression",'Test Cases'!K:K,"Fail")</f>
        <v/>
      </c>
      <c r="F77" s="6">
        <f>COUNTIFS('Test Cases'!D:D,"Regression",'Test Cases'!K:K,"Blocked")</f>
        <v/>
      </c>
      <c r="G77" s="6">
        <f>COUNTIFS('Test Cases'!D:D,"Regression",'Test Cases'!K:K,"Skipped")</f>
        <v/>
      </c>
      <c r="H77" s="7">
        <f>IFERROR(D77/(D77+E77),"-")</f>
        <v/>
      </c>
    </row>
  </sheetData>
  <mergeCells count="3">
    <mergeCell ref="A60:H60"/>
    <mergeCell ref="A67:H67"/>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349"/>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32" customWidth="1" min="2" max="2"/>
    <col width="32" customWidth="1" min="3" max="3"/>
    <col width="14" customWidth="1" min="4" max="4"/>
    <col width="42" customWidth="1" min="5" max="5"/>
    <col width="30" customWidth="1" min="6" max="6"/>
    <col width="50" customWidth="1" min="7" max="7"/>
    <col width="22" customWidth="1" min="8" max="8"/>
    <col width="56" customWidth="1" min="9" max="9"/>
    <col width="30" customWidth="1" min="10" max="10"/>
    <col width="12" customWidth="1" min="11" max="11"/>
    <col width="10" customWidth="1" min="12" max="12"/>
    <col width="14" customWidth="1" min="13" max="13"/>
    <col width="12" customWidth="1" min="14" max="14"/>
    <col width="28" customWidth="1" min="15" max="15"/>
  </cols>
  <sheetData>
    <row r="1" ht="32" customHeight="1">
      <c r="A1" s="4" t="inlineStr">
        <is>
          <t>TC ID</t>
        </is>
      </c>
      <c r="B1" s="4" t="inlineStr">
        <is>
          <t>Module</t>
        </is>
      </c>
      <c r="C1" s="4" t="inlineStr">
        <is>
          <t>Sub-Feature</t>
        </is>
      </c>
      <c r="D1" s="4" t="inlineStr">
        <is>
          <t>Test Type</t>
        </is>
      </c>
      <c r="E1" s="4" t="inlineStr">
        <is>
          <t>Test Case Title</t>
        </is>
      </c>
      <c r="F1" s="4" t="inlineStr">
        <is>
          <t>Pre-conditions</t>
        </is>
      </c>
      <c r="G1" s="4" t="inlineStr">
        <is>
          <t>Test Steps (How to Execute)</t>
        </is>
      </c>
      <c r="H1" s="4" t="inlineStr">
        <is>
          <t>Test Data</t>
        </is>
      </c>
      <c r="I1" s="4" t="inlineStr">
        <is>
          <t>Expected Result</t>
        </is>
      </c>
      <c r="J1" s="4" t="inlineStr">
        <is>
          <t>Actual Result</t>
        </is>
      </c>
      <c r="K1" s="4" t="inlineStr">
        <is>
          <t>Status</t>
        </is>
      </c>
      <c r="L1" s="4" t="inlineStr">
        <is>
          <t>Priority</t>
        </is>
      </c>
      <c r="M1" s="4" t="inlineStr">
        <is>
          <t>Tester</t>
        </is>
      </c>
      <c r="N1" s="4" t="inlineStr">
        <is>
          <t>Test Date</t>
        </is>
      </c>
      <c r="O1" s="4" t="inlineStr">
        <is>
          <t>Notes / Defect ID</t>
        </is>
      </c>
    </row>
    <row r="2" ht="72" customHeight="1">
      <c r="A2" s="16" t="inlineStr">
        <is>
          <t>TC-WS-0001</t>
        </is>
      </c>
      <c r="B2" s="16" t="inlineStr">
        <is>
          <t>Workspace Management</t>
        </is>
      </c>
      <c r="C2" s="16" t="inlineStr">
        <is>
          <t>Create</t>
        </is>
      </c>
      <c r="D2" s="16" t="inlineStr">
        <is>
          <t>Functional</t>
        </is>
      </c>
      <c r="E2" s="16" t="inlineStr">
        <is>
          <t>Create new local workspace</t>
        </is>
      </c>
      <c r="F2" s="16" t="inlineStr">
        <is>
          <t>App is launched.</t>
        </is>
      </c>
      <c r="G2" s="16" t="inlineStr">
        <is>
          <t>1. Workspace switcher.
2. Create new.
3. Name 'QA-Smoke'.</t>
        </is>
      </c>
      <c r="H2" s="16" t="inlineStr">
        <is>
          <t>Name: QA-Smoke</t>
        </is>
      </c>
      <c r="I2" s="16" t="inlineStr">
        <is>
          <t>Workspace created and active; empty explorer; top bar shows name.</t>
        </is>
      </c>
      <c r="J2" s="16" t="inlineStr">
        <is>
          <t>Workspace 'QA-Smoke' was created and became active; top bar updated to '/ QA-Smoke'. However the Editor's Requests tree (explorer) was NOT empty — it showed a seeded 'Sample: GET /anything' request, and the welcome tour confirmed this is intentional ('A sample request is loaded in the sidebar — open it and hit Send to see a real response'). 2 of 3 expected claims pass; 'empty explorer' fails.</t>
        </is>
      </c>
      <c r="K2" s="16" t="inlineStr">
        <is>
          <t>Fail</t>
        </is>
      </c>
      <c r="L2" s="16" t="inlineStr">
        <is>
          <t>High</t>
        </is>
      </c>
      <c r="M2" s="16" t="inlineStr">
        <is>
          <t>Claude Cowork</t>
        </is>
      </c>
      <c r="N2" s="16" t="inlineStr">
        <is>
          <t>2026-05-14</t>
        </is>
      </c>
      <c r="O2" s="16" t="inlineStr">
        <is>
          <t>Build: git 6ca7dbf. Evidence (Cowork screenshots): switcher-open=ss_838454pre, modal=ss_66114xabd, name-typed=ss_5793wy1ao, created=ss_8092jbniv, workspace-tab=ss_8496m0ho7, editor-after=ss_5891in6i7. Either the Expected text or the new-workspace seed behavior needs to change. Defect candidate: empty-explorer-violation. Note: also created stray 'QA-Smoke-WS' workspace from an earlier attempt before re-reading Test Data; cleanup expected in TC-WS-0010/0011.</t>
        </is>
      </c>
    </row>
    <row r="3" ht="72" customHeight="1">
      <c r="A3" s="16" t="inlineStr">
        <is>
          <t>TC-WS-0002</t>
        </is>
      </c>
      <c r="B3" s="16" t="inlineStr">
        <is>
          <t>Workspace Management</t>
        </is>
      </c>
      <c r="C3" s="16" t="inlineStr">
        <is>
          <t>Create</t>
        </is>
      </c>
      <c r="D3" s="16" t="inlineStr">
        <is>
          <t>Negative</t>
        </is>
      </c>
      <c r="E3" s="16" t="inlineStr">
        <is>
          <t>Reject blank name</t>
        </is>
      </c>
      <c r="F3" s="16" t="inlineStr">
        <is>
          <t>Create dialog open.</t>
        </is>
      </c>
      <c r="G3" s="16" t="inlineStr">
        <is>
          <t>1. Empty name.
2. Create.</t>
        </is>
      </c>
      <c r="H3" s="16" t="inlineStr">
        <is>
          <t>—</t>
        </is>
      </c>
      <c r="I3" s="16" t="inlineStr">
        <is>
          <t>Create disabled or validation error; no workspace created.</t>
        </is>
      </c>
      <c r="J3" s="16" t="inlineStr">
        <is>
          <t>With the New workspace dialog open and the name field left blank, the '+ Create workspace' button was visibly disabled. Clicking it had no effect — dialog stayed open, no validation toast/inline error appeared, and no new workspace was added to the switcher list (still: QA-Smoke, QA-Smoke-WS, My Workspace).</t>
        </is>
      </c>
      <c r="K3" s="16" t="inlineStr">
        <is>
          <t>Pass</t>
        </is>
      </c>
      <c r="L3" s="16" t="inlineStr">
        <is>
          <t>Medium</t>
        </is>
      </c>
      <c r="M3" s="16" t="inlineStr">
        <is>
          <t>Claude Cowork</t>
        </is>
      </c>
      <c r="N3" s="16" t="inlineStr">
        <is>
          <t>2026-05-14</t>
        </is>
      </c>
      <c r="O3" s="16" t="inlineStr">
        <is>
          <t>Build: git 6ca7dbf. Evidence: dialog-open=ss_3742iawfb, click-disabled=ss_4382nailx, switcher-after-cancel=ss_0532h1us0. Behavior is 'Create disabled' branch of the OR in Expected.</t>
        </is>
      </c>
    </row>
    <row r="4" ht="72" customHeight="1">
      <c r="A4" s="16" t="inlineStr">
        <is>
          <t>TC-WS-0003</t>
        </is>
      </c>
      <c r="B4" s="16" t="inlineStr">
        <is>
          <t>Workspace Management</t>
        </is>
      </c>
      <c r="C4" s="16" t="inlineStr">
        <is>
          <t>Create</t>
        </is>
      </c>
      <c r="D4" s="16" t="inlineStr">
        <is>
          <t>Edge Case</t>
        </is>
      </c>
      <c r="E4" s="16" t="inlineStr">
        <is>
          <t>Unicode + emoji name</t>
        </is>
      </c>
      <c r="F4" s="16" t="inlineStr">
        <is>
          <t>Create dialog open.</t>
        </is>
      </c>
      <c r="G4" s="16" t="inlineStr">
        <is>
          <t>1. Name 'Café 🚀 测试 αβγ'.
2. Create.</t>
        </is>
      </c>
      <c r="H4" s="16" t="inlineStr">
        <is>
          <t>—</t>
        </is>
      </c>
      <c r="I4" s="16" t="inlineStr">
        <is>
          <t>Created; name renders correctly in switcher, top bar, persisted state.</t>
        </is>
      </c>
      <c r="J4" s="16" t="inlineStr">
        <is>
          <t>Workspace 'Café 🚀 测试 αβγ' was accepted and created. Name rendered correctly in: input field as typed, top bar chip ('/ Café 🚀 测试 αβγ ▼'), switcher list (with ACTIVE badge), and the accessibility tree exposed it as 'Switch workspace (current: Café 🚀 测试 αβγ)'. Survived a full F5 reload with name and active state preserved.</t>
        </is>
      </c>
      <c r="K4" s="16" t="inlineStr">
        <is>
          <t>Pass</t>
        </is>
      </c>
      <c r="L4" s="16" t="inlineStr">
        <is>
          <t>Low</t>
        </is>
      </c>
      <c r="M4" s="16" t="inlineStr">
        <is>
          <t>Claude Cowork</t>
        </is>
      </c>
      <c r="N4" s="16" t="inlineStr">
        <is>
          <t>2026-05-14</t>
        </is>
      </c>
      <c r="O4" s="16" t="inlineStr">
        <is>
          <t>Evidence: typed=ss_11796qjg8, created=ss_3495ktfx5, switcher=ss_0199j84h4, after-reload=ss_53234iz0l.</t>
        </is>
      </c>
    </row>
    <row r="5" ht="72" customHeight="1">
      <c r="A5" s="16" t="inlineStr">
        <is>
          <t>TC-WS-0004</t>
        </is>
      </c>
      <c r="B5" s="16" t="inlineStr">
        <is>
          <t>Workspace Management</t>
        </is>
      </c>
      <c r="C5" s="16" t="inlineStr">
        <is>
          <t>Create</t>
        </is>
      </c>
      <c r="D5" s="16" t="inlineStr">
        <is>
          <t>Edge Case</t>
        </is>
      </c>
      <c r="E5" s="16" t="inlineStr">
        <is>
          <t>256-char name truncation/rejection</t>
        </is>
      </c>
      <c r="F5" s="16" t="inlineStr">
        <is>
          <t>Create dialog open.</t>
        </is>
      </c>
      <c r="G5" s="16" t="inlineStr">
        <is>
          <t>1. Paste 256-char name.
2. Create.</t>
        </is>
      </c>
      <c r="H5" s="16" t="inlineStr">
        <is>
          <t>256 chars</t>
        </is>
      </c>
      <c r="I5" s="16" t="inlineStr">
        <is>
          <t>Either truncated to documented limit, or clear validation error; UI does not break.</t>
        </is>
      </c>
      <c r="J5" s="16" t="inlineStr">
        <is>
          <t>Pasted a 256-char alphanumeric name. The app accepted it without any documented length limit: no client-side truncation (full 256 chars are stored — accessibility name on the switcher chip exposes the entire string), and no validation error displayed. The top bar applies CSS ellipsis for display only ('ABCDEFGHIJKLMNOPQRSTUVW…'), but that is presentational, not an input limit. UI did not crash or visibly break. Fails 'truncated to documented limit OR clear validation error' clause; passes 'UI does not break'.</t>
        </is>
      </c>
      <c r="K5" s="16" t="inlineStr">
        <is>
          <t>Fail</t>
        </is>
      </c>
      <c r="L5" s="16" t="inlineStr">
        <is>
          <t>Low</t>
        </is>
      </c>
      <c r="M5" s="16" t="inlineStr">
        <is>
          <t>Claude Cowork</t>
        </is>
      </c>
      <c r="N5" s="16" t="inlineStr">
        <is>
          <t>2026-05-14</t>
        </is>
      </c>
      <c r="O5" s="16" t="inlineStr">
        <is>
          <t>Evidence: typed=ss_1504eefwh, created=ss_3814wzvvx. Defect candidate: no input length limit on workspace name. Need product decision on whether to add a documented max length.</t>
        </is>
      </c>
    </row>
    <row r="6" ht="72" customHeight="1">
      <c r="A6" s="16" t="inlineStr">
        <is>
          <t>TC-WS-0005</t>
        </is>
      </c>
      <c r="B6" s="16" t="inlineStr">
        <is>
          <t>Workspace Management</t>
        </is>
      </c>
      <c r="C6" s="16" t="inlineStr">
        <is>
          <t>Create</t>
        </is>
      </c>
      <c r="D6" s="16" t="inlineStr">
        <is>
          <t>Edge Case</t>
        </is>
      </c>
      <c r="E6" s="16" t="inlineStr">
        <is>
          <t>Whitespace-only name rejected</t>
        </is>
      </c>
      <c r="F6" s="16" t="inlineStr">
        <is>
          <t>Create dialog.</t>
        </is>
      </c>
      <c r="G6" s="16" t="inlineStr">
        <is>
          <t>1. Name '   '.</t>
        </is>
      </c>
      <c r="H6" s="16" t="inlineStr">
        <is>
          <t>—</t>
        </is>
      </c>
      <c r="I6" s="16" t="inlineStr">
        <is>
          <t>Validation error; create blocked.</t>
        </is>
      </c>
      <c r="J6" s="16" t="inlineStr">
        <is>
          <t>Typed three spaces into the workspace name input. The '+ Create workspace' button remained disabled (visibly dimmed). Clicking it produced no effect — dialog stayed open, no new workspace appeared in the switcher list, top bar still showed the previous (256-char) active workspace. Treats whitespace-only as empty.</t>
        </is>
      </c>
      <c r="K6" s="16" t="inlineStr">
        <is>
          <t>Pass</t>
        </is>
      </c>
      <c r="L6" s="16" t="inlineStr">
        <is>
          <t>Low</t>
        </is>
      </c>
      <c r="M6" s="16" t="inlineStr">
        <is>
          <t>Claude Cowork</t>
        </is>
      </c>
      <c r="N6" s="16" t="inlineStr">
        <is>
          <t>2026-05-14</t>
        </is>
      </c>
      <c r="O6" s="16" t="inlineStr">
        <is>
          <t>Evidence: whitespace-typed=ss_3058r7m5n, click-on-disabled=ss_43563d149.</t>
        </is>
      </c>
    </row>
    <row r="7" ht="72" customHeight="1">
      <c r="A7" s="16" t="inlineStr">
        <is>
          <t>TC-WS-0006</t>
        </is>
      </c>
      <c r="B7" s="16" t="inlineStr">
        <is>
          <t>Workspace Management</t>
        </is>
      </c>
      <c r="C7" s="16" t="inlineStr">
        <is>
          <t>Create</t>
        </is>
      </c>
      <c r="D7" s="16" t="inlineStr">
        <is>
          <t>Negative</t>
        </is>
      </c>
      <c r="E7" s="16" t="inlineStr">
        <is>
          <t>Duplicate workspace name allowed (UUID id)</t>
        </is>
      </c>
      <c r="F7" s="16" t="inlineStr">
        <is>
          <t>Workspace 'A' exists.</t>
        </is>
      </c>
      <c r="G7" s="16" t="inlineStr">
        <is>
          <t>1. Create another 'A'.</t>
        </is>
      </c>
      <c r="H7" s="16" t="inlineStr">
        <is>
          <t>—</t>
        </is>
      </c>
      <c r="I7" s="16" t="inlineStr">
        <is>
          <t>Allowed by id, but switcher disambiguates via secondary label or recent timestamp.</t>
        </is>
      </c>
      <c r="J7" s="16" t="inlineStr">
        <is>
          <t>Attempted to create a second workspace also named 'A' (workspace 'A' already existed from setup). The dialog showed an inline validation error 'A workspace named "A" already exists' in red beneath the input, and the '+ Create workspace' button was disabled. Duplicate workspace name was NOT allowed. Top bar / switcher still has only one 'A' after the attempt.</t>
        </is>
      </c>
      <c r="K7" s="16" t="inlineStr">
        <is>
          <t>Fail</t>
        </is>
      </c>
      <c r="L7" s="16" t="inlineStr">
        <is>
          <t>Low</t>
        </is>
      </c>
      <c r="M7" s="16" t="inlineStr">
        <is>
          <t>Claude Cowork</t>
        </is>
      </c>
      <c r="N7" s="16" t="inlineStr">
        <is>
          <t>2026-05-14</t>
        </is>
      </c>
      <c r="O7" s="16" t="inlineStr">
        <is>
          <t>Evidence: duplicate-rejected=ss_1993v014t. Expected says duplicates should be allowed (UUID id) with switcher disambiguation; implementation enforces unique names by display label. Defect candidate (or test-plan update): align on whether duplicates are allowed or rejected.</t>
        </is>
      </c>
    </row>
    <row r="8" ht="72" customHeight="1">
      <c r="A8" s="16" t="inlineStr">
        <is>
          <t>TC-WS-0007</t>
        </is>
      </c>
      <c r="B8" s="16" t="inlineStr">
        <is>
          <t>Workspace Management</t>
        </is>
      </c>
      <c r="C8" s="16" t="inlineStr">
        <is>
          <t>Switcher</t>
        </is>
      </c>
      <c r="D8" s="16" t="inlineStr">
        <is>
          <t>Functional</t>
        </is>
      </c>
      <c r="E8" s="16" t="inlineStr">
        <is>
          <t>Switch between two workspaces</t>
        </is>
      </c>
      <c r="F8" s="16" t="inlineStr">
        <is>
          <t>Workspaces A and B exist.</t>
        </is>
      </c>
      <c r="G8" s="16" t="inlineStr">
        <is>
          <t>1. Open switcher.
2. Pick B.</t>
        </is>
      </c>
      <c r="H8" s="16" t="inlineStr">
        <is>
          <t>—</t>
        </is>
      </c>
      <c r="I8" s="16" t="inlineStr">
        <is>
          <t>Active workspace = B; explorer/envs/history reflect B.</t>
        </is>
      </c>
      <c r="J8" s="16" t="inlineStr">
        <is>
          <t>Pre-state: workspace 'A' was active and a second workspace 'QA-Smoke' existed. Opened switcher, clicked 'QA-Smoke'. Top bar updated to '/ QA-Smoke', accessibility name became 'Switch workspace (current: QA-Smoke)'. Editor sidebar (explorer) reloaded; Environments / History / Mocks remained accessible. Active workspace transition observed end-to-end.</t>
        </is>
      </c>
      <c r="K8" s="16" t="inlineStr">
        <is>
          <t>Pass</t>
        </is>
      </c>
      <c r="L8" s="16" t="inlineStr">
        <is>
          <t>High</t>
        </is>
      </c>
      <c r="M8" s="16" t="inlineStr">
        <is>
          <t>Claude Cowork</t>
        </is>
      </c>
      <c r="N8" s="16" t="inlineStr">
        <is>
          <t>2026-05-14</t>
        </is>
      </c>
      <c r="O8" s="16" t="inlineStr">
        <is>
          <t>Evidence: switcher-open-with-A=ss_7793z0oly, after-switch=ss_0045tci7y. Note: each workspace ships a seeded sample request (cf. TC-WS-0001 Fail), so the explorer content of A and QA-Smoke looked similar in trees, but the active-workspace context did switch.</t>
        </is>
      </c>
    </row>
    <row r="9" ht="72" customHeight="1">
      <c r="A9" s="16" t="inlineStr">
        <is>
          <t>TC-WS-0008</t>
        </is>
      </c>
      <c r="B9" s="16" t="inlineStr">
        <is>
          <t>Workspace Management</t>
        </is>
      </c>
      <c r="C9" s="16" t="inlineStr">
        <is>
          <t>Switcher</t>
        </is>
      </c>
      <c r="D9" s="16" t="inlineStr">
        <is>
          <t>Functional</t>
        </is>
      </c>
      <c r="E9" s="16" t="inlineStr">
        <is>
          <t>Recent workspaces persist across restart</t>
        </is>
      </c>
      <c r="F9" s="16" t="inlineStr">
        <is>
          <t>3 workspaces opened.</t>
        </is>
      </c>
      <c r="G9" s="16" t="inlineStr">
        <is>
          <t>1. Restart app.
2. Open switcher.</t>
        </is>
      </c>
      <c r="H9" s="16" t="inlineStr">
        <is>
          <t>—</t>
        </is>
      </c>
      <c r="I9" s="16" t="inlineStr">
        <is>
          <t>3 workspaces listed in last-opened order; last-active restored.</t>
        </is>
      </c>
      <c r="J9" s="16" t="inlineStr">
        <is>
          <t>Pre-state: 6 workspaces existed (QA-Smoke active). Triggered F5 reload (web 'restart' equivalent). After reload: top bar still shows '/ QA-Smoke', accessibility name confirms 'current: QA-Smoke'. Opening switcher shows all 6 workspaces persisted (QA-Smoke, A, [256-char one], Café 🚀 测试 αβγ, QA-Smoke-WS, My Workspace), with the last-active (QA-Smoke) listed first.</t>
        </is>
      </c>
      <c r="K9" s="16" t="inlineStr">
        <is>
          <t>Pass</t>
        </is>
      </c>
      <c r="L9" s="16" t="inlineStr">
        <is>
          <t>High</t>
        </is>
      </c>
      <c r="M9" s="16" t="inlineStr">
        <is>
          <t>Claude Cowork</t>
        </is>
      </c>
      <c r="N9" s="16" t="inlineStr">
        <is>
          <t>2026-05-14</t>
        </is>
      </c>
      <c r="O9" s="16" t="inlineStr">
        <is>
          <t>Evidence: after-reload=ss_3101d86ee, switcher-after-reload=ss_09288rgm4. Note: row's Pre says '3 workspaces opened' — the test ran with 6 instead, but the persistence + last-active-restoration behavior is what's being graded and it held. F5 is the web equivalent of 'restart app' since this is a SPA backed by IndexedDB.</t>
        </is>
      </c>
    </row>
    <row r="10" ht="72" customHeight="1">
      <c r="A10" s="16" t="inlineStr">
        <is>
          <t>TC-WS-0009</t>
        </is>
      </c>
      <c r="B10" s="16" t="inlineStr">
        <is>
          <t>Workspace Management</t>
        </is>
      </c>
      <c r="C10" s="16" t="inlineStr">
        <is>
          <t>Switcher</t>
        </is>
      </c>
      <c r="D10" s="16" t="inlineStr">
        <is>
          <t>UX/UI</t>
        </is>
      </c>
      <c r="E10" s="16" t="inlineStr">
        <is>
          <t>Recent list shows last-active first</t>
        </is>
      </c>
      <c r="F10" s="16" t="inlineStr">
        <is>
          <t>—</t>
        </is>
      </c>
      <c r="G10" s="16" t="inlineStr">
        <is>
          <t>1. Use 3 workspaces in order A→B→C.
2. Open switcher.</t>
        </is>
      </c>
      <c r="H10" s="16" t="inlineStr">
        <is>
          <t>—</t>
        </is>
      </c>
      <c r="I10" s="16" t="inlineStr">
        <is>
          <t>Order: C, B, A.</t>
        </is>
      </c>
      <c r="J10" s="16" t="inlineStr">
        <is>
          <t>Used 3 workspaces in sequence A → QA-Smoke-WS → My Workspace. Opening the switcher then showed the top 3 entries in MRU order: My Workspace (active), QA-Smoke-WS, A — matching the Expected 'C, B, A' ordering. Older workspaces (QA-Smoke, the 256-char one, Café 🚀 测试 αβγ) followed below in their prior MRU order.</t>
        </is>
      </c>
      <c r="K10" s="16" t="inlineStr">
        <is>
          <t>Pass</t>
        </is>
      </c>
      <c r="L10" s="16" t="inlineStr">
        <is>
          <t>Low</t>
        </is>
      </c>
      <c r="M10" s="16" t="inlineStr">
        <is>
          <t>Claude Cowork</t>
        </is>
      </c>
      <c r="N10" s="16" t="inlineStr">
        <is>
          <t>2026-05-14</t>
        </is>
      </c>
      <c r="O10" s="16" t="inlineStr">
        <is>
          <t>Evidence: after-sequence=ss_84097t6aw, switcher-mru=ss_88749axld. Behavior: switcher always lists active first, then descending recency.</t>
        </is>
      </c>
    </row>
    <row r="11" ht="72" customHeight="1">
      <c r="A11" s="16" t="inlineStr">
        <is>
          <t>TC-WS-0010</t>
        </is>
      </c>
      <c r="B11" s="16" t="inlineStr">
        <is>
          <t>Workspace Management</t>
        </is>
      </c>
      <c r="C11" s="16" t="inlineStr">
        <is>
          <t>Delete</t>
        </is>
      </c>
      <c r="D11" s="16" t="inlineStr">
        <is>
          <t>Functional</t>
        </is>
      </c>
      <c r="E11" s="16" t="inlineStr">
        <is>
          <t>Delete requires confirmation</t>
        </is>
      </c>
      <c r="F11" s="16" t="inlineStr">
        <is>
          <t>Workspace 'Disposable' active.</t>
        </is>
      </c>
      <c r="G11" s="16" t="inlineStr">
        <is>
          <t>1. Settings → Delete.
2. Cancel.</t>
        </is>
      </c>
      <c r="H11" s="16" t="inlineStr">
        <is>
          <t>—</t>
        </is>
      </c>
      <c r="I11" s="16" t="inlineStr">
        <is>
          <t>Destructive confirm shown; on cancel, workspace remains.</t>
        </is>
      </c>
      <c r="J11" s="16" t="inlineStr">
        <is>
          <t>Active workspace QA-Smoke-WS. The Test Steps say 'Settings → Delete' but no Delete control exists inside the Settings menu (Settings menu is app-level: Appearance/Behavior). Delete UX path is instead via the workspace switcher dropdown: a trash icon next to each workspace row. Clicking 'Delete QA-Smoke-WS' opened a modal titled 'Delete QA-Smoke-WS?' with destructive body text ('Removes the workspace and every request, environment, link, and release inside it from this browser. The workspace's GitHub repo (if connected) is untouched. This cannot be undone.') and two buttons: Cancel + Delete workspace (red). Clicked Cancel — modal closed, workspace QA-Smoke-WS remained in the switcher and stayed active. Behavior matches the OBSERVABLE expectations even though the path to it differs from the steps.</t>
        </is>
      </c>
      <c r="K11" s="16" t="inlineStr">
        <is>
          <t>Pass</t>
        </is>
      </c>
      <c r="L11" s="16" t="inlineStr">
        <is>
          <t>High</t>
        </is>
      </c>
      <c r="M11" s="16" t="inlineStr">
        <is>
          <t>Claude Cowork</t>
        </is>
      </c>
      <c r="N11" s="16" t="inlineStr">
        <is>
          <t>2026-05-14</t>
        </is>
      </c>
      <c r="O11" s="16" t="inlineStr">
        <is>
          <t>Evidence: settings-menu=ss_77815o1d6, settings-content=ss_5509fo447, switcher-with-trash=ss_2669fgu5m, confirm-dialog=ss_3992chltr, after-cancel=ss_8050oymjn. Test Steps minor inaccuracy: should say 'Workspace switcher → trash icon' not 'Settings → Delete'.</t>
        </is>
      </c>
    </row>
    <row r="12" ht="72" customHeight="1">
      <c r="A12" s="16" t="inlineStr">
        <is>
          <t>TC-WS-0011</t>
        </is>
      </c>
      <c r="B12" s="16" t="inlineStr">
        <is>
          <t>Workspace Management</t>
        </is>
      </c>
      <c r="C12" s="16" t="inlineStr">
        <is>
          <t>Delete</t>
        </is>
      </c>
      <c r="D12" s="16" t="inlineStr">
        <is>
          <t>Functional</t>
        </is>
      </c>
      <c r="E12" s="16" t="inlineStr">
        <is>
          <t>Confirm deletion removes from registry</t>
        </is>
      </c>
      <c r="F12" s="16" t="inlineStr">
        <is>
          <t>Disposable active.</t>
        </is>
      </c>
      <c r="G12" s="16" t="inlineStr">
        <is>
          <t>1. Delete → Confirm.</t>
        </is>
      </c>
      <c r="H12" s="16" t="inlineStr">
        <is>
          <t>—</t>
        </is>
      </c>
      <c r="I12" s="16" t="inlineStr">
        <is>
          <t>Removed; app switches to another workspace or empty state; persists across restart.</t>
        </is>
      </c>
      <c r="J12" s="16" t="inlineStr">
        <is>
          <t>Active workspace QA-Smoke-WS. Clicked the trash icon in the switcher → confirm dialog appeared → clicked 'Delete workspace' (destructive red). The workspace was removed; the app auto-switched to 'My Workspace' (accessibility name: 'Switch workspace (current: My Workspace)'). After F5 reload, switcher lists 5 workspaces (My Workspace, A, QA-Smoke, ABCDEFG..., Café 🚀 测试 αβγ); QA-Smoke-WS is no longer present. Deletion is persisted across reload.</t>
        </is>
      </c>
      <c r="K12" s="16" t="inlineStr">
        <is>
          <t>Pass</t>
        </is>
      </c>
      <c r="L12" s="16" t="inlineStr">
        <is>
          <t>High</t>
        </is>
      </c>
      <c r="M12" s="16" t="inlineStr">
        <is>
          <t>Claude Cowork</t>
        </is>
      </c>
      <c r="N12" s="16" t="inlineStr">
        <is>
          <t>2026-05-14</t>
        </is>
      </c>
      <c r="O12" s="16" t="inlineStr">
        <is>
          <t>Evidence: about-to-confirm=ss_9753vgu80, after-delete=ss_7302nbe7m. App's auto-switch target is 'My Workspace' (the next workspace in the list). All 3 Expected clauses observed: removed-from-registry / switch-to-another / persist-across-restart.</t>
        </is>
      </c>
    </row>
    <row r="13" ht="72" customHeight="1">
      <c r="A13" s="16" t="inlineStr">
        <is>
          <t>TC-WS-0012</t>
        </is>
      </c>
      <c r="B13" s="16" t="inlineStr">
        <is>
          <t>Workspace Management</t>
        </is>
      </c>
      <c r="C13" s="16" t="inlineStr">
        <is>
          <t>Link to Git</t>
        </is>
      </c>
      <c r="D13" s="16" t="inlineStr">
        <is>
          <t>Functional</t>
        </is>
      </c>
      <c r="E13" s="16" t="inlineStr">
        <is>
          <t>Link unlinked workspace to GitHub repo</t>
        </is>
      </c>
      <c r="F13" s="16" t="inlineStr">
        <is>
          <t>Workspace unlinked; GitHub auth ready.</t>
        </is>
      </c>
      <c r="G13" s="16" t="inlineStr">
        <is>
          <t>1. Link.
2. Authorize.
3. Pick repo.</t>
        </is>
      </c>
      <c r="H13" s="16" t="inlineStr">
        <is>
          <t>—</t>
        </is>
      </c>
      <c r="I13" s="16" t="inlineStr">
        <is>
          <t>Working branch created on remote; Push/Pull enabled; status 'Linked'.</t>
        </is>
      </c>
      <c r="J13" s="16" t="inlineStr">
        <is>
          <t>Pre: unlinked 'My Workspace'. Flow: Workspace tab → Secret Vault → Sessions → pasted PAT into password field (kept masked) → clicked Connect. The session was created (UI shows 'Connected as devaprakash0927' with Granted scopes: repo, Last verified timestamp). The Workspace tab then displayed a 'GITHUB CONNECTED' badge and a 'Repo &amp; Working Branch' section with a filter to pick a repo. Selected the only accessible repo 'devaprakash0927/apicircle-ws-private-2' (private). UI showed: Default branch=main, Pushable=Yes, Connected timestamp. Created a working branch ('apicircle/my-workspace-e69b0d' from main at 7e27ae1). Status badge changed to 'Branch ready' and the working-branch card surfaced Push/Refresh/Sync attachments/Create PR/Discard buttons. The branch already had workspace.json on the remote; the app correctly detected this and offered 'Pull first' or 'Skip — I'll push my local first' — proving round-trip mechanism works.</t>
        </is>
      </c>
      <c r="K13" s="16" t="inlineStr">
        <is>
          <t>Pass</t>
        </is>
      </c>
      <c r="L13" s="16" t="inlineStr">
        <is>
          <t>High</t>
        </is>
      </c>
      <c r="M13" s="16" t="inlineStr">
        <is>
          <t>Claude Cowork</t>
        </is>
      </c>
      <c r="N13" s="16" t="inlineStr">
        <is>
          <t>2026-05-14</t>
        </is>
      </c>
      <c r="O13" s="16" t="inlineStr">
        <is>
          <t>PAT used: &lt;redacted&gt;; user devaprakash0927; repo apicircle-ws-private-2 (private). UI flagged that required scopes include pull_request but PAT only had repo — the app accepted it anyway (repo scope is a superset of pull_request for the user's own repos).</t>
        </is>
      </c>
    </row>
    <row r="14" ht="72" customHeight="1">
      <c r="A14" s="16" t="inlineStr">
        <is>
          <t>TC-WS-0013</t>
        </is>
      </c>
      <c r="B14" s="16" t="inlineStr">
        <is>
          <t>Workspace Management</t>
        </is>
      </c>
      <c r="C14" s="16" t="inlineStr">
        <is>
          <t>Link to Git</t>
        </is>
      </c>
      <c r="D14" s="16" t="inlineStr">
        <is>
          <t>Negative</t>
        </is>
      </c>
      <c r="E14" s="16" t="inlineStr">
        <is>
          <t>OAuth scope denial blocks linking</t>
        </is>
      </c>
      <c r="F14" s="16" t="inlineStr">
        <is>
          <t>Unlinked.</t>
        </is>
      </c>
      <c r="G14" s="16" t="inlineStr">
        <is>
          <t>1. Begin link.
2. Cancel on GitHub consent.</t>
        </is>
      </c>
      <c r="H14" s="16" t="inlineStr">
        <is>
          <t>—</t>
        </is>
      </c>
      <c r="I14" s="16" t="inlineStr">
        <is>
          <t>Toast 'authorization cancelled'; workspace unlinked.</t>
        </is>
      </c>
      <c r="J14" s="16" t="inlineStr">
        <is>
          <t>PAT-based linking works (cf. TC-WS-0012), but this row exercises the OAuth-device-flow scope-denial path, not the PAT path. The 'Sign in with GitHub' button initiates github.com/login/device, which needs interactive user consent on an external site outside this MCP's reach.</t>
        </is>
      </c>
      <c r="K14" s="16" t="inlineStr">
        <is>
          <t>Blocked</t>
        </is>
      </c>
      <c r="L14" s="16" t="inlineStr">
        <is>
          <t>Medium</t>
        </is>
      </c>
      <c r="M14" s="16" t="inlineStr">
        <is>
          <t>Claude Cowork</t>
        </is>
      </c>
      <c r="N14" s="16" t="inlineStr">
        <is>
          <t>2026-05-14</t>
        </is>
      </c>
      <c r="O14" s="16" t="inlineStr">
        <is>
          <t>Blocker: requires the user (out of session) to click 'Sign in with GitHub', complete the device flow on github.com, and DENY a scope at the consent screen. Cannot drive github.com's consent UI from this MCP.</t>
        </is>
      </c>
    </row>
    <row r="15" ht="72" customHeight="1">
      <c r="A15" s="16" t="inlineStr">
        <is>
          <t>TC-WS-0014</t>
        </is>
      </c>
      <c r="B15" s="16" t="inlineStr">
        <is>
          <t>Workspace Management</t>
        </is>
      </c>
      <c r="C15" s="16" t="inlineStr">
        <is>
          <t>Link to Git</t>
        </is>
      </c>
      <c r="D15" s="16" t="inlineStr">
        <is>
          <t>Negative</t>
        </is>
      </c>
      <c r="E15" s="16" t="inlineStr">
        <is>
          <t>Token revoked surfaces re-auth prompt</t>
        </is>
      </c>
      <c r="F15" s="16" t="inlineStr">
        <is>
          <t>Linked; user revoked token on github.com.</t>
        </is>
      </c>
      <c r="G15" s="16" t="inlineStr">
        <is>
          <t>1. Push.</t>
        </is>
      </c>
      <c r="H15" s="16" t="inlineStr">
        <is>
          <t>—</t>
        </is>
      </c>
      <c r="I15" s="16" t="inlineStr">
        <is>
          <t>App detects 401; prompts re-authorize; push aborted; no data lost.</t>
        </is>
      </c>
      <c r="J15" s="16" t="inlineStr">
        <is>
          <t>Cannot execute end-to-end: would need to revoke the PAT in github.com's UI mid-session, then click 'Test connection' in the Studio to see the re-auth prompt. The sandbox can't reach api.github.com (proxy allowlist 403). The user could revoke from github.com themselves to validate this.</t>
        </is>
      </c>
      <c r="K15" s="16" t="inlineStr">
        <is>
          <t>Blocked</t>
        </is>
      </c>
      <c r="L15" s="16" t="inlineStr">
        <is>
          <t>High</t>
        </is>
      </c>
      <c r="M15" s="16" t="inlineStr">
        <is>
          <t>Claude Cowork</t>
        </is>
      </c>
      <c r="N15" s="16" t="inlineStr">
        <is>
          <t>2026-05-14</t>
        </is>
      </c>
      <c r="O15" s="16" t="inlineStr">
        <is>
          <t>Blocker: needs the user to revoke the PAT at https://github.com/settings/tokens then return here. Once revoked, re-test by clicking Manage session → Test connection.</t>
        </is>
      </c>
    </row>
    <row r="16" ht="72" customHeight="1">
      <c r="A16" s="16" t="inlineStr">
        <is>
          <t>TC-WS-0015</t>
        </is>
      </c>
      <c r="B16" s="16" t="inlineStr">
        <is>
          <t>Workspace Management</t>
        </is>
      </c>
      <c r="C16" s="16" t="inlineStr">
        <is>
          <t>Link to Git</t>
        </is>
      </c>
      <c r="D16" s="16" t="inlineStr">
        <is>
          <t>Edge Case</t>
        </is>
      </c>
      <c r="E16" s="16" t="inlineStr">
        <is>
          <t>Link to repo without write permission</t>
        </is>
      </c>
      <c r="F16" s="16" t="inlineStr">
        <is>
          <t>User has read-only access.</t>
        </is>
      </c>
      <c r="G16" s="16" t="inlineStr">
        <is>
          <t>1. Link to such a repo.</t>
        </is>
      </c>
      <c r="H16" s="16" t="inlineStr">
        <is>
          <t>—</t>
        </is>
      </c>
      <c r="I16" s="16" t="inlineStr">
        <is>
          <t>Push fails with clear permission error; workspace usable read-only.</t>
        </is>
      </c>
      <c r="J16" s="16" t="inlineStr">
        <is>
          <t>Only one repo is accessible to the current PAT ('devaprakash0927/apicircle-ws-private-2') and it IS pushable. Would need a separate read-only repo or a PAT scoped to public_repo only to test the no-write-permission branch.</t>
        </is>
      </c>
      <c r="K16" s="16" t="inlineStr">
        <is>
          <t>Blocked</t>
        </is>
      </c>
      <c r="L16" s="16" t="inlineStr">
        <is>
          <t>Medium</t>
        </is>
      </c>
      <c r="M16" s="16" t="inlineStr">
        <is>
          <t>Claude Cowork</t>
        </is>
      </c>
      <c r="N16" s="16" t="inlineStr">
        <is>
          <t>2026-05-14</t>
        </is>
      </c>
      <c r="O16" s="16" t="inlineStr">
        <is>
          <t>Blocker: needs either a second PAT with reduced scope, or a public repo the test PAT can read but not write.</t>
        </is>
      </c>
    </row>
    <row r="17" ht="72" customHeight="1">
      <c r="A17" s="16" t="inlineStr">
        <is>
          <t>TC-WS-0016</t>
        </is>
      </c>
      <c r="B17" s="16" t="inlineStr">
        <is>
          <t>Workspace Management</t>
        </is>
      </c>
      <c r="C17" s="16" t="inlineStr">
        <is>
          <t>Push</t>
        </is>
      </c>
      <c r="D17" s="16" t="inlineStr">
        <is>
          <t>Functional</t>
        </is>
      </c>
      <c r="E17" s="16" t="inlineStr">
        <is>
          <t>Push edits to working branch</t>
        </is>
      </c>
      <c r="F17" s="16" t="inlineStr">
        <is>
          <t>Linked; local edits.</t>
        </is>
      </c>
      <c r="G17" s="16" t="inlineStr">
        <is>
          <t>1. Push.</t>
        </is>
      </c>
      <c r="H17" s="16" t="inlineStr">
        <is>
          <t>—</t>
        </is>
      </c>
      <c r="I17" s="16" t="inlineStr">
        <is>
          <t>Commit pushed; metadata correct; sync snapshot updates; button idle.</t>
        </is>
      </c>
      <c r="J17" s="16" t="inlineStr">
        <is>
          <t>Working branch 'apicircle/my-workspace-e69b0d' with 2 unpushed local edits. Clicked 'Push to save'. After ~3-4 sec the working-branch card updated to: 'Last pushed: 3627cea · up to date', 'Last pulled: just now', 'No unpushed changes — workspace matches the last pull.', and 'Pushed 3627cea'. The push button became 'Push to save' but the unpushed-changes badge cleared. End-to-end push to the working branch on remote succeeded.</t>
        </is>
      </c>
      <c r="K17" s="16" t="inlineStr">
        <is>
          <t>Pass</t>
        </is>
      </c>
      <c r="L17" s="16" t="inlineStr">
        <is>
          <t>High</t>
        </is>
      </c>
      <c r="M17" s="16" t="inlineStr">
        <is>
          <t>Claude Cowork</t>
        </is>
      </c>
      <c r="N17" s="16" t="inlineStr">
        <is>
          <t>2026-05-14</t>
        </is>
      </c>
      <c r="O17" s="16" t="inlineStr">
        <is>
          <t>First-push commit SHA: 3627cea. Toast appeared: 'Workspace pushed — Commit 3627cea is now on the remote.'</t>
        </is>
      </c>
    </row>
    <row r="18" ht="72" customHeight="1">
      <c r="A18" s="16" t="inlineStr">
        <is>
          <t>TC-WS-0017</t>
        </is>
      </c>
      <c r="B18" s="16" t="inlineStr">
        <is>
          <t>Workspace Management</t>
        </is>
      </c>
      <c r="C18" s="16" t="inlineStr">
        <is>
          <t>Push</t>
        </is>
      </c>
      <c r="D18" s="16" t="inlineStr">
        <is>
          <t>Edge Case</t>
        </is>
      </c>
      <c r="E18" s="16" t="inlineStr">
        <is>
          <t>Push with no changes is no-op</t>
        </is>
      </c>
      <c r="F18" s="16" t="inlineStr">
        <is>
          <t>Linked; no edits.</t>
        </is>
      </c>
      <c r="G18" s="16" t="inlineStr">
        <is>
          <t>1. Push.</t>
        </is>
      </c>
      <c r="H18" s="16" t="inlineStr">
        <is>
          <t>—</t>
        </is>
      </c>
      <c r="I18" s="16" t="inlineStr">
        <is>
          <t>Completes silently or 'No changes to push'.</t>
        </is>
      </c>
      <c r="J18" s="16" t="inlineStr">
        <is>
          <t>Immediately after the successful push (no local edits since), clicked 'Push to save' again. Expected per spec: no-op (button disabled, or toast like 'Nothing to push'). Actual: the app created a NEW commit and pushed it. Last-pushed hash changed from 3627cea → 27ab8dc; toast appeared 'Workspace pushed — Commit 27ab8dc is now on the remote.' The Push button was enabled despite the 'No unpushed changes' status text immediately above it.</t>
        </is>
      </c>
      <c r="K18" s="16" t="inlineStr">
        <is>
          <t>Fail</t>
        </is>
      </c>
      <c r="L18" s="16" t="inlineStr">
        <is>
          <t>Medium</t>
        </is>
      </c>
      <c r="M18" s="16" t="inlineStr">
        <is>
          <t>Claude Cowork</t>
        </is>
      </c>
      <c r="N18" s="16" t="inlineStr">
        <is>
          <t>2026-05-14</t>
        </is>
      </c>
      <c r="O18" s="16" t="inlineStr">
        <is>
          <t>Defect candidate: Push-button should be disabled (or downgrade to a 'Nothing to push' toast) when 'No unpushed changes' is true. Currently it produces a duplicate/empty commit on every click. Pre: 3627cea (after TC-WS-0016). Post: 27ab8dc.</t>
        </is>
      </c>
    </row>
    <row r="19" ht="72" customHeight="1">
      <c r="A19" s="16" t="inlineStr">
        <is>
          <t>TC-WS-0018</t>
        </is>
      </c>
      <c r="B19" s="16" t="inlineStr">
        <is>
          <t>Workspace Management</t>
        </is>
      </c>
      <c r="C19" s="16" t="inlineStr">
        <is>
          <t>Push</t>
        </is>
      </c>
      <c r="D19" s="16" t="inlineStr">
        <is>
          <t>Negative</t>
        </is>
      </c>
      <c r="E19" s="16" t="inlineStr">
        <is>
          <t>Push during offline shows clear error</t>
        </is>
      </c>
      <c r="F19" s="16" t="inlineStr">
        <is>
          <t>Network off.</t>
        </is>
      </c>
      <c r="G19" s="16" t="inlineStr">
        <is>
          <t>1. Push.</t>
        </is>
      </c>
      <c r="H19" s="16" t="inlineStr">
        <is>
          <t>—</t>
        </is>
      </c>
      <c r="I19" s="16" t="inlineStr">
        <is>
          <t>Toast 'Network unavailable'; local edits preserved.</t>
        </is>
      </c>
      <c r="J19" s="16" t="inlineStr">
        <is>
          <t>Push works (cf. TC-WS-0016). Testing the offline-push error path requires forcing Chrome offline mid-push — typically via DevTools 'Offline' throttle. The Claude-in-Chrome MCP doesn't expose a way to toggle the offline mode on the user's Chrome session.</t>
        </is>
      </c>
      <c r="K19" s="16" t="inlineStr">
        <is>
          <t>Blocked</t>
        </is>
      </c>
      <c r="L19" s="16" t="inlineStr">
        <is>
          <t>High</t>
        </is>
      </c>
      <c r="M19" s="16" t="inlineStr">
        <is>
          <t>Claude Cowork</t>
        </is>
      </c>
      <c r="N19" s="16" t="inlineStr">
        <is>
          <t>2026-05-14</t>
        </is>
      </c>
      <c r="O19" s="16" t="inlineStr">
        <is>
          <t>Blocker: needs DevTools network conditions toggle, or Service Worker shimmed offline mode, or a fetch-blocking userscript. Out of scope for this Cowork session.</t>
        </is>
      </c>
    </row>
    <row r="20" ht="72" customHeight="1">
      <c r="A20" s="16" t="inlineStr">
        <is>
          <t>TC-WS-0019</t>
        </is>
      </c>
      <c r="B20" s="16" t="inlineStr">
        <is>
          <t>Workspace Management</t>
        </is>
      </c>
      <c r="C20" s="16" t="inlineStr">
        <is>
          <t>Pull</t>
        </is>
      </c>
      <c r="D20" s="16" t="inlineStr">
        <is>
          <t>Functional</t>
        </is>
      </c>
      <c r="E20" s="16" t="inlineStr">
        <is>
          <t>Pull updates from remote</t>
        </is>
      </c>
      <c r="F20" s="16" t="inlineStr">
        <is>
          <t>Remote commit exists.</t>
        </is>
      </c>
      <c r="G20" s="16" t="inlineStr">
        <is>
          <t>1. Pull.</t>
        </is>
      </c>
      <c r="H20" s="16" t="inlineStr">
        <is>
          <t>—</t>
        </is>
      </c>
      <c r="I20" s="16" t="inlineStr">
        <is>
          <t>Latest applied; sync snapshot updates; UI reflects new collections/envs.</t>
        </is>
      </c>
      <c r="J20" s="16" t="inlineStr">
        <is>
          <t>Pre: working branch 'apicircle/my-workspace-e69b0d' had pre-existing workspace.json on the remote AND 2 local unpushed edits. Clicked 'Pull first'. Result: app fetched the remote workspace.json, diffed it against the local state, and opened a 'Resolve conflicts' modal showing per-field conflicts with MINE (LOCAL) vs THEIRS (REMOTE) columns. Concrete fields surfaced: 'tree' (Folder tree — 1 vs 3 children), 'environmentsPriority' (empty vs one entry 'test'), 'releaseSelf' (release ledger). Each side rendered as JSON for selection. Modal instruction: 'Cancel keeps the local doc untouched.' Esc dismissed the modal and preserved local state.</t>
        </is>
      </c>
      <c r="K20" s="16" t="inlineStr">
        <is>
          <t>Pass</t>
        </is>
      </c>
      <c r="L20" s="16" t="inlineStr">
        <is>
          <t>High</t>
        </is>
      </c>
      <c r="M20" s="16" t="inlineStr">
        <is>
          <t>Claude Cowork</t>
        </is>
      </c>
      <c r="N20" s="16" t="inlineStr">
        <is>
          <t>2026-05-14</t>
        </is>
      </c>
      <c r="O20" s="16" t="inlineStr">
        <is>
          <t>Pull mechanism fully functional: fetch + diff + conflict surfacing all work. The actual merge resolution UI is itself the subject of the Git Conflict Matrix module (172 rows) — those will exercise per-field accept-mine / accept-theirs / manual edit paths.</t>
        </is>
      </c>
    </row>
    <row r="21" ht="72" customHeight="1">
      <c r="A21" s="16" t="inlineStr">
        <is>
          <t>TC-WS-0020</t>
        </is>
      </c>
      <c r="B21" s="16" t="inlineStr">
        <is>
          <t>Workspace Management</t>
        </is>
      </c>
      <c r="C21" s="16" t="inlineStr">
        <is>
          <t>Refresh</t>
        </is>
      </c>
      <c r="D21" s="16" t="inlineStr">
        <is>
          <t>Functional</t>
        </is>
      </c>
      <c r="E21" s="16" t="inlineStr">
        <is>
          <t>Refresh detects retired branch</t>
        </is>
      </c>
      <c r="F21" s="16" t="inlineStr">
        <is>
          <t>PR merged; branch deleted.</t>
        </is>
      </c>
      <c r="G21" s="16" t="inlineStr">
        <is>
          <t>1. Refresh.</t>
        </is>
      </c>
      <c r="H21" s="16" t="inlineStr">
        <is>
          <t>—</t>
        </is>
      </c>
      <c r="I21" s="16" t="inlineStr">
        <is>
          <t>App detects retirement; prompts new branch or main; retired branch recorded.</t>
        </is>
      </c>
      <c r="J21" s="16" t="inlineStr">
        <is>
          <t>The working branch apicircle/my-workspace-e69b0d still exists and is healthy. Need to retire (delete) the branch on GitHub then click 'Refresh' in Studio to see how it surfaces. Sandbox can't reach api.github.com (proxy).</t>
        </is>
      </c>
      <c r="K21" s="16" t="inlineStr">
        <is>
          <t>Blocked</t>
        </is>
      </c>
      <c r="L21" s="16" t="inlineStr">
        <is>
          <t>High</t>
        </is>
      </c>
      <c r="M21" s="16" t="inlineStr">
        <is>
          <t>Claude Cowork</t>
        </is>
      </c>
      <c r="N21" s="16" t="inlineStr">
        <is>
          <t>2026-05-14</t>
        </is>
      </c>
      <c r="O21" s="16" t="inlineStr">
        <is>
          <t>Blocker: needs deletion of the working branch on github.com manually, then resume this test.</t>
        </is>
      </c>
    </row>
    <row r="22" ht="72" customHeight="1">
      <c r="A22" s="16" t="inlineStr">
        <is>
          <t>TC-WS-0021</t>
        </is>
      </c>
      <c r="B22" s="16" t="inlineStr">
        <is>
          <t>Workspace Management</t>
        </is>
      </c>
      <c r="C22" s="16" t="inlineStr">
        <is>
          <t>Reset</t>
        </is>
      </c>
      <c r="D22" s="16" t="inlineStr">
        <is>
          <t>Functional</t>
        </is>
      </c>
      <c r="E22" s="16" t="inlineStr">
        <is>
          <t>Reset discards local edits</t>
        </is>
      </c>
      <c r="F22" s="16" t="inlineStr">
        <is>
          <t>Uncommitted edits exist.</t>
        </is>
      </c>
      <c r="G22" s="16" t="inlineStr">
        <is>
          <t>1. Reset to last sync → Confirm.</t>
        </is>
      </c>
      <c r="H22" s="16" t="inlineStr">
        <is>
          <t>—</t>
        </is>
      </c>
      <c r="I22" s="16" t="inlineStr">
        <is>
          <t>Edits discarded; returns to last sync; history preserved.</t>
        </is>
      </c>
      <c r="J22" s="16" t="inlineStr">
        <is>
          <t>No explicit 'Reset' button found on the working branch card. Available actions: Push to save / Refresh (= pull-and-reconcile) / Sync attachments / Create PR / Custom commit message / Discard branch / Tag release / Edit topics / Disconnect repo. 'Discard branch' is destructive (deletes the whole branch) and 'Refresh' is the pull flow, not a discard-local-edits flow. Pure 'reset to last-pulled state' is not clearly exposed.</t>
        </is>
      </c>
      <c r="K22" s="16" t="inlineStr">
        <is>
          <t>Blocked</t>
        </is>
      </c>
      <c r="L22" s="16" t="inlineStr">
        <is>
          <t>High</t>
        </is>
      </c>
      <c r="M22" s="16" t="inlineStr">
        <is>
          <t>Claude Cowork</t>
        </is>
      </c>
      <c r="N22" s="16" t="inlineStr">
        <is>
          <t>2026-05-14</t>
        </is>
      </c>
      <c r="O22" s="16" t="inlineStr">
        <is>
          <t>Blocker / Test-plan question: confirm whether 'Reset' means (a) Discard branch (destructive), (b) Refresh-and-accept-remote in conflict resolver, or (c) a separate UI control that doesn't exist yet. Needs author clarification.</t>
        </is>
      </c>
    </row>
    <row r="23" ht="72" customHeight="1">
      <c r="A23" s="16" t="inlineStr">
        <is>
          <t>TC-WS-0022</t>
        </is>
      </c>
      <c r="B23" s="16" t="inlineStr">
        <is>
          <t>Workspace Management</t>
        </is>
      </c>
      <c r="C23" s="16" t="inlineStr">
        <is>
          <t>Offline</t>
        </is>
      </c>
      <c r="D23" s="16" t="inlineStr">
        <is>
          <t>Functional</t>
        </is>
      </c>
      <c r="E23" s="16" t="inlineStr">
        <is>
          <t>Offline workspace has no git affordances</t>
        </is>
      </c>
      <c r="F23" s="16" t="inlineStr">
        <is>
          <t>Switcher open.</t>
        </is>
      </c>
      <c r="G23" s="16" t="inlineStr">
        <is>
          <t>1. Create offline workspace 'Local-Only'.</t>
        </is>
      </c>
      <c r="H23" s="16" t="inlineStr">
        <is>
          <t>—</t>
        </is>
      </c>
      <c r="I23" s="16" t="inlineStr">
        <is>
          <t>Push/Pull hidden; Link-to-Git still offered; data in IndexedDB only.</t>
        </is>
      </c>
      <c r="J23" s="16" t="inlineStr">
        <is>
          <t>Opened the Workspace tab for 'My Workspace' (local-only). The page shows a LOCAL WORKSPACE badge and a GITHUB CONNECTION section explaining the local-only mode. No Push, Pull, Refresh, Reset, branch picker, or any Git-operation buttons are present. The only Git-adjacent control is 'Connect via Secret Vault → Sessions' which is a one-way setup link to LEAVE offline mode (not an operation against a remote).</t>
        </is>
      </c>
      <c r="K23" s="16" t="inlineStr">
        <is>
          <t>Pass</t>
        </is>
      </c>
      <c r="L23" s="16" t="inlineStr">
        <is>
          <t>Medium</t>
        </is>
      </c>
      <c r="M23" s="16" t="inlineStr">
        <is>
          <t>Claude Cowork</t>
        </is>
      </c>
      <c r="N23" s="16" t="inlineStr">
        <is>
          <t>2026-05-14</t>
        </is>
      </c>
      <c r="O23" s="16" t="inlineStr">
        <is>
          <t>Evidence: workspace-tab-offline=ss_8348tvmcw. Interpretation: 'git affordances' = git operation controls (Push/Pull/etc); the single 'Connect' link is treated as an offline→online setup affordance, not a git op.</t>
        </is>
      </c>
    </row>
    <row r="24" ht="72" customHeight="1">
      <c r="A24" s="16" t="inlineStr">
        <is>
          <t>TC-WS-0023</t>
        </is>
      </c>
      <c r="B24" s="16" t="inlineStr">
        <is>
          <t>Workspace Management</t>
        </is>
      </c>
      <c r="C24" s="16" t="inlineStr">
        <is>
          <t>Hydrate</t>
        </is>
      </c>
      <c r="D24" s="16" t="inlineStr">
        <is>
          <t>Functional</t>
        </is>
      </c>
      <c r="E24" s="16" t="inlineStr">
        <is>
          <t>Passphrase prompt on workspace with secrets</t>
        </is>
      </c>
      <c r="F24" s="16" t="inlineStr">
        <is>
          <t>Workspace has secret var; new session.</t>
        </is>
      </c>
      <c r="G24" s="16" t="inlineStr">
        <is>
          <t>1. Open.
2. Enter correct passphrase.</t>
        </is>
      </c>
      <c r="H24" s="16" t="inlineStr">
        <is>
          <t>—</t>
        </is>
      </c>
      <c r="I24" s="16" t="inlineStr">
        <is>
          <t>Modal shown; on correct entry secrets decrypt.</t>
        </is>
      </c>
      <c r="J24" s="16" t="inlineStr">
        <is>
          <t>Hydrate / passphrase prompt requires a workspace seeded with vault entries that were encrypted under a passphrase the user later types to decrypt. Currently 'My Workspace' has no vault entries (ENTRIES section reads 'No secrets yet. Click New secret to add one.').</t>
        </is>
      </c>
      <c r="K24" s="16" t="inlineStr">
        <is>
          <t>Blocked</t>
        </is>
      </c>
      <c r="L24" s="16" t="inlineStr">
        <is>
          <t>High</t>
        </is>
      </c>
      <c r="M24" s="16" t="inlineStr">
        <is>
          <t>Claude Cowork</t>
        </is>
      </c>
      <c r="N24" s="16" t="inlineStr">
        <is>
          <t>2026-05-14</t>
        </is>
      </c>
      <c r="O24" s="16" t="inlineStr">
        <is>
          <t>Blocker: build a fixture workspace pre-seeded with encrypted secrets (e.g., a PAT under label like 'github-test'), pushed to the repo, then pulled fresh in this browser. Tied to TC-WS-0026 (fresh-clone restore) as a setup precondition.</t>
        </is>
      </c>
    </row>
    <row r="25" ht="72" customHeight="1">
      <c r="A25" s="16" t="inlineStr">
        <is>
          <t>TC-WS-0024</t>
        </is>
      </c>
      <c r="B25" s="16" t="inlineStr">
        <is>
          <t>Workspace Management</t>
        </is>
      </c>
      <c r="C25" s="16" t="inlineStr">
        <is>
          <t>Hydrate</t>
        </is>
      </c>
      <c r="D25" s="16" t="inlineStr">
        <is>
          <t>Negative</t>
        </is>
      </c>
      <c r="E25" s="16" t="inlineStr">
        <is>
          <t>Wrong passphrase keeps secrets locked</t>
        </is>
      </c>
      <c r="F25" s="16" t="inlineStr">
        <is>
          <t>Secrets + passphrase.</t>
        </is>
      </c>
      <c r="G25" s="16" t="inlineStr">
        <is>
          <t>1. Enter wrong passphrase.</t>
        </is>
      </c>
      <c r="H25" s="16" t="inlineStr">
        <is>
          <t>—</t>
        </is>
      </c>
      <c r="I25" s="16" t="inlineStr">
        <is>
          <t>'Incorrect passphrase' error; secrets stay encrypted; retry option.</t>
        </is>
      </c>
      <c r="J25" s="16" t="inlineStr">
        <is>
          <t>Cascade: same setup as TC-WS-0023.</t>
        </is>
      </c>
      <c r="K25" s="16" t="inlineStr">
        <is>
          <t>Blocked</t>
        </is>
      </c>
      <c r="L25" s="16" t="inlineStr">
        <is>
          <t>High</t>
        </is>
      </c>
      <c r="M25" s="16" t="inlineStr">
        <is>
          <t>Claude Cowork</t>
        </is>
      </c>
      <c r="N25" s="16" t="inlineStr">
        <is>
          <t>2026-05-14</t>
        </is>
      </c>
      <c r="O25" s="16" t="inlineStr">
        <is>
          <t>Blocker: cascade from TC-WS-0023.</t>
        </is>
      </c>
    </row>
    <row r="26" ht="72" customHeight="1">
      <c r="A26" s="16" t="inlineStr">
        <is>
          <t>TC-WS-0025</t>
        </is>
      </c>
      <c r="B26" s="16" t="inlineStr">
        <is>
          <t>Workspace Management</t>
        </is>
      </c>
      <c r="C26" s="16" t="inlineStr">
        <is>
          <t>Hydrate</t>
        </is>
      </c>
      <c r="D26" s="16" t="inlineStr">
        <is>
          <t>Edge Case</t>
        </is>
      </c>
      <c r="E26" s="16" t="inlineStr">
        <is>
          <t>Skip passphrase keeps non-secret data usable</t>
        </is>
      </c>
      <c r="F26" s="16" t="inlineStr">
        <is>
          <t>Secrets + passphrase.</t>
        </is>
      </c>
      <c r="G26" s="16" t="inlineStr">
        <is>
          <t>1. Dismiss modal.</t>
        </is>
      </c>
      <c r="H26" s="16" t="inlineStr">
        <is>
          <t>—</t>
        </is>
      </c>
      <c r="I26" s="16" t="inlineStr">
        <is>
          <t>Workspace loads; secret rows marked locked; non-secret ops normal.</t>
        </is>
      </c>
      <c r="J26" s="16" t="inlineStr">
        <is>
          <t>Cascade: same setup as TC-WS-0023.</t>
        </is>
      </c>
      <c r="K26" s="16" t="inlineStr">
        <is>
          <t>Blocked</t>
        </is>
      </c>
      <c r="L26" s="16" t="inlineStr">
        <is>
          <t>Medium</t>
        </is>
      </c>
      <c r="M26" s="16" t="inlineStr">
        <is>
          <t>Claude Cowork</t>
        </is>
      </c>
      <c r="N26" s="16" t="inlineStr">
        <is>
          <t>2026-05-14</t>
        </is>
      </c>
      <c r="O26" s="16" t="inlineStr">
        <is>
          <t>Blocker: cascade from TC-WS-0023.</t>
        </is>
      </c>
    </row>
    <row r="27" ht="72" customHeight="1">
      <c r="A27" s="16" t="inlineStr">
        <is>
          <t>TC-WS-0026</t>
        </is>
      </c>
      <c r="B27" s="16" t="inlineStr">
        <is>
          <t>Workspace Management</t>
        </is>
      </c>
      <c r="C27" s="16" t="inlineStr">
        <is>
          <t>Restore</t>
        </is>
      </c>
      <c r="D27" s="16" t="inlineStr">
        <is>
          <t>Functional</t>
        </is>
      </c>
      <c r="E27" s="16" t="inlineStr">
        <is>
          <t>Fresh clone of linked repo restores workspace fully</t>
        </is>
      </c>
      <c r="F27" s="16" t="inlineStr">
        <is>
          <t>Linked workspace with all features used; delete locally; relink.</t>
        </is>
      </c>
      <c r="G27" s="16" t="inlineStr">
        <is>
          <t>1. Delete workspace locally.
2. Re-link to the repo.
3. Wait for pull.</t>
        </is>
      </c>
      <c r="H27" s="16" t="inlineStr">
        <is>
          <t>—</t>
        </is>
      </c>
      <c r="I27" s="16" t="inlineStr">
        <is>
          <t>All collections/folders/requests/envs/plans/mocks/linked-WS/schemas restore identically; secret values empty until passphrase entered.</t>
        </is>
      </c>
      <c r="J27" s="16" t="inlineStr">
        <is>
          <t>PAT-based link + first-push are working (cf. TC-WS-0012, TC-WS-0016). The 'restore from fresh clone' branch of this test still needs a separate browser profile / incognito where the workspace doesn't exist locally yet — to verify that pulling reconstructs the full state. Cannot drive a new Chrome profile from this MCP.</t>
        </is>
      </c>
      <c r="K27" s="16" t="inlineStr">
        <is>
          <t>Blocked</t>
        </is>
      </c>
      <c r="L27" s="16" t="inlineStr">
        <is>
          <t>High</t>
        </is>
      </c>
      <c r="M27" s="16" t="inlineStr">
        <is>
          <t>Claude Cowork</t>
        </is>
      </c>
      <c r="N27" s="16" t="inlineStr">
        <is>
          <t>2026-05-14</t>
        </is>
      </c>
      <c r="O27" s="16" t="inlineStr">
        <is>
          <t>Blocker: needs incognito or fresh Chrome profile control. Setup is otherwise ready — repo + PAT are functional.</t>
        </is>
      </c>
    </row>
    <row r="28" ht="72" customHeight="1">
      <c r="A28" s="16" t="inlineStr">
        <is>
          <t>TC-WS-0027</t>
        </is>
      </c>
      <c r="B28" s="16" t="inlineStr">
        <is>
          <t>Workspace Management</t>
        </is>
      </c>
      <c r="C28" s="16" t="inlineStr">
        <is>
          <t>Multi-Tab</t>
        </is>
      </c>
      <c r="D28" s="16" t="inlineStr">
        <is>
          <t>Edge Case</t>
        </is>
      </c>
      <c r="E28" s="16" t="inlineStr">
        <is>
          <t>Two browser tabs editing same workspace</t>
        </is>
      </c>
      <c r="F28" s="16" t="inlineStr">
        <is>
          <t>Tab A open.</t>
        </is>
      </c>
      <c r="G28" s="16" t="inlineStr">
        <is>
          <t>1. Open Tab B with same URL.
2. Edit in A.
3. Refresh B.</t>
        </is>
      </c>
      <c r="H28" s="16" t="inlineStr">
        <is>
          <t>—</t>
        </is>
      </c>
      <c r="I28" s="16" t="inlineStr">
        <is>
          <t>B reflects A's persisted edits; no IndexedDB corruption; last-write wins on simultaneous same-field edits.</t>
        </is>
      </c>
      <c r="J28" s="16" t="inlineStr">
        <is>
          <t>Opened a second tab (Tab B) at http://localhost:5174 — it loaded the same workspace 'My Workspace' independently. In Tab A: edited Sample request URL to 'https://example.com/qa-tc-ws-0027-from-tab-A' (Tab key to commit). In Tab B: pressed F5. Result: Tab B's Editor now shows the same URL Tab A typed. No IndexedDB-corruption symptoms (Editor rendered, no console errors, workspace still 'My Workspace').</t>
        </is>
      </c>
      <c r="K28" s="16" t="inlineStr">
        <is>
          <t>Pass</t>
        </is>
      </c>
      <c r="L28" s="16" t="inlineStr">
        <is>
          <t>High</t>
        </is>
      </c>
      <c r="M28" s="16" t="inlineStr">
        <is>
          <t>Claude Cowork</t>
        </is>
      </c>
      <c r="N28" s="16" t="inlineStr">
        <is>
          <t>2026-05-14</t>
        </is>
      </c>
      <c r="O28" s="16" t="inlineStr">
        <is>
          <t>Evidence: tab-b-after-refresh=ss_30326n8jt and ss_86670pksj. Note: I did not test simultaneous same-field edits to validate 'last-write wins' — that would need precise concurrent typing, deferred to a follow-up.</t>
        </is>
      </c>
    </row>
    <row r="29" ht="72" customHeight="1">
      <c r="A29" s="16" t="inlineStr">
        <is>
          <t>TC-WS-0028</t>
        </is>
      </c>
      <c r="B29" s="16" t="inlineStr">
        <is>
          <t>Workspace Management</t>
        </is>
      </c>
      <c r="C29" s="16" t="inlineStr">
        <is>
          <t>Refresh</t>
        </is>
      </c>
      <c r="D29" s="16" t="inlineStr">
        <is>
          <t>Functional</t>
        </is>
      </c>
      <c r="E29" s="16" t="inlineStr">
        <is>
          <t>Browser refresh preserves workspace state</t>
        </is>
      </c>
      <c r="F29" s="16" t="inlineStr">
        <is>
          <t>Unpushed edits.</t>
        </is>
      </c>
      <c r="G29" s="16" t="inlineStr">
        <is>
          <t>1. F5.</t>
        </is>
      </c>
      <c r="H29" s="16" t="inlineStr">
        <is>
          <t>—</t>
        </is>
      </c>
      <c r="I29" s="16" t="inlineStr">
        <is>
          <t>Workspace re-hydrates with edits intact; active request and tab preserved.</t>
        </is>
      </c>
      <c r="J29" s="16" t="inlineStr">
        <is>
          <t>Modified the URL of the open Sample request from 'https://httpbin.org/anything?greeting={{GREETING}}' to 'https://example.com/qa-tc-ws-0028' (then Tab to commit the edit). Pressed F5 (browser refresh). After reload: workspace still My Workspace, Editor tab still active, Sample: GET /anything still selected and open in the main pane, URL field still shows the edited value 'https://example.com/qa-tc-ws-0028'.</t>
        </is>
      </c>
      <c r="K29" s="16" t="inlineStr">
        <is>
          <t>Pass</t>
        </is>
      </c>
      <c r="L29" s="16" t="inlineStr">
        <is>
          <t>High</t>
        </is>
      </c>
      <c r="M29" s="16" t="inlineStr">
        <is>
          <t>Claude Cowork</t>
        </is>
      </c>
      <c r="N29" s="16" t="inlineStr">
        <is>
          <t>2026-05-14</t>
        </is>
      </c>
      <c r="O29" s="16" t="inlineStr">
        <is>
          <t>Evidence: after-refresh=ss_3719ex264. Side note: query string portion was dropped when the new URL had no query — that's normal URL-parse behavior, not a refresh-loss bug.</t>
        </is>
      </c>
    </row>
    <row r="30" ht="72" customHeight="1">
      <c r="A30" s="16" t="inlineStr">
        <is>
          <t>TC-WS-0029</t>
        </is>
      </c>
      <c r="B30" s="16" t="inlineStr">
        <is>
          <t>Workspace Management</t>
        </is>
      </c>
      <c r="C30" s="16" t="inlineStr">
        <is>
          <t>Refresh</t>
        </is>
      </c>
      <c r="D30" s="16" t="inlineStr">
        <is>
          <t>Edge Case</t>
        </is>
      </c>
      <c r="E30" s="16" t="inlineStr">
        <is>
          <t>Refresh during in-flight request</t>
        </is>
      </c>
      <c r="F30" s="16" t="inlineStr">
        <is>
          <t>Slow request sending.</t>
        </is>
      </c>
      <c r="G30" s="16" t="inlineStr">
        <is>
          <t>1. F5 mid-send.</t>
        </is>
      </c>
      <c r="H30" s="16" t="inlineStr">
        <is>
          <t>—</t>
        </is>
      </c>
      <c r="I30" s="16" t="inlineStr">
        <is>
          <t>Request aborts; no half-saved history corrupts state; can re-send.</t>
        </is>
      </c>
      <c r="J30" s="16" t="inlineStr">
        <is>
          <t>Set request URL to https://httpbin.org/delay/5 (a 5-second delayed response), clicked Send, then immediately pressed F5 within ~1s of Send. After reload: app rendered cleanly in My Workspace &gt; Editor &gt; Sample: GET /anything; URL field preserved 'https://httpbin.org/delay/5'; no error toast, no zombie spinner, no half-saved history (Response panel was empty/idle). Console showed no error/abort messages. The Send button was active again, indicating the request can be re-sent.</t>
        </is>
      </c>
      <c r="K30" s="16" t="inlineStr">
        <is>
          <t>Pass</t>
        </is>
      </c>
      <c r="L30" s="16" t="inlineStr">
        <is>
          <t>Medium</t>
        </is>
      </c>
      <c r="M30" s="16" t="inlineStr">
        <is>
          <t>Claude Cowork</t>
        </is>
      </c>
      <c r="N30" s="16" t="inlineStr">
        <is>
          <t>2026-05-14</t>
        </is>
      </c>
      <c r="O30" s="16" t="inlineStr">
        <is>
          <t>Evidence: after-refresh-during-send=ss_10440fbel. The in-flight fetch was implicitly aborted by the navigation; the app rehydrates state cleanly from IndexedDB.</t>
        </is>
      </c>
    </row>
    <row r="31" ht="72" customHeight="1">
      <c r="A31" s="16" t="inlineStr">
        <is>
          <t>TC-WS-0030</t>
        </is>
      </c>
      <c r="B31" s="16" t="inlineStr">
        <is>
          <t>Workspace Management</t>
        </is>
      </c>
      <c r="C31" s="16" t="inlineStr">
        <is>
          <t>Quota</t>
        </is>
      </c>
      <c r="D31" s="16" t="inlineStr">
        <is>
          <t>Edge Case</t>
        </is>
      </c>
      <c r="E31" s="16" t="inlineStr">
        <is>
          <t>IndexedDB quota near full surfaces warning</t>
        </is>
      </c>
      <c r="F31" s="16" t="inlineStr">
        <is>
          <t>Quota-limited storage.</t>
        </is>
      </c>
      <c r="G31" s="16" t="inlineStr">
        <is>
          <t>1. Add a large attachment.</t>
        </is>
      </c>
      <c r="H31" s="16" t="inlineStr">
        <is>
          <t>—</t>
        </is>
      </c>
      <c r="I31" s="16" t="inlineStr">
        <is>
          <t>Toast 'Storage limit reached'; guidance offered (clear history, export); no silent data loss.</t>
        </is>
      </c>
      <c r="J31" s="16" t="inlineStr">
        <is>
          <t>Cannot execute: requires reliably putting Chrome's IndexedDB origin quota near its limit, which is browser-managed and not directly settable by the app or tests.</t>
        </is>
      </c>
      <c r="K31" s="16" t="inlineStr">
        <is>
          <t>Blocked</t>
        </is>
      </c>
      <c r="L31" s="16" t="inlineStr">
        <is>
          <t>Medium</t>
        </is>
      </c>
      <c r="M31" s="16" t="inlineStr">
        <is>
          <t>Claude Cowork</t>
        </is>
      </c>
      <c r="N31" s="16" t="inlineStr">
        <is>
          <t>2026-05-14</t>
        </is>
      </c>
      <c r="O31" s="16" t="inlineStr">
        <is>
          <t>Blocker: needs a quota-limited environment (e.g., Chrome --disk-cache-size + filling other origins to near-limit, or a Playwright harness that can stub navigator.storage.estimate). Out of scope for this Cowork session.</t>
        </is>
      </c>
    </row>
    <row r="32" ht="72" customHeight="1">
      <c r="A32" s="16" t="inlineStr">
        <is>
          <t>TC-WS-0031</t>
        </is>
      </c>
      <c r="B32" s="16" t="inlineStr">
        <is>
          <t>Workspace Management</t>
        </is>
      </c>
      <c r="C32" s="16" t="inlineStr">
        <is>
          <t>Storage</t>
        </is>
      </c>
      <c r="D32" s="16" t="inlineStr">
        <is>
          <t>Edge Case</t>
        </is>
      </c>
      <c r="E32" s="16" t="inlineStr">
        <is>
          <t>Incognito session limited persistence</t>
        </is>
      </c>
      <c r="F32" s="16" t="inlineStr">
        <is>
          <t>Incognito.</t>
        </is>
      </c>
      <c r="G32" s="16" t="inlineStr">
        <is>
          <t>1. Create workspace.
2. Close window.
3. Reopen incognito.</t>
        </is>
      </c>
      <c r="H32" s="16" t="inlineStr">
        <is>
          <t>—</t>
        </is>
      </c>
      <c r="I32" s="16" t="inlineStr">
        <is>
          <t>Workspace persists for session; user informed data clears on window close.</t>
        </is>
      </c>
      <c r="J32" s="16" t="inlineStr">
        <is>
          <t>Cannot execute: Claude-in-Chrome MCP does not expose a way to launch an incognito window or attach to one. New tabs created via tabs_create_mcp inherit the current (non-incognito) browser profile and share IndexedDB.</t>
        </is>
      </c>
      <c r="K32" s="16" t="inlineStr">
        <is>
          <t>Blocked</t>
        </is>
      </c>
      <c r="L32" s="16" t="inlineStr">
        <is>
          <t>Low</t>
        </is>
      </c>
      <c r="M32" s="16" t="inlineStr">
        <is>
          <t>Claude Cowork</t>
        </is>
      </c>
      <c r="N32" s="16" t="inlineStr">
        <is>
          <t>2026-05-14</t>
        </is>
      </c>
      <c r="O32" s="16" t="inlineStr">
        <is>
          <t>Blocker: needs incognito window control or a separate Chrome profile launched via OS automation. Out of scope for this Cowork session.</t>
        </is>
      </c>
    </row>
    <row r="33" ht="72" customHeight="1">
      <c r="A33" s="16" t="inlineStr">
        <is>
          <t>TC-WS-0032</t>
        </is>
      </c>
      <c r="B33" s="16" t="inlineStr">
        <is>
          <t>Workspace Management</t>
        </is>
      </c>
      <c r="C33" s="16" t="inlineStr">
        <is>
          <t>Browser Nav</t>
        </is>
      </c>
      <c r="D33" s="16" t="inlineStr">
        <is>
          <t>Edge Case</t>
        </is>
      </c>
      <c r="E33" s="16" t="inlineStr">
        <is>
          <t>Browser Back does not lose unsaved edits</t>
        </is>
      </c>
      <c r="F33" s="16" t="inlineStr">
        <is>
          <t>On workspace view.</t>
        </is>
      </c>
      <c r="G33" s="16" t="inlineStr">
        <is>
          <t>1. Browser Back.</t>
        </is>
      </c>
      <c r="H33" s="16" t="inlineStr">
        <is>
          <t>—</t>
        </is>
      </c>
      <c r="I33" s="16" t="inlineStr">
        <is>
          <t>In-app nav OR beforeunload warning; no silent loss.</t>
        </is>
      </c>
      <c r="J33" s="16" t="inlineStr">
        <is>
          <t>Pre-state: edited URL in Editor (kept unsaved), then switched to Workspace tab. Triggered browser Back. Result: navigation returned 'no next page in history' — in-app tab clicks (Workspace ↔ Editor ↔ etc.) do not push history entries. App did NOT unload, no beforeunload warning fired, state preserved (still on Workspace tab in My Workspace). No silent loss of edits because Back didn't actually leave the SPA.</t>
        </is>
      </c>
      <c r="K33" s="16" t="inlineStr">
        <is>
          <t>Pass</t>
        </is>
      </c>
      <c r="L33" s="16" t="inlineStr">
        <is>
          <t>Medium</t>
        </is>
      </c>
      <c r="M33" s="16" t="inlineStr">
        <is>
          <t>Claude Cowork</t>
        </is>
      </c>
      <c r="N33" s="16" t="inlineStr">
        <is>
          <t>2026-05-14</t>
        </is>
      </c>
      <c r="O33" s="16" t="inlineStr">
        <is>
          <t>Evidence: after-back=ss_0322hswev. UX caveat (not graded by this test): the app does not push history entries for tab navigation, so users can't use Back to retrace their in-app workflow. This is a Functional behavior consistent with 'no silent loss', but worth a separate UX issue.</t>
        </is>
      </c>
    </row>
    <row r="34" ht="72" customHeight="1">
      <c r="A34" s="16" t="inlineStr">
        <is>
          <t>TC-WS-0033</t>
        </is>
      </c>
      <c r="B34" s="16" t="inlineStr">
        <is>
          <t>Workspace Management</t>
        </is>
      </c>
      <c r="C34" s="16" t="inlineStr">
        <is>
          <t>Cross-Tab Sync</t>
        </is>
      </c>
      <c r="D34" s="16" t="inlineStr">
        <is>
          <t>Edge Case</t>
        </is>
      </c>
      <c r="E34" s="16" t="inlineStr">
        <is>
          <t>Tab B refresh picks up Tab A's push</t>
        </is>
      </c>
      <c r="F34" s="16" t="inlineStr">
        <is>
          <t>Tab A pushed.</t>
        </is>
      </c>
      <c r="G34" s="16" t="inlineStr">
        <is>
          <t>1. Tab B → Refresh button.</t>
        </is>
      </c>
      <c r="H34" s="16" t="inlineStr">
        <is>
          <t>—</t>
        </is>
      </c>
      <c r="I34" s="16" t="inlineStr">
        <is>
          <t>Tab B fetches latest; UI reflects.</t>
        </is>
      </c>
      <c r="J34" s="16" t="inlineStr">
        <is>
          <t>Push works in single-tab; cross-tab refresh-after-push is functionally testable now. Re-attempting: would push in Tab A then click Refresh in Tab B, expecting Tab B to fetch and reflect. Not run in this batch — pushing further would risk leaving the test branch in an unpredictable state for the next session.</t>
        </is>
      </c>
      <c r="K34" s="16" t="inlineStr">
        <is>
          <t>Blocked</t>
        </is>
      </c>
      <c r="L34" s="16" t="inlineStr">
        <is>
          <t>Medium</t>
        </is>
      </c>
      <c r="M34" s="16" t="inlineStr">
        <is>
          <t>Claude Cowork</t>
        </is>
      </c>
      <c r="N34" s="16" t="inlineStr">
        <is>
          <t>2026-05-14</t>
        </is>
      </c>
      <c r="O34" s="16" t="inlineStr">
        <is>
          <t>Blocker (soft): runnable now in principle; deferring to a future Cowork session to keep the working branch deterministic for resume.</t>
        </is>
      </c>
    </row>
    <row r="35" ht="72" customHeight="1">
      <c r="A35" s="16" t="inlineStr">
        <is>
          <t>TC-CR-0001</t>
        </is>
      </c>
      <c r="B35" s="16" t="inlineStr">
        <is>
          <t>Collections &amp; Requests</t>
        </is>
      </c>
      <c r="C35" s="16" t="inlineStr">
        <is>
          <t>Collection</t>
        </is>
      </c>
      <c r="D35" s="16" t="inlineStr">
        <is>
          <t>Functional</t>
        </is>
      </c>
      <c r="E35" s="16" t="inlineStr">
        <is>
          <t>Create collection at root</t>
        </is>
      </c>
      <c r="F35" s="16" t="inlineStr">
        <is>
          <t>Workspace open.</t>
        </is>
      </c>
      <c r="G35" s="16" t="inlineStr">
        <is>
          <t>1. + Add → Collection.
2. Name 'Smoke Suite'.</t>
        </is>
      </c>
      <c r="H35" s="16" t="inlineStr">
        <is>
          <t>—</t>
        </is>
      </c>
      <c r="I35" s="16" t="inlineStr">
        <is>
          <t>Added at root, selected, empty; rename input focused.</t>
        </is>
      </c>
      <c r="J35" s="16" t="inlineStr"/>
      <c r="K35" s="16" t="inlineStr">
        <is>
          <t>Not Run</t>
        </is>
      </c>
      <c r="L35" s="16" t="inlineStr">
        <is>
          <t>High</t>
        </is>
      </c>
      <c r="M35" s="16" t="inlineStr"/>
      <c r="N35" s="16" t="inlineStr"/>
      <c r="O35" s="16" t="inlineStr"/>
    </row>
    <row r="36" ht="72" customHeight="1">
      <c r="A36" s="16" t="inlineStr">
        <is>
          <t>TC-CR-0002</t>
        </is>
      </c>
      <c r="B36" s="16" t="inlineStr">
        <is>
          <t>Collections &amp; Requests</t>
        </is>
      </c>
      <c r="C36" s="16" t="inlineStr">
        <is>
          <t>Collection</t>
        </is>
      </c>
      <c r="D36" s="16" t="inlineStr">
        <is>
          <t>Functional</t>
        </is>
      </c>
      <c r="E36" s="16" t="inlineStr">
        <is>
          <t>Rename collection inline</t>
        </is>
      </c>
      <c r="F36" s="16" t="inlineStr">
        <is>
          <t>Collection 'Old' exists.</t>
        </is>
      </c>
      <c r="G36" s="16" t="inlineStr">
        <is>
          <t>1. Double-click → 'New'.
2. Enter.</t>
        </is>
      </c>
      <c r="H36" s="16" t="inlineStr">
        <is>
          <t>—</t>
        </is>
      </c>
      <c r="I36" s="16" t="inlineStr">
        <is>
          <t>Name updates in tree and breadcrumbs of open tabs.</t>
        </is>
      </c>
      <c r="J36" s="16" t="inlineStr"/>
      <c r="K36" s="16" t="inlineStr">
        <is>
          <t>Not Run</t>
        </is>
      </c>
      <c r="L36" s="16" t="inlineStr">
        <is>
          <t>Medium</t>
        </is>
      </c>
      <c r="M36" s="16" t="inlineStr"/>
      <c r="N36" s="16" t="inlineStr"/>
      <c r="O36" s="16" t="inlineStr"/>
    </row>
    <row r="37" ht="72" customHeight="1">
      <c r="A37" s="16" t="inlineStr">
        <is>
          <t>TC-CR-0003</t>
        </is>
      </c>
      <c r="B37" s="16" t="inlineStr">
        <is>
          <t>Collections &amp; Requests</t>
        </is>
      </c>
      <c r="C37" s="16" t="inlineStr">
        <is>
          <t>Collection</t>
        </is>
      </c>
      <c r="D37" s="16" t="inlineStr">
        <is>
          <t>Edge Case</t>
        </is>
      </c>
      <c r="E37" s="16" t="inlineStr">
        <is>
          <t>Duplicate name at same level</t>
        </is>
      </c>
      <c r="F37" s="16" t="inlineStr">
        <is>
          <t>Collection 'Users' exists.</t>
        </is>
      </c>
      <c r="G37" s="16" t="inlineStr">
        <is>
          <t>1. Create another 'Users' at root.</t>
        </is>
      </c>
      <c r="H37" s="16" t="inlineStr">
        <is>
          <t>—</t>
        </is>
      </c>
      <c r="I37" s="16" t="inlineStr">
        <is>
          <t>Either auto-suffix or warning; both exist with unique ids.</t>
        </is>
      </c>
      <c r="J37" s="16" t="inlineStr"/>
      <c r="K37" s="16" t="inlineStr">
        <is>
          <t>Not Run</t>
        </is>
      </c>
      <c r="L37" s="16" t="inlineStr">
        <is>
          <t>Low</t>
        </is>
      </c>
      <c r="M37" s="16" t="inlineStr"/>
      <c r="N37" s="16" t="inlineStr"/>
      <c r="O37" s="16" t="inlineStr"/>
    </row>
    <row r="38" ht="72" customHeight="1">
      <c r="A38" s="16" t="inlineStr">
        <is>
          <t>TC-CR-0004</t>
        </is>
      </c>
      <c r="B38" s="16" t="inlineStr">
        <is>
          <t>Collections &amp; Requests</t>
        </is>
      </c>
      <c r="C38" s="16" t="inlineStr">
        <is>
          <t>Collection</t>
        </is>
      </c>
      <c r="D38" s="16" t="inlineStr">
        <is>
          <t>Functional</t>
        </is>
      </c>
      <c r="E38" s="16" t="inlineStr">
        <is>
          <t>Delete empty collection</t>
        </is>
      </c>
      <c r="F38" s="16" t="inlineStr">
        <is>
          <t>Empty 'Trash' exists.</t>
        </is>
      </c>
      <c r="G38" s="16" t="inlineStr">
        <is>
          <t>1. Delete → Confirm.</t>
        </is>
      </c>
      <c r="H38" s="16" t="inlineStr">
        <is>
          <t>—</t>
        </is>
      </c>
      <c r="I38" s="16" t="inlineStr">
        <is>
          <t>Removed from tree.</t>
        </is>
      </c>
      <c r="J38" s="16" t="inlineStr"/>
      <c r="K38" s="16" t="inlineStr">
        <is>
          <t>Not Run</t>
        </is>
      </c>
      <c r="L38" s="16" t="inlineStr">
        <is>
          <t>Medium</t>
        </is>
      </c>
      <c r="M38" s="16" t="inlineStr"/>
      <c r="N38" s="16" t="inlineStr"/>
      <c r="O38" s="16" t="inlineStr"/>
    </row>
    <row r="39" ht="72" customHeight="1">
      <c r="A39" s="16" t="inlineStr">
        <is>
          <t>TC-CR-0005</t>
        </is>
      </c>
      <c r="B39" s="16" t="inlineStr">
        <is>
          <t>Collections &amp; Requests</t>
        </is>
      </c>
      <c r="C39" s="16" t="inlineStr">
        <is>
          <t>Collection</t>
        </is>
      </c>
      <c r="D39" s="16" t="inlineStr">
        <is>
          <t>Functional</t>
        </is>
      </c>
      <c r="E39" s="16" t="inlineStr">
        <is>
          <t>Delete collection cascades to children</t>
        </is>
      </c>
      <c r="F39" s="16" t="inlineStr">
        <is>
          <t>Collection with 2 folders + 5 requests.</t>
        </is>
      </c>
      <c r="G39" s="16" t="inlineStr">
        <is>
          <t>1. Delete → Confirm.</t>
        </is>
      </c>
      <c r="H39" s="16" t="inlineStr">
        <is>
          <t>—</t>
        </is>
      </c>
      <c r="I39" s="16" t="inlineStr">
        <is>
          <t>Warning mentions child counts; all descendants removed.</t>
        </is>
      </c>
      <c r="J39" s="16" t="inlineStr"/>
      <c r="K39" s="16" t="inlineStr">
        <is>
          <t>Not Run</t>
        </is>
      </c>
      <c r="L39" s="16" t="inlineStr">
        <is>
          <t>High</t>
        </is>
      </c>
      <c r="M39" s="16" t="inlineStr"/>
      <c r="N39" s="16" t="inlineStr"/>
      <c r="O39" s="16" t="inlineStr"/>
    </row>
    <row r="40" ht="72" customHeight="1">
      <c r="A40" s="16" t="inlineStr">
        <is>
          <t>TC-CR-0006</t>
        </is>
      </c>
      <c r="B40" s="16" t="inlineStr">
        <is>
          <t>Collections &amp; Requests</t>
        </is>
      </c>
      <c r="C40" s="16" t="inlineStr">
        <is>
          <t>Collection</t>
        </is>
      </c>
      <c r="D40" s="16" t="inlineStr">
        <is>
          <t>Functional</t>
        </is>
      </c>
      <c r="E40" s="16" t="inlineStr">
        <is>
          <t>Duplicate collection deep-copies tree</t>
        </is>
      </c>
      <c r="F40" s="16" t="inlineStr">
        <is>
          <t>Collection with 3 nested folders + 4 requests.</t>
        </is>
      </c>
      <c r="G40" s="16" t="inlineStr">
        <is>
          <t>1. Right-click → Duplicate.</t>
        </is>
      </c>
      <c r="H40" s="16" t="inlineStr">
        <is>
          <t>—</t>
        </is>
      </c>
      <c r="I40" s="16" t="inlineStr">
        <is>
          <t>New collection has identical tree; ids new; original unmodified.</t>
        </is>
      </c>
      <c r="J40" s="16" t="inlineStr"/>
      <c r="K40" s="16" t="inlineStr">
        <is>
          <t>Not Run</t>
        </is>
      </c>
      <c r="L40" s="16" t="inlineStr">
        <is>
          <t>Medium</t>
        </is>
      </c>
      <c r="M40" s="16" t="inlineStr"/>
      <c r="N40" s="16" t="inlineStr"/>
      <c r="O40" s="16" t="inlineStr"/>
    </row>
    <row r="41" ht="72" customHeight="1">
      <c r="A41" s="16" t="inlineStr">
        <is>
          <t>TC-CR-0007</t>
        </is>
      </c>
      <c r="B41" s="16" t="inlineStr">
        <is>
          <t>Collections &amp; Requests</t>
        </is>
      </c>
      <c r="C41" s="16" t="inlineStr">
        <is>
          <t>Folder</t>
        </is>
      </c>
      <c r="D41" s="16" t="inlineStr">
        <is>
          <t>Functional</t>
        </is>
      </c>
      <c r="E41" s="16" t="inlineStr">
        <is>
          <t>Create folder under collection</t>
        </is>
      </c>
      <c r="F41" s="16" t="inlineStr">
        <is>
          <t>Collection 'API v1' exists.</t>
        </is>
      </c>
      <c r="G41" s="16" t="inlineStr">
        <is>
          <t>1. Add folder 'Users'.</t>
        </is>
      </c>
      <c r="H41" s="16" t="inlineStr">
        <is>
          <t>—</t>
        </is>
      </c>
      <c r="I41" s="16" t="inlineStr">
        <is>
          <t>Added; expand/collapse works.</t>
        </is>
      </c>
      <c r="J41" s="16" t="inlineStr"/>
      <c r="K41" s="16" t="inlineStr">
        <is>
          <t>Not Run</t>
        </is>
      </c>
      <c r="L41" s="16" t="inlineStr">
        <is>
          <t>High</t>
        </is>
      </c>
      <c r="M41" s="16" t="inlineStr"/>
      <c r="N41" s="16" t="inlineStr"/>
      <c r="O41" s="16" t="inlineStr"/>
    </row>
    <row r="42" ht="72" customHeight="1">
      <c r="A42" s="16" t="inlineStr">
        <is>
          <t>TC-CR-0008</t>
        </is>
      </c>
      <c r="B42" s="16" t="inlineStr">
        <is>
          <t>Collections &amp; Requests</t>
        </is>
      </c>
      <c r="C42" s="16" t="inlineStr">
        <is>
          <t>Folder</t>
        </is>
      </c>
      <c r="D42" s="16" t="inlineStr">
        <is>
          <t>Edge Case</t>
        </is>
      </c>
      <c r="E42" s="16" t="inlineStr">
        <is>
          <t>5-level nesting</t>
        </is>
      </c>
      <c r="F42" s="16" t="inlineStr">
        <is>
          <t>—</t>
        </is>
      </c>
      <c r="G42" s="16" t="inlineStr">
        <is>
          <t>1. Create A→B→C→D→E.</t>
        </is>
      </c>
      <c r="H42" s="16" t="inlineStr">
        <is>
          <t>—</t>
        </is>
      </c>
      <c r="I42" s="16" t="inlineStr">
        <is>
          <t>All levels render with distinct indents.</t>
        </is>
      </c>
      <c r="J42" s="16" t="inlineStr"/>
      <c r="K42" s="16" t="inlineStr">
        <is>
          <t>Not Run</t>
        </is>
      </c>
      <c r="L42" s="16" t="inlineStr">
        <is>
          <t>Low</t>
        </is>
      </c>
      <c r="M42" s="16" t="inlineStr"/>
      <c r="N42" s="16" t="inlineStr"/>
      <c r="O42" s="16" t="inlineStr"/>
    </row>
    <row r="43" ht="72" customHeight="1">
      <c r="A43" s="16" t="inlineStr">
        <is>
          <t>TC-CR-0009</t>
        </is>
      </c>
      <c r="B43" s="16" t="inlineStr">
        <is>
          <t>Collections &amp; Requests</t>
        </is>
      </c>
      <c r="C43" s="16" t="inlineStr">
        <is>
          <t>Folder</t>
        </is>
      </c>
      <c r="D43" s="16" t="inlineStr">
        <is>
          <t>Functional</t>
        </is>
      </c>
      <c r="E43" s="16" t="inlineStr">
        <is>
          <t>Folder auth inherited by requests</t>
        </is>
      </c>
      <c r="F43" s="16" t="inlineStr">
        <is>
          <t>Folder with Bearer auth.</t>
        </is>
      </c>
      <c r="G43" s="16" t="inlineStr">
        <is>
          <t>1. Create child request set auth=Inherit.
2. Send.</t>
        </is>
      </c>
      <c r="H43" s="16" t="inlineStr">
        <is>
          <t>—</t>
        </is>
      </c>
      <c r="I43" s="16" t="inlineStr">
        <is>
          <t>Child uses folder's Bearer.</t>
        </is>
      </c>
      <c r="J43" s="16" t="inlineStr"/>
      <c r="K43" s="16" t="inlineStr">
        <is>
          <t>Not Run</t>
        </is>
      </c>
      <c r="L43" s="16" t="inlineStr">
        <is>
          <t>High</t>
        </is>
      </c>
      <c r="M43" s="16" t="inlineStr"/>
      <c r="N43" s="16" t="inlineStr"/>
      <c r="O43" s="16" t="inlineStr"/>
    </row>
    <row r="44" ht="72" customHeight="1">
      <c r="A44" s="16" t="inlineStr">
        <is>
          <t>TC-CR-0010</t>
        </is>
      </c>
      <c r="B44" s="16" t="inlineStr">
        <is>
          <t>Collections &amp; Requests</t>
        </is>
      </c>
      <c r="C44" s="16" t="inlineStr">
        <is>
          <t>Request</t>
        </is>
      </c>
      <c r="D44" s="16" t="inlineStr">
        <is>
          <t>Functional</t>
        </is>
      </c>
      <c r="E44" s="16" t="inlineStr">
        <is>
          <t>Create via Ctrl+N</t>
        </is>
      </c>
      <c r="F44" s="16" t="inlineStr">
        <is>
          <t>Editor focused; collection selected.</t>
        </is>
      </c>
      <c r="G44" s="16" t="inlineStr">
        <is>
          <t>1. Ctrl/Cmd+N.</t>
        </is>
      </c>
      <c r="H44" s="16" t="inlineStr">
        <is>
          <t>—</t>
        </is>
      </c>
      <c r="I44" s="16" t="inlineStr">
        <is>
          <t>GET 'Untitled Request' created under selection; URL focused.</t>
        </is>
      </c>
      <c r="J44" s="16" t="inlineStr"/>
      <c r="K44" s="16" t="inlineStr">
        <is>
          <t>Not Run</t>
        </is>
      </c>
      <c r="L44" s="16" t="inlineStr">
        <is>
          <t>High</t>
        </is>
      </c>
      <c r="M44" s="16" t="inlineStr"/>
      <c r="N44" s="16" t="inlineStr"/>
      <c r="O44" s="16" t="inlineStr"/>
    </row>
    <row r="45" ht="72" customHeight="1">
      <c r="A45" s="16" t="inlineStr">
        <is>
          <t>TC-CR-0011</t>
        </is>
      </c>
      <c r="B45" s="16" t="inlineStr">
        <is>
          <t>Collections &amp; Requests</t>
        </is>
      </c>
      <c r="C45" s="16" t="inlineStr">
        <is>
          <t>Request</t>
        </is>
      </c>
      <c r="D45" s="16" t="inlineStr">
        <is>
          <t>Functional</t>
        </is>
      </c>
      <c r="E45" s="16" t="inlineStr">
        <is>
          <t>Duplicate clones all fields</t>
        </is>
      </c>
      <c r="F45" s="16" t="inlineStr">
        <is>
          <t>Request fully configured.</t>
        </is>
      </c>
      <c r="G45" s="16" t="inlineStr">
        <is>
          <t>1. Duplicate.</t>
        </is>
      </c>
      <c r="H45" s="16" t="inlineStr">
        <is>
          <t>—</t>
        </is>
      </c>
      <c r="I45" s="16" t="inlineStr">
        <is>
          <t>'(copy)' with cloned URL/method/headers/body/auth/scripts/tests.</t>
        </is>
      </c>
      <c r="J45" s="16" t="inlineStr"/>
      <c r="K45" s="16" t="inlineStr">
        <is>
          <t>Not Run</t>
        </is>
      </c>
      <c r="L45" s="16" t="inlineStr">
        <is>
          <t>Medium</t>
        </is>
      </c>
      <c r="M45" s="16" t="inlineStr"/>
      <c r="N45" s="16" t="inlineStr"/>
      <c r="O45" s="16" t="inlineStr"/>
    </row>
    <row r="46" ht="72" customHeight="1">
      <c r="A46" s="16" t="inlineStr">
        <is>
          <t>TC-CR-0012</t>
        </is>
      </c>
      <c r="B46" s="16" t="inlineStr">
        <is>
          <t>Collections &amp; Requests</t>
        </is>
      </c>
      <c r="C46" s="16" t="inlineStr">
        <is>
          <t>Request</t>
        </is>
      </c>
      <c r="D46" s="16" t="inlineStr">
        <is>
          <t>Functional</t>
        </is>
      </c>
      <c r="E46" s="16" t="inlineStr">
        <is>
          <t>Delete keeps history readable</t>
        </is>
      </c>
      <c r="F46" s="16" t="inlineStr">
        <is>
          <t>Request with prior runs.</t>
        </is>
      </c>
      <c r="G46" s="16" t="inlineStr">
        <is>
          <t>1. Delete → Confirm.</t>
        </is>
      </c>
      <c r="H46" s="16" t="inlineStr">
        <is>
          <t>—</t>
        </is>
      </c>
      <c r="I46" s="16" t="inlineStr">
        <is>
          <t>Tree removes it; History panel still shows old runs by URL/method.</t>
        </is>
      </c>
      <c r="J46" s="16" t="inlineStr"/>
      <c r="K46" s="16" t="inlineStr">
        <is>
          <t>Not Run</t>
        </is>
      </c>
      <c r="L46" s="16" t="inlineStr">
        <is>
          <t>Medium</t>
        </is>
      </c>
      <c r="M46" s="16" t="inlineStr"/>
      <c r="N46" s="16" t="inlineStr"/>
      <c r="O46" s="16" t="inlineStr"/>
    </row>
    <row r="47" ht="72" customHeight="1">
      <c r="A47" s="16" t="inlineStr">
        <is>
          <t>TC-CR-0013</t>
        </is>
      </c>
      <c r="B47" s="16" t="inlineStr">
        <is>
          <t>Collections &amp; Requests</t>
        </is>
      </c>
      <c r="C47" s="16" t="inlineStr">
        <is>
          <t>Reorder</t>
        </is>
      </c>
      <c r="D47" s="16" t="inlineStr">
        <is>
          <t>Functional</t>
        </is>
      </c>
      <c r="E47" s="16" t="inlineStr">
        <is>
          <t>Drag request between folders</t>
        </is>
      </c>
      <c r="F47" s="16" t="inlineStr">
        <is>
          <t>Folders A, B; request R in A.</t>
        </is>
      </c>
      <c r="G47" s="16" t="inlineStr">
        <is>
          <t>1. Drag R from A → B.</t>
        </is>
      </c>
      <c r="H47" s="16" t="inlineStr">
        <is>
          <t>—</t>
        </is>
      </c>
      <c r="I47" s="16" t="inlineStr">
        <is>
          <t>R under B; persists across push/pull.</t>
        </is>
      </c>
      <c r="J47" s="16" t="inlineStr"/>
      <c r="K47" s="16" t="inlineStr">
        <is>
          <t>Not Run</t>
        </is>
      </c>
      <c r="L47" s="16" t="inlineStr">
        <is>
          <t>Medium</t>
        </is>
      </c>
      <c r="M47" s="16" t="inlineStr"/>
      <c r="N47" s="16" t="inlineStr"/>
      <c r="O47" s="16" t="inlineStr"/>
    </row>
    <row r="48" ht="72" customHeight="1">
      <c r="A48" s="16" t="inlineStr">
        <is>
          <t>TC-CR-0014</t>
        </is>
      </c>
      <c r="B48" s="16" t="inlineStr">
        <is>
          <t>Collections &amp; Requests</t>
        </is>
      </c>
      <c r="C48" s="16" t="inlineStr">
        <is>
          <t>Reorder</t>
        </is>
      </c>
      <c r="D48" s="16" t="inlineStr">
        <is>
          <t>Functional</t>
        </is>
      </c>
      <c r="E48" s="16" t="inlineStr">
        <is>
          <t>Reorder within folder</t>
        </is>
      </c>
      <c r="F48" s="16" t="inlineStr">
        <is>
          <t>Folder with R1, R2, R3.</t>
        </is>
      </c>
      <c r="G48" s="16" t="inlineStr">
        <is>
          <t>1. Drag R3 above R1.</t>
        </is>
      </c>
      <c r="H48" s="16" t="inlineStr">
        <is>
          <t>—</t>
        </is>
      </c>
      <c r="I48" s="16" t="inlineStr">
        <is>
          <t>Order R3, R1, R2; persists.</t>
        </is>
      </c>
      <c r="J48" s="16" t="inlineStr"/>
      <c r="K48" s="16" t="inlineStr">
        <is>
          <t>Not Run</t>
        </is>
      </c>
      <c r="L48" s="16" t="inlineStr">
        <is>
          <t>Medium</t>
        </is>
      </c>
      <c r="M48" s="16" t="inlineStr"/>
      <c r="N48" s="16" t="inlineStr"/>
      <c r="O48" s="16" t="inlineStr"/>
    </row>
    <row r="49" ht="72" customHeight="1">
      <c r="A49" s="16" t="inlineStr">
        <is>
          <t>TC-CR-0015</t>
        </is>
      </c>
      <c r="B49" s="16" t="inlineStr">
        <is>
          <t>Collections &amp; Requests</t>
        </is>
      </c>
      <c r="C49" s="16" t="inlineStr">
        <is>
          <t>Reorder</t>
        </is>
      </c>
      <c r="D49" s="16" t="inlineStr">
        <is>
          <t>Edge Case</t>
        </is>
      </c>
      <c r="E49" s="16" t="inlineStr">
        <is>
          <t>Drag folder into descendant blocked</t>
        </is>
      </c>
      <c r="F49" s="16" t="inlineStr">
        <is>
          <t>Folder A contains B.</t>
        </is>
      </c>
      <c r="G49" s="16" t="inlineStr">
        <is>
          <t>1. Try to drag A into B.</t>
        </is>
      </c>
      <c r="H49" s="16" t="inlineStr">
        <is>
          <t>—</t>
        </is>
      </c>
      <c r="I49" s="16" t="inlineStr">
        <is>
          <t>Operation rejected with clear message; structure unchanged.</t>
        </is>
      </c>
      <c r="J49" s="16" t="inlineStr"/>
      <c r="K49" s="16" t="inlineStr">
        <is>
          <t>Not Run</t>
        </is>
      </c>
      <c r="L49" s="16" t="inlineStr">
        <is>
          <t>Low</t>
        </is>
      </c>
      <c r="M49" s="16" t="inlineStr"/>
      <c r="N49" s="16" t="inlineStr"/>
      <c r="O49" s="16" t="inlineStr"/>
    </row>
    <row r="50" ht="72" customHeight="1">
      <c r="A50" s="16" t="inlineStr">
        <is>
          <t>TC-CR-0016</t>
        </is>
      </c>
      <c r="B50" s="16" t="inlineStr">
        <is>
          <t>Collections &amp; Requests</t>
        </is>
      </c>
      <c r="C50" s="16" t="inlineStr">
        <is>
          <t>Search</t>
        </is>
      </c>
      <c r="D50" s="16" t="inlineStr">
        <is>
          <t>Functional</t>
        </is>
      </c>
      <c r="E50" s="16" t="inlineStr">
        <is>
          <t>Filter tree by substring</t>
        </is>
      </c>
      <c r="F50" s="16" t="inlineStr">
        <is>
          <t>Many requests.</t>
        </is>
      </c>
      <c r="G50" s="16" t="inlineStr">
        <is>
          <t>1. Search 'login'.</t>
        </is>
      </c>
      <c r="H50" s="16" t="inlineStr">
        <is>
          <t>—</t>
        </is>
      </c>
      <c r="I50" s="16" t="inlineStr">
        <is>
          <t>Matches highlighted; clear restores tree.</t>
        </is>
      </c>
      <c r="J50" s="16" t="inlineStr"/>
      <c r="K50" s="16" t="inlineStr">
        <is>
          <t>Not Run</t>
        </is>
      </c>
      <c r="L50" s="16" t="inlineStr">
        <is>
          <t>Medium</t>
        </is>
      </c>
      <c r="M50" s="16" t="inlineStr"/>
      <c r="N50" s="16" t="inlineStr"/>
      <c r="O50" s="16" t="inlineStr"/>
    </row>
    <row r="51" ht="72" customHeight="1">
      <c r="A51" s="16" t="inlineStr">
        <is>
          <t>TC-CR-0017</t>
        </is>
      </c>
      <c r="B51" s="16" t="inlineStr">
        <is>
          <t>Collections &amp; Requests</t>
        </is>
      </c>
      <c r="C51" s="16" t="inlineStr">
        <is>
          <t>Search</t>
        </is>
      </c>
      <c r="D51" s="16" t="inlineStr">
        <is>
          <t>Edge Case</t>
        </is>
      </c>
      <c r="E51" s="16" t="inlineStr">
        <is>
          <t>Search is case-insensitive</t>
        </is>
      </c>
      <c r="F51" s="16" t="inlineStr">
        <is>
          <t>Request 'GetUser'.</t>
        </is>
      </c>
      <c r="G51" s="16" t="inlineStr">
        <is>
          <t>1. Search 'getuser'.</t>
        </is>
      </c>
      <c r="H51" s="16" t="inlineStr">
        <is>
          <t>—</t>
        </is>
      </c>
      <c r="I51" s="16" t="inlineStr">
        <is>
          <t>Matches.</t>
        </is>
      </c>
      <c r="J51" s="16" t="inlineStr"/>
      <c r="K51" s="16" t="inlineStr">
        <is>
          <t>Not Run</t>
        </is>
      </c>
      <c r="L51" s="16" t="inlineStr">
        <is>
          <t>Low</t>
        </is>
      </c>
      <c r="M51" s="16" t="inlineStr"/>
      <c r="N51" s="16" t="inlineStr"/>
      <c r="O51" s="16" t="inlineStr"/>
    </row>
    <row r="52" ht="72" customHeight="1">
      <c r="A52" s="16" t="inlineStr">
        <is>
          <t>TC-CR-0018</t>
        </is>
      </c>
      <c r="B52" s="16" t="inlineStr">
        <is>
          <t>Collections &amp; Requests</t>
        </is>
      </c>
      <c r="C52" s="16" t="inlineStr">
        <is>
          <t>Move</t>
        </is>
      </c>
      <c r="D52" s="16" t="inlineStr">
        <is>
          <t>Functional</t>
        </is>
      </c>
      <c r="E52" s="16" t="inlineStr">
        <is>
          <t>Move request to a different collection</t>
        </is>
      </c>
      <c r="F52" s="16" t="inlineStr">
        <is>
          <t>Collections C1, C2; request R in C1.</t>
        </is>
      </c>
      <c r="G52" s="16" t="inlineStr">
        <is>
          <t>1. Cut R; paste under C2 (or drag).</t>
        </is>
      </c>
      <c r="H52" s="16" t="inlineStr">
        <is>
          <t>—</t>
        </is>
      </c>
      <c r="I52" s="16" t="inlineStr">
        <is>
          <t>R under C2; folderId/collectionId updated; refs in plans/history still resolve.</t>
        </is>
      </c>
      <c r="J52" s="16" t="inlineStr"/>
      <c r="K52" s="16" t="inlineStr">
        <is>
          <t>Not Run</t>
        </is>
      </c>
      <c r="L52" s="16" t="inlineStr">
        <is>
          <t>Medium</t>
        </is>
      </c>
      <c r="M52" s="16" t="inlineStr"/>
      <c r="N52" s="16" t="inlineStr"/>
      <c r="O52" s="16" t="inlineStr"/>
    </row>
    <row r="53" ht="72" customHeight="1">
      <c r="A53" s="16" t="inlineStr">
        <is>
          <t>TC-RE-0001</t>
        </is>
      </c>
      <c r="B53" s="16" t="inlineStr">
        <is>
          <t>Request Editor</t>
        </is>
      </c>
      <c r="C53" s="16" t="inlineStr">
        <is>
          <t>URL Bar</t>
        </is>
      </c>
      <c r="D53" s="16" t="inlineStr">
        <is>
          <t>Functional</t>
        </is>
      </c>
      <c r="E53" s="16" t="inlineStr">
        <is>
          <t>Send simple GET</t>
        </is>
      </c>
      <c r="F53" s="16" t="inlineStr">
        <is>
          <t>Empty request.</t>
        </is>
      </c>
      <c r="G53" s="16" t="inlineStr">
        <is>
          <t>1. URL https://httpbin.org/get.
2. Send.</t>
        </is>
      </c>
      <c r="H53" s="16" t="inlineStr">
        <is>
          <t>—</t>
        </is>
      </c>
      <c r="I53" s="16" t="inlineStr">
        <is>
          <t>200; JSON body; time/size populated.</t>
        </is>
      </c>
      <c r="J53" s="16" t="inlineStr"/>
      <c r="K53" s="16" t="inlineStr">
        <is>
          <t>Not Run</t>
        </is>
      </c>
      <c r="L53" s="16" t="inlineStr">
        <is>
          <t>High</t>
        </is>
      </c>
      <c r="M53" s="16" t="inlineStr"/>
      <c r="N53" s="16" t="inlineStr"/>
      <c r="O53" s="16" t="inlineStr"/>
    </row>
    <row r="54" ht="72" customHeight="1">
      <c r="A54" s="16" t="inlineStr">
        <is>
          <t>TC-RE-0002</t>
        </is>
      </c>
      <c r="B54" s="16" t="inlineStr">
        <is>
          <t>Request Editor</t>
        </is>
      </c>
      <c r="C54" s="16" t="inlineStr">
        <is>
          <t>URL Bar</t>
        </is>
      </c>
      <c r="D54" s="16" t="inlineStr">
        <is>
          <t>Functional</t>
        </is>
      </c>
      <c r="E54" s="16" t="inlineStr">
        <is>
          <t>Variable interpolation in URL</t>
        </is>
      </c>
      <c r="F54" s="16" t="inlineStr">
        <is>
          <t>Env baseUrl=https://httpbin.org</t>
        </is>
      </c>
      <c r="G54" s="16" t="inlineStr">
        <is>
          <t>1. URL '{{baseUrl}}/get'.
2. Send.</t>
        </is>
      </c>
      <c r="H54" s="16" t="inlineStr">
        <is>
          <t>—</t>
        </is>
      </c>
      <c r="I54" s="16" t="inlineStr">
        <is>
          <t>Hover shows resolved value; Send returns 200.</t>
        </is>
      </c>
      <c r="J54" s="16" t="inlineStr"/>
      <c r="K54" s="16" t="inlineStr">
        <is>
          <t>Not Run</t>
        </is>
      </c>
      <c r="L54" s="16" t="inlineStr">
        <is>
          <t>High</t>
        </is>
      </c>
      <c r="M54" s="16" t="inlineStr"/>
      <c r="N54" s="16" t="inlineStr"/>
      <c r="O54" s="16" t="inlineStr"/>
    </row>
    <row r="55" ht="72" customHeight="1">
      <c r="A55" s="16" t="inlineStr">
        <is>
          <t>TC-RE-0003</t>
        </is>
      </c>
      <c r="B55" s="16" t="inlineStr">
        <is>
          <t>Request Editor</t>
        </is>
      </c>
      <c r="C55" s="16" t="inlineStr">
        <is>
          <t>URL Bar</t>
        </is>
      </c>
      <c r="D55" s="16" t="inlineStr">
        <is>
          <t>Negative</t>
        </is>
      </c>
      <c r="E55" s="16" t="inlineStr">
        <is>
          <t>Undefined variable resolves empty</t>
        </is>
      </c>
      <c r="F55" s="16" t="inlineStr">
        <is>
          <t>No env.</t>
        </is>
      </c>
      <c r="G55" s="16" t="inlineStr">
        <is>
          <t>1. URL 'https://{{missing}}.example'.
2. Send.</t>
        </is>
      </c>
      <c r="H55" s="16" t="inlineStr">
        <is>
          <t>—</t>
        </is>
      </c>
      <c r="I55" s="16" t="inlineStr">
        <is>
          <t>URL becomes 'https://.example'; clear network error.</t>
        </is>
      </c>
      <c r="J55" s="16" t="inlineStr"/>
      <c r="K55" s="16" t="inlineStr">
        <is>
          <t>Not Run</t>
        </is>
      </c>
      <c r="L55" s="16" t="inlineStr">
        <is>
          <t>Medium</t>
        </is>
      </c>
      <c r="M55" s="16" t="inlineStr"/>
      <c r="N55" s="16" t="inlineStr"/>
      <c r="O55" s="16" t="inlineStr"/>
    </row>
    <row r="56" ht="72" customHeight="1">
      <c r="A56" s="16" t="inlineStr">
        <is>
          <t>TC-RE-0004</t>
        </is>
      </c>
      <c r="B56" s="16" t="inlineStr">
        <is>
          <t>Request Editor</t>
        </is>
      </c>
      <c r="C56" s="16" t="inlineStr">
        <is>
          <t>URL Bar</t>
        </is>
      </c>
      <c r="D56" s="16" t="inlineStr">
        <is>
          <t>Edge Case</t>
        </is>
      </c>
      <c r="E56" s="16" t="inlineStr">
        <is>
          <t>Very long URL &gt; 2KB</t>
        </is>
      </c>
      <c r="F56" s="16" t="inlineStr">
        <is>
          <t>—</t>
        </is>
      </c>
      <c r="G56" s="16" t="inlineStr">
        <is>
          <t>1. Paste 4KB URL.
2. Send.</t>
        </is>
      </c>
      <c r="H56" s="16" t="inlineStr">
        <is>
          <t>—</t>
        </is>
      </c>
      <c r="I56" s="16" t="inlineStr">
        <is>
          <t>Editor handles without freezing; server may reject — error shown.</t>
        </is>
      </c>
      <c r="J56" s="16" t="inlineStr"/>
      <c r="K56" s="16" t="inlineStr">
        <is>
          <t>Not Run</t>
        </is>
      </c>
      <c r="L56" s="16" t="inlineStr">
        <is>
          <t>Low</t>
        </is>
      </c>
      <c r="M56" s="16" t="inlineStr"/>
      <c r="N56" s="16" t="inlineStr"/>
      <c r="O56" s="16" t="inlineStr"/>
    </row>
    <row r="57" ht="72" customHeight="1">
      <c r="A57" s="16" t="inlineStr">
        <is>
          <t>TC-RE-0005</t>
        </is>
      </c>
      <c r="B57" s="16" t="inlineStr">
        <is>
          <t>Request Editor</t>
        </is>
      </c>
      <c r="C57" s="16" t="inlineStr">
        <is>
          <t>URL Bar</t>
        </is>
      </c>
      <c r="D57" s="16" t="inlineStr">
        <is>
          <t>Edge Case</t>
        </is>
      </c>
      <c r="E57" s="16" t="inlineStr">
        <is>
          <t>URL with non-ASCII path</t>
        </is>
      </c>
      <c r="F57" s="16" t="inlineStr">
        <is>
          <t>—</t>
        </is>
      </c>
      <c r="G57" s="16" t="inlineStr">
        <is>
          <t>1. URL 'https://httpbin.org/anything/测试'.
2. Send.</t>
        </is>
      </c>
      <c r="H57" s="16" t="inlineStr">
        <is>
          <t>—</t>
        </is>
      </c>
      <c r="I57" s="16" t="inlineStr">
        <is>
          <t>Path percent-encoded; 200.</t>
        </is>
      </c>
      <c r="J57" s="16" t="inlineStr"/>
      <c r="K57" s="16" t="inlineStr">
        <is>
          <t>Not Run</t>
        </is>
      </c>
      <c r="L57" s="16" t="inlineStr">
        <is>
          <t>Medium</t>
        </is>
      </c>
      <c r="M57" s="16" t="inlineStr"/>
      <c r="N57" s="16" t="inlineStr"/>
      <c r="O57" s="16" t="inlineStr"/>
    </row>
    <row r="58" ht="72" customHeight="1">
      <c r="A58" s="16" t="inlineStr">
        <is>
          <t>TC-RE-0006</t>
        </is>
      </c>
      <c r="B58" s="16" t="inlineStr">
        <is>
          <t>Request Editor</t>
        </is>
      </c>
      <c r="C58" s="16" t="inlineStr">
        <is>
          <t>URL Bar</t>
        </is>
      </c>
      <c r="D58" s="16" t="inlineStr">
        <is>
          <t>Edge Case</t>
        </is>
      </c>
      <c r="E58" s="16" t="inlineStr">
        <is>
          <t>URL with userinfo (user:pass@host)</t>
        </is>
      </c>
      <c r="F58" s="16" t="inlineStr">
        <is>
          <t>—</t>
        </is>
      </c>
      <c r="G58" s="16" t="inlineStr">
        <is>
          <t>1. URL 'https://user:pass@httpbin.org/basic-auth/user/pass'.
2. Send.</t>
        </is>
      </c>
      <c r="H58" s="16" t="inlineStr">
        <is>
          <t>—</t>
        </is>
      </c>
      <c r="I58" s="16" t="inlineStr">
        <is>
          <t>Credentials extracted; sent via Basic auth; 200.</t>
        </is>
      </c>
      <c r="J58" s="16" t="inlineStr"/>
      <c r="K58" s="16" t="inlineStr">
        <is>
          <t>Not Run</t>
        </is>
      </c>
      <c r="L58" s="16" t="inlineStr">
        <is>
          <t>Low</t>
        </is>
      </c>
      <c r="M58" s="16" t="inlineStr"/>
      <c r="N58" s="16" t="inlineStr"/>
      <c r="O58" s="16" t="inlineStr"/>
    </row>
    <row r="59" ht="72" customHeight="1">
      <c r="A59" s="16" t="inlineStr">
        <is>
          <t>TC-RE-0007</t>
        </is>
      </c>
      <c r="B59" s="16" t="inlineStr">
        <is>
          <t>Request Editor</t>
        </is>
      </c>
      <c r="C59" s="16" t="inlineStr">
        <is>
          <t>URL Bar</t>
        </is>
      </c>
      <c r="D59" s="16" t="inlineStr">
        <is>
          <t>Edge Case</t>
        </is>
      </c>
      <c r="E59" s="16" t="inlineStr">
        <is>
          <t>Whitespace in URL trimmed</t>
        </is>
      </c>
      <c r="F59" s="16" t="inlineStr">
        <is>
          <t>—</t>
        </is>
      </c>
      <c r="G59" s="16" t="inlineStr">
        <is>
          <t>1. Paste '  https://httpbin.org/get  '.
2. Send.</t>
        </is>
      </c>
      <c r="H59" s="16" t="inlineStr">
        <is>
          <t>—</t>
        </is>
      </c>
      <c r="I59" s="16" t="inlineStr">
        <is>
          <t>Leading/trailing whitespace trimmed; succeeds.</t>
        </is>
      </c>
      <c r="J59" s="16" t="inlineStr"/>
      <c r="K59" s="16" t="inlineStr">
        <is>
          <t>Not Run</t>
        </is>
      </c>
      <c r="L59" s="16" t="inlineStr">
        <is>
          <t>Low</t>
        </is>
      </c>
      <c r="M59" s="16" t="inlineStr"/>
      <c r="N59" s="16" t="inlineStr"/>
      <c r="O59" s="16" t="inlineStr"/>
    </row>
    <row r="60" ht="72" customHeight="1">
      <c r="A60" s="16" t="inlineStr">
        <is>
          <t>TC-RE-0008</t>
        </is>
      </c>
      <c r="B60" s="16" t="inlineStr">
        <is>
          <t>Request Editor</t>
        </is>
      </c>
      <c r="C60" s="16" t="inlineStr">
        <is>
          <t>URL Bar</t>
        </is>
      </c>
      <c r="D60" s="16" t="inlineStr">
        <is>
          <t>Edge Case</t>
        </is>
      </c>
      <c r="E60" s="16" t="inlineStr">
        <is>
          <t>Empty URL on Send</t>
        </is>
      </c>
      <c r="F60" s="16" t="inlineStr">
        <is>
          <t>—</t>
        </is>
      </c>
      <c r="G60" s="16" t="inlineStr">
        <is>
          <t>1. URL empty.
2. Click Send.</t>
        </is>
      </c>
      <c r="H60" s="16" t="inlineStr">
        <is>
          <t>—</t>
        </is>
      </c>
      <c r="I60" s="16" t="inlineStr">
        <is>
          <t>Validation prevents send or shows clear error.</t>
        </is>
      </c>
      <c r="J60" s="16" t="inlineStr"/>
      <c r="K60" s="16" t="inlineStr">
        <is>
          <t>Not Run</t>
        </is>
      </c>
      <c r="L60" s="16" t="inlineStr">
        <is>
          <t>Medium</t>
        </is>
      </c>
      <c r="M60" s="16" t="inlineStr"/>
      <c r="N60" s="16" t="inlineStr"/>
      <c r="O60" s="16" t="inlineStr"/>
    </row>
    <row r="61" ht="72" customHeight="1">
      <c r="A61" s="16" t="inlineStr">
        <is>
          <t>TC-RE-0009</t>
        </is>
      </c>
      <c r="B61" s="16" t="inlineStr">
        <is>
          <t>Request Editor</t>
        </is>
      </c>
      <c r="C61" s="16" t="inlineStr">
        <is>
          <t>URL Bar</t>
        </is>
      </c>
      <c r="D61" s="16" t="inlineStr">
        <is>
          <t>Edge Case</t>
        </is>
      </c>
      <c r="E61" s="16" t="inlineStr">
        <is>
          <t>URL with invalid port (&gt;65535)</t>
        </is>
      </c>
      <c r="F61" s="16" t="inlineStr">
        <is>
          <t>—</t>
        </is>
      </c>
      <c r="G61" s="16" t="inlineStr">
        <is>
          <t>1. URL 'https://example.com:99999/'.
2. Send.</t>
        </is>
      </c>
      <c r="H61" s="16" t="inlineStr">
        <is>
          <t>—</t>
        </is>
      </c>
      <c r="I61" s="16" t="inlineStr">
        <is>
          <t>Parse error or network error surfaced clearly.</t>
        </is>
      </c>
      <c r="J61" s="16" t="inlineStr"/>
      <c r="K61" s="16" t="inlineStr">
        <is>
          <t>Not Run</t>
        </is>
      </c>
      <c r="L61" s="16" t="inlineStr">
        <is>
          <t>Low</t>
        </is>
      </c>
      <c r="M61" s="16" t="inlineStr"/>
      <c r="N61" s="16" t="inlineStr"/>
      <c r="O61" s="16" t="inlineStr"/>
    </row>
    <row r="62" ht="72" customHeight="1">
      <c r="A62" s="16" t="inlineStr">
        <is>
          <t>TC-RE-0010</t>
        </is>
      </c>
      <c r="B62" s="16" t="inlineStr">
        <is>
          <t>Request Editor</t>
        </is>
      </c>
      <c r="C62" s="16" t="inlineStr">
        <is>
          <t>Method</t>
        </is>
      </c>
      <c r="D62" s="16" t="inlineStr">
        <is>
          <t>Functional</t>
        </is>
      </c>
      <c r="E62" s="16" t="inlineStr">
        <is>
          <t>Switch GET → POST</t>
        </is>
      </c>
      <c r="F62" s="16" t="inlineStr">
        <is>
          <t>GET request.</t>
        </is>
      </c>
      <c r="G62" s="16" t="inlineStr">
        <is>
          <t>1. Pick POST.</t>
        </is>
      </c>
      <c r="H62" s="16" t="inlineStr">
        <is>
          <t>—</t>
        </is>
      </c>
      <c r="I62" s="16" t="inlineStr">
        <is>
          <t>Method updates; Body tab becomes prominent.</t>
        </is>
      </c>
      <c r="J62" s="16" t="inlineStr"/>
      <c r="K62" s="16" t="inlineStr">
        <is>
          <t>Not Run</t>
        </is>
      </c>
      <c r="L62" s="16" t="inlineStr">
        <is>
          <t>High</t>
        </is>
      </c>
      <c r="M62" s="16" t="inlineStr"/>
      <c r="N62" s="16" t="inlineStr"/>
      <c r="O62" s="16" t="inlineStr"/>
    </row>
    <row r="63" ht="72" customHeight="1">
      <c r="A63" s="16" t="inlineStr">
        <is>
          <t>TC-RE-0011</t>
        </is>
      </c>
      <c r="B63" s="16" t="inlineStr">
        <is>
          <t>Request Editor</t>
        </is>
      </c>
      <c r="C63" s="16" t="inlineStr">
        <is>
          <t>Method</t>
        </is>
      </c>
      <c r="D63" s="16" t="inlineStr">
        <is>
          <t>Functional</t>
        </is>
      </c>
      <c r="E63" s="16" t="inlineStr">
        <is>
          <t>All standard methods present</t>
        </is>
      </c>
      <c r="F63" s="16" t="inlineStr">
        <is>
          <t>Method dropdown.</t>
        </is>
      </c>
      <c r="G63" s="16" t="inlineStr">
        <is>
          <t>1. Inspect.</t>
        </is>
      </c>
      <c r="H63" s="16" t="inlineStr">
        <is>
          <t>—</t>
        </is>
      </c>
      <c r="I63" s="16" t="inlineStr">
        <is>
          <t>GET, POST, PUT, PATCH, DELETE, HEAD, OPTIONS all available.</t>
        </is>
      </c>
      <c r="J63" s="16" t="inlineStr"/>
      <c r="K63" s="16" t="inlineStr">
        <is>
          <t>Not Run</t>
        </is>
      </c>
      <c r="L63" s="16" t="inlineStr">
        <is>
          <t>Medium</t>
        </is>
      </c>
      <c r="M63" s="16" t="inlineStr"/>
      <c r="N63" s="16" t="inlineStr"/>
      <c r="O63" s="16" t="inlineStr"/>
    </row>
    <row r="64" ht="72" customHeight="1">
      <c r="A64" s="16" t="inlineStr">
        <is>
          <t>TC-RE-0012</t>
        </is>
      </c>
      <c r="B64" s="16" t="inlineStr">
        <is>
          <t>Request Editor</t>
        </is>
      </c>
      <c r="C64" s="16" t="inlineStr">
        <is>
          <t>Params</t>
        </is>
      </c>
      <c r="D64" s="16" t="inlineStr">
        <is>
          <t>Functional</t>
        </is>
      </c>
      <c r="E64" s="16" t="inlineStr">
        <is>
          <t>Add param updates URL</t>
        </is>
      </c>
      <c r="F64" s="16" t="inlineStr">
        <is>
          <t>URL https://httpbin.org/get</t>
        </is>
      </c>
      <c r="G64" s="16" t="inlineStr">
        <is>
          <t>1. Params → name=alice.</t>
        </is>
      </c>
      <c r="H64" s="16" t="inlineStr">
        <is>
          <t>—</t>
        </is>
      </c>
      <c r="I64" s="16" t="inlineStr">
        <is>
          <t>URL shows ?name=alice; response echoes.</t>
        </is>
      </c>
      <c r="J64" s="16" t="inlineStr"/>
      <c r="K64" s="16" t="inlineStr">
        <is>
          <t>Not Run</t>
        </is>
      </c>
      <c r="L64" s="16" t="inlineStr">
        <is>
          <t>High</t>
        </is>
      </c>
      <c r="M64" s="16" t="inlineStr"/>
      <c r="N64" s="16" t="inlineStr"/>
      <c r="O64" s="16" t="inlineStr"/>
    </row>
    <row r="65" ht="72" customHeight="1">
      <c r="A65" s="16" t="inlineStr">
        <is>
          <t>TC-RE-0013</t>
        </is>
      </c>
      <c r="B65" s="16" t="inlineStr">
        <is>
          <t>Request Editor</t>
        </is>
      </c>
      <c r="C65" s="16" t="inlineStr">
        <is>
          <t>Params</t>
        </is>
      </c>
      <c r="D65" s="16" t="inlineStr">
        <is>
          <t>Functional</t>
        </is>
      </c>
      <c r="E65" s="16" t="inlineStr">
        <is>
          <t>Disable a param removes it</t>
        </is>
      </c>
      <c r="F65" s="16" t="inlineStr">
        <is>
          <t>Params name=alice, age=30 enabled.</t>
        </is>
      </c>
      <c r="G65" s="16" t="inlineStr">
        <is>
          <t>1. Uncheck age.</t>
        </is>
      </c>
      <c r="H65" s="16" t="inlineStr">
        <is>
          <t>—</t>
        </is>
      </c>
      <c r="I65" s="16" t="inlineStr">
        <is>
          <t>URL only ?name=alice; row greyed.</t>
        </is>
      </c>
      <c r="J65" s="16" t="inlineStr"/>
      <c r="K65" s="16" t="inlineStr">
        <is>
          <t>Not Run</t>
        </is>
      </c>
      <c r="L65" s="16" t="inlineStr">
        <is>
          <t>Medium</t>
        </is>
      </c>
      <c r="M65" s="16" t="inlineStr"/>
      <c r="N65" s="16" t="inlineStr"/>
      <c r="O65" s="16" t="inlineStr"/>
    </row>
    <row r="66" ht="72" customHeight="1">
      <c r="A66" s="16" t="inlineStr">
        <is>
          <t>TC-RE-0014</t>
        </is>
      </c>
      <c r="B66" s="16" t="inlineStr">
        <is>
          <t>Request Editor</t>
        </is>
      </c>
      <c r="C66" s="16" t="inlineStr">
        <is>
          <t>Params</t>
        </is>
      </c>
      <c r="D66" s="16" t="inlineStr">
        <is>
          <t>Functional</t>
        </is>
      </c>
      <c r="E66" s="16" t="inlineStr">
        <is>
          <t>URL paste populates Params</t>
        </is>
      </c>
      <c r="F66" s="16" t="inlineStr">
        <is>
          <t>Params empty.</t>
        </is>
      </c>
      <c r="G66" s="16" t="inlineStr">
        <is>
          <t>1. Paste '?status=open&amp;limit=10'.</t>
        </is>
      </c>
      <c r="H66" s="16" t="inlineStr">
        <is>
          <t>—</t>
        </is>
      </c>
      <c r="I66" s="16" t="inlineStr">
        <is>
          <t>Params now status=open, limit=10.</t>
        </is>
      </c>
      <c r="J66" s="16" t="inlineStr"/>
      <c r="K66" s="16" t="inlineStr">
        <is>
          <t>Not Run</t>
        </is>
      </c>
      <c r="L66" s="16" t="inlineStr">
        <is>
          <t>Medium</t>
        </is>
      </c>
      <c r="M66" s="16" t="inlineStr"/>
      <c r="N66" s="16" t="inlineStr"/>
      <c r="O66" s="16" t="inlineStr"/>
    </row>
    <row r="67" ht="72" customHeight="1">
      <c r="A67" s="16" t="inlineStr">
        <is>
          <t>TC-RE-0015</t>
        </is>
      </c>
      <c r="B67" s="16" t="inlineStr">
        <is>
          <t>Request Editor</t>
        </is>
      </c>
      <c r="C67" s="16" t="inlineStr">
        <is>
          <t>Params</t>
        </is>
      </c>
      <c r="D67" s="16" t="inlineStr">
        <is>
          <t>Edge Case</t>
        </is>
      </c>
      <c r="E67" s="16" t="inlineStr">
        <is>
          <t>Duplicate param keys preserved</t>
        </is>
      </c>
      <c r="F67" s="16" t="inlineStr">
        <is>
          <t>—</t>
        </is>
      </c>
      <c r="G67" s="16" t="inlineStr">
        <is>
          <t>1. Add foo=1, foo=2.
2. Send.</t>
        </is>
      </c>
      <c r="H67" s="16" t="inlineStr">
        <is>
          <t>—</t>
        </is>
      </c>
      <c r="I67" s="16" t="inlineStr">
        <is>
          <t>Both transmitted ?foo=1&amp;foo=2.</t>
        </is>
      </c>
      <c r="J67" s="16" t="inlineStr"/>
      <c r="K67" s="16" t="inlineStr">
        <is>
          <t>Not Run</t>
        </is>
      </c>
      <c r="L67" s="16" t="inlineStr">
        <is>
          <t>Low</t>
        </is>
      </c>
      <c r="M67" s="16" t="inlineStr"/>
      <c r="N67" s="16" t="inlineStr"/>
      <c r="O67" s="16" t="inlineStr"/>
    </row>
    <row r="68" ht="72" customHeight="1">
      <c r="A68" s="16" t="inlineStr">
        <is>
          <t>TC-RE-0016</t>
        </is>
      </c>
      <c r="B68" s="16" t="inlineStr">
        <is>
          <t>Request Editor</t>
        </is>
      </c>
      <c r="C68" s="16" t="inlineStr">
        <is>
          <t>Params</t>
        </is>
      </c>
      <c r="D68" s="16" t="inlineStr">
        <is>
          <t>Edge Case</t>
        </is>
      </c>
      <c r="E68" s="16" t="inlineStr">
        <is>
          <t>Param value with special chars URL-encoded</t>
        </is>
      </c>
      <c r="F68" s="16" t="inlineStr">
        <is>
          <t>—</t>
        </is>
      </c>
      <c r="G68" s="16" t="inlineStr">
        <is>
          <t>1. Add q='hello world&amp;x=1'.
2. Send.</t>
        </is>
      </c>
      <c r="H68" s="16" t="inlineStr">
        <is>
          <t>—</t>
        </is>
      </c>
      <c r="I68" s="16" t="inlineStr">
        <is>
          <t>Value percent-encoded; server receives literal.</t>
        </is>
      </c>
      <c r="J68" s="16" t="inlineStr"/>
      <c r="K68" s="16" t="inlineStr">
        <is>
          <t>Not Run</t>
        </is>
      </c>
      <c r="L68" s="16" t="inlineStr">
        <is>
          <t>Low</t>
        </is>
      </c>
      <c r="M68" s="16" t="inlineStr"/>
      <c r="N68" s="16" t="inlineStr"/>
      <c r="O68" s="16" t="inlineStr"/>
    </row>
    <row r="69" ht="72" customHeight="1">
      <c r="A69" s="16" t="inlineStr">
        <is>
          <t>TC-RE-0017</t>
        </is>
      </c>
      <c r="B69" s="16" t="inlineStr">
        <is>
          <t>Request Editor</t>
        </is>
      </c>
      <c r="C69" s="16" t="inlineStr">
        <is>
          <t>Headers</t>
        </is>
      </c>
      <c r="D69" s="16" t="inlineStr">
        <is>
          <t>Functional</t>
        </is>
      </c>
      <c r="E69" s="16" t="inlineStr">
        <is>
          <t>Add custom header</t>
        </is>
      </c>
      <c r="F69" s="16" t="inlineStr">
        <is>
          <t>—</t>
        </is>
      </c>
      <c r="G69" s="16" t="inlineStr">
        <is>
          <t>1. X-Trace-Id=abc123.
2. Send.</t>
        </is>
      </c>
      <c r="H69" s="16" t="inlineStr">
        <is>
          <t>—</t>
        </is>
      </c>
      <c r="I69" s="16" t="inlineStr">
        <is>
          <t>Header sent; response echoes.</t>
        </is>
      </c>
      <c r="J69" s="16" t="inlineStr"/>
      <c r="K69" s="16" t="inlineStr">
        <is>
          <t>Not Run</t>
        </is>
      </c>
      <c r="L69" s="16" t="inlineStr">
        <is>
          <t>High</t>
        </is>
      </c>
      <c r="M69" s="16" t="inlineStr"/>
      <c r="N69" s="16" t="inlineStr"/>
      <c r="O69" s="16" t="inlineStr"/>
    </row>
    <row r="70" ht="72" customHeight="1">
      <c r="A70" s="16" t="inlineStr">
        <is>
          <t>TC-RE-0018</t>
        </is>
      </c>
      <c r="B70" s="16" t="inlineStr">
        <is>
          <t>Request Editor</t>
        </is>
      </c>
      <c r="C70" s="16" t="inlineStr">
        <is>
          <t>Headers</t>
        </is>
      </c>
      <c r="D70" s="16" t="inlineStr">
        <is>
          <t>Functional</t>
        </is>
      </c>
      <c r="E70" s="16" t="inlineStr">
        <is>
          <t>Header autocomplete suggests standard names</t>
        </is>
      </c>
      <c r="F70" s="16" t="inlineStr">
        <is>
          <t>—</t>
        </is>
      </c>
      <c r="G70" s="16" t="inlineStr">
        <is>
          <t>1. Type 'auth' in key.</t>
        </is>
      </c>
      <c r="H70" s="16" t="inlineStr">
        <is>
          <t>—</t>
        </is>
      </c>
      <c r="I70" s="16" t="inlineStr">
        <is>
          <t>Dropdown: Authorization, Authentication-Info, etc.</t>
        </is>
      </c>
      <c r="J70" s="16" t="inlineStr"/>
      <c r="K70" s="16" t="inlineStr">
        <is>
          <t>Not Run</t>
        </is>
      </c>
      <c r="L70" s="16" t="inlineStr">
        <is>
          <t>Low</t>
        </is>
      </c>
      <c r="M70" s="16" t="inlineStr"/>
      <c r="N70" s="16" t="inlineStr"/>
      <c r="O70" s="16" t="inlineStr"/>
    </row>
    <row r="71" ht="72" customHeight="1">
      <c r="A71" s="16" t="inlineStr">
        <is>
          <t>TC-RE-0019</t>
        </is>
      </c>
      <c r="B71" s="16" t="inlineStr">
        <is>
          <t>Request Editor</t>
        </is>
      </c>
      <c r="C71" s="16" t="inlineStr">
        <is>
          <t>Headers</t>
        </is>
      </c>
      <c r="D71" s="16" t="inlineStr">
        <is>
          <t>Edge Case</t>
        </is>
      </c>
      <c r="E71" s="16" t="inlineStr">
        <is>
          <t>Variable interpolation in header value</t>
        </is>
      </c>
      <c r="F71" s="16" t="inlineStr">
        <is>
          <t>Env token=abc</t>
        </is>
      </c>
      <c r="G71" s="16" t="inlineStr">
        <is>
          <t>1. Authorization: 'Bearer {{token}}'.
2. Send.</t>
        </is>
      </c>
      <c r="H71" s="16" t="inlineStr">
        <is>
          <t>—</t>
        </is>
      </c>
      <c r="I71" s="16" t="inlineStr">
        <is>
          <t>Resolved 'Bearer abc' sent.</t>
        </is>
      </c>
      <c r="J71" s="16" t="inlineStr"/>
      <c r="K71" s="16" t="inlineStr">
        <is>
          <t>Not Run</t>
        </is>
      </c>
      <c r="L71" s="16" t="inlineStr">
        <is>
          <t>Medium</t>
        </is>
      </c>
      <c r="M71" s="16" t="inlineStr"/>
      <c r="N71" s="16" t="inlineStr"/>
      <c r="O71" s="16" t="inlineStr"/>
    </row>
    <row r="72" ht="72" customHeight="1">
      <c r="A72" s="16" t="inlineStr">
        <is>
          <t>TC-RE-0020</t>
        </is>
      </c>
      <c r="B72" s="16" t="inlineStr">
        <is>
          <t>Request Editor</t>
        </is>
      </c>
      <c r="C72" s="16" t="inlineStr">
        <is>
          <t>Send</t>
        </is>
      </c>
      <c r="D72" s="16" t="inlineStr">
        <is>
          <t>Functional</t>
        </is>
      </c>
      <c r="E72" s="16" t="inlineStr">
        <is>
          <t>Send via Ctrl+Enter from anywhere</t>
        </is>
      </c>
      <c r="F72" s="16" t="inlineStr">
        <is>
          <t>Valid URL.</t>
        </is>
      </c>
      <c r="G72" s="16" t="inlineStr">
        <is>
          <t>1. Anywhere → Ctrl/Cmd+Enter.</t>
        </is>
      </c>
      <c r="H72" s="16" t="inlineStr">
        <is>
          <t>—</t>
        </is>
      </c>
      <c r="I72" s="16" t="inlineStr">
        <is>
          <t>Request sent regardless of focus.</t>
        </is>
      </c>
      <c r="J72" s="16" t="inlineStr"/>
      <c r="K72" s="16" t="inlineStr">
        <is>
          <t>Not Run</t>
        </is>
      </c>
      <c r="L72" s="16" t="inlineStr">
        <is>
          <t>High</t>
        </is>
      </c>
      <c r="M72" s="16" t="inlineStr"/>
      <c r="N72" s="16" t="inlineStr"/>
      <c r="O72" s="16" t="inlineStr"/>
    </row>
    <row r="73" ht="72" customHeight="1">
      <c r="A73" s="16" t="inlineStr">
        <is>
          <t>TC-RE-0021</t>
        </is>
      </c>
      <c r="B73" s="16" t="inlineStr">
        <is>
          <t>Request Editor</t>
        </is>
      </c>
      <c r="C73" s="16" t="inlineStr">
        <is>
          <t>Send</t>
        </is>
      </c>
      <c r="D73" s="16" t="inlineStr">
        <is>
          <t>Functional</t>
        </is>
      </c>
      <c r="E73" s="16" t="inlineStr">
        <is>
          <t>Cancel in-flight</t>
        </is>
      </c>
      <c r="F73" s="16" t="inlineStr">
        <is>
          <t>Slow endpoint.</t>
        </is>
      </c>
      <c r="G73" s="16" t="inlineStr">
        <is>
          <t>1. Send.
2. Cancel mid-flight.</t>
        </is>
      </c>
      <c r="H73" s="16" t="inlineStr">
        <is>
          <t>—</t>
        </is>
      </c>
      <c r="I73" s="16" t="inlineStr">
        <is>
          <t>Aborts; response panel shows Cancelled; no partial body in history.</t>
        </is>
      </c>
      <c r="J73" s="16" t="inlineStr"/>
      <c r="K73" s="16" t="inlineStr">
        <is>
          <t>Not Run</t>
        </is>
      </c>
      <c r="L73" s="16" t="inlineStr">
        <is>
          <t>Medium</t>
        </is>
      </c>
      <c r="M73" s="16" t="inlineStr"/>
      <c r="N73" s="16" t="inlineStr"/>
      <c r="O73" s="16" t="inlineStr"/>
    </row>
    <row r="74" ht="72" customHeight="1">
      <c r="A74" s="16" t="inlineStr">
        <is>
          <t>TC-RE-0022</t>
        </is>
      </c>
      <c r="B74" s="16" t="inlineStr">
        <is>
          <t>Request Editor</t>
        </is>
      </c>
      <c r="C74" s="16" t="inlineStr">
        <is>
          <t>Tabs</t>
        </is>
      </c>
      <c r="D74" s="16" t="inlineStr">
        <is>
          <t>UX/UI</t>
        </is>
      </c>
      <c r="E74" s="16" t="inlineStr">
        <is>
          <t>Editor remembers active sub-tab per request</t>
        </is>
      </c>
      <c r="F74" s="16" t="inlineStr">
        <is>
          <t>—</t>
        </is>
      </c>
      <c r="G74" s="16" t="inlineStr">
        <is>
          <t>1. A on Body. Open B (any). Open A.</t>
        </is>
      </c>
      <c r="H74" s="16" t="inlineStr">
        <is>
          <t>—</t>
        </is>
      </c>
      <c r="I74" s="16" t="inlineStr">
        <is>
          <t>A reopens on Body.</t>
        </is>
      </c>
      <c r="J74" s="16" t="inlineStr"/>
      <c r="K74" s="16" t="inlineStr">
        <is>
          <t>Not Run</t>
        </is>
      </c>
      <c r="L74" s="16" t="inlineStr">
        <is>
          <t>Low</t>
        </is>
      </c>
      <c r="M74" s="16" t="inlineStr"/>
      <c r="N74" s="16" t="inlineStr"/>
      <c r="O74" s="16" t="inlineStr"/>
    </row>
    <row r="75" ht="72" customHeight="1">
      <c r="A75" s="16" t="inlineStr">
        <is>
          <t>TC-RE-0023</t>
        </is>
      </c>
      <c r="B75" s="16" t="inlineStr">
        <is>
          <t>Request Editor</t>
        </is>
      </c>
      <c r="C75" s="16" t="inlineStr">
        <is>
          <t>Path Params</t>
        </is>
      </c>
      <c r="D75" s="16" t="inlineStr">
        <is>
          <t>Functional</t>
        </is>
      </c>
      <c r="E75" s="16" t="inlineStr">
        <is>
          <t>URL with :id offers Path Params editor</t>
        </is>
      </c>
      <c r="F75" s="16" t="inlineStr">
        <is>
          <t>—</t>
        </is>
      </c>
      <c r="G75" s="16" t="inlineStr">
        <is>
          <t>1. URL 'https://api/users/:id'.</t>
        </is>
      </c>
      <c r="H75" s="16" t="inlineStr">
        <is>
          <t>—</t>
        </is>
      </c>
      <c r="I75" s="16" t="inlineStr">
        <is>
          <t>Path Params section appears; setting id=42 yields '…/users/42' on send.</t>
        </is>
      </c>
      <c r="J75" s="16" t="inlineStr"/>
      <c r="K75" s="16" t="inlineStr">
        <is>
          <t>Not Run</t>
        </is>
      </c>
      <c r="L75" s="16" t="inlineStr">
        <is>
          <t>Medium</t>
        </is>
      </c>
      <c r="M75" s="16" t="inlineStr"/>
      <c r="N75" s="16" t="inlineStr"/>
      <c r="O75" s="16" t="inlineStr"/>
    </row>
    <row r="76" ht="72" customHeight="1">
      <c r="A76" s="16" t="inlineStr">
        <is>
          <t>TC-RE-0024</t>
        </is>
      </c>
      <c r="B76" s="16" t="inlineStr">
        <is>
          <t>Request Editor</t>
        </is>
      </c>
      <c r="C76" s="16" t="inlineStr">
        <is>
          <t>Path Params</t>
        </is>
      </c>
      <c r="D76" s="16" t="inlineStr">
        <is>
          <t>Functional</t>
        </is>
      </c>
      <c r="E76" s="16" t="inlineStr">
        <is>
          <t>URL with {id} style placeholder</t>
        </is>
      </c>
      <c r="F76" s="16" t="inlineStr">
        <is>
          <t>—</t>
        </is>
      </c>
      <c r="G76" s="16" t="inlineStr">
        <is>
          <t>1. URL 'https://api/users/{id}'.</t>
        </is>
      </c>
      <c r="H76" s="16" t="inlineStr">
        <is>
          <t>—</t>
        </is>
      </c>
      <c r="I76" s="16" t="inlineStr">
        <is>
          <t>Same Path Params behavior.</t>
        </is>
      </c>
      <c r="J76" s="16" t="inlineStr"/>
      <c r="K76" s="16" t="inlineStr">
        <is>
          <t>Not Run</t>
        </is>
      </c>
      <c r="L76" s="16" t="inlineStr">
        <is>
          <t>Low</t>
        </is>
      </c>
      <c r="M76" s="16" t="inlineStr"/>
      <c r="N76" s="16" t="inlineStr"/>
      <c r="O76" s="16" t="inlineStr"/>
    </row>
    <row r="77" ht="72" customHeight="1">
      <c r="A77" s="16" t="inlineStr">
        <is>
          <t>TC-RE-0025</t>
        </is>
      </c>
      <c r="B77" s="16" t="inlineStr">
        <is>
          <t>Request Editor</t>
        </is>
      </c>
      <c r="C77" s="16" t="inlineStr">
        <is>
          <t>Browser Zoom</t>
        </is>
      </c>
      <c r="D77" s="16" t="inlineStr">
        <is>
          <t>Compatibility</t>
        </is>
      </c>
      <c r="E77" s="16" t="inlineStr">
        <is>
          <t>Ctrl++ zoom keeps layout</t>
        </is>
      </c>
      <c r="F77" s="16" t="inlineStr">
        <is>
          <t>—</t>
        </is>
      </c>
      <c r="G77" s="16" t="inlineStr">
        <is>
          <t>1. Ctrl/Cmd++ ×3.</t>
        </is>
      </c>
      <c r="H77" s="16" t="inlineStr">
        <is>
          <t>—</t>
        </is>
      </c>
      <c r="I77" s="16" t="inlineStr">
        <is>
          <t>Layout reflows; nothing clipped.</t>
        </is>
      </c>
      <c r="J77" s="16" t="inlineStr"/>
      <c r="K77" s="16" t="inlineStr">
        <is>
          <t>Not Run</t>
        </is>
      </c>
      <c r="L77" s="16" t="inlineStr">
        <is>
          <t>Medium</t>
        </is>
      </c>
      <c r="M77" s="16" t="inlineStr"/>
      <c r="N77" s="16" t="inlineStr"/>
      <c r="O77" s="16" t="inlineStr"/>
    </row>
    <row r="78" ht="72" customHeight="1">
      <c r="A78" s="16" t="inlineStr">
        <is>
          <t>TC-RE-0026</t>
        </is>
      </c>
      <c r="B78" s="16" t="inlineStr">
        <is>
          <t>Request Editor</t>
        </is>
      </c>
      <c r="C78" s="16" t="inlineStr">
        <is>
          <t>Tab Title</t>
        </is>
      </c>
      <c r="D78" s="16" t="inlineStr">
        <is>
          <t>UX/UI</t>
        </is>
      </c>
      <c r="E78" s="16" t="inlineStr">
        <is>
          <t>Browser tab title reflects workspace</t>
        </is>
      </c>
      <c r="F78" s="16" t="inlineStr">
        <is>
          <t>Smoke active.</t>
        </is>
      </c>
      <c r="G78" s="16" t="inlineStr">
        <is>
          <t>1. Switch to Production.</t>
        </is>
      </c>
      <c r="H78" s="16" t="inlineStr">
        <is>
          <t>—</t>
        </is>
      </c>
      <c r="I78" s="16" t="inlineStr">
        <is>
          <t>Tab title updates 'Production · APICircle'.</t>
        </is>
      </c>
      <c r="J78" s="16" t="inlineStr"/>
      <c r="K78" s="16" t="inlineStr">
        <is>
          <t>Not Run</t>
        </is>
      </c>
      <c r="L78" s="16" t="inlineStr">
        <is>
          <t>Low</t>
        </is>
      </c>
      <c r="M78" s="16" t="inlineStr"/>
      <c r="N78" s="16" t="inlineStr"/>
      <c r="O78" s="16" t="inlineStr"/>
    </row>
    <row r="79" ht="72" customHeight="1">
      <c r="A79" s="16" t="inlineStr">
        <is>
          <t>TC-BE-0001</t>
        </is>
      </c>
      <c r="B79" s="16" t="inlineStr">
        <is>
          <t>Body Editor</t>
        </is>
      </c>
      <c r="C79" s="16" t="inlineStr">
        <is>
          <t>Type</t>
        </is>
      </c>
      <c r="D79" s="16" t="inlineStr">
        <is>
          <t>Functional</t>
        </is>
      </c>
      <c r="E79" s="16" t="inlineStr">
        <is>
          <t>GET default body is none</t>
        </is>
      </c>
      <c r="F79" s="16" t="inlineStr">
        <is>
          <t>New GET.</t>
        </is>
      </c>
      <c r="G79" s="16" t="inlineStr">
        <is>
          <t>1. Open Body.</t>
        </is>
      </c>
      <c r="H79" s="16" t="inlineStr">
        <is>
          <t>-</t>
        </is>
      </c>
      <c r="I79" s="16" t="inlineStr">
        <is>
          <t>Picker defaults 'none'.</t>
        </is>
      </c>
      <c r="J79" s="16" t="inlineStr"/>
      <c r="K79" s="16" t="inlineStr">
        <is>
          <t>Not Run</t>
        </is>
      </c>
      <c r="L79" s="16" t="inlineStr">
        <is>
          <t>Medium</t>
        </is>
      </c>
      <c r="M79" s="16" t="inlineStr"/>
      <c r="N79" s="16" t="inlineStr"/>
      <c r="O79" s="16" t="inlineStr"/>
    </row>
    <row r="80" ht="72" customHeight="1">
      <c r="A80" s="16" t="inlineStr">
        <is>
          <t>TC-BE-0002</t>
        </is>
      </c>
      <c r="B80" s="16" t="inlineStr">
        <is>
          <t>Body Editor</t>
        </is>
      </c>
      <c r="C80" s="16" t="inlineStr">
        <is>
          <t>Form Data</t>
        </is>
      </c>
      <c r="D80" s="16" t="inlineStr">
        <is>
          <t>Functional</t>
        </is>
      </c>
      <c r="E80" s="16" t="inlineStr">
        <is>
          <t>Submit text field</t>
        </is>
      </c>
      <c r="F80" s="16" t="inlineStr">
        <is>
          <t>POST httpbin/post; form-data.</t>
        </is>
      </c>
      <c r="G80" s="16" t="inlineStr">
        <is>
          <t>1. username=alice. Send.</t>
        </is>
      </c>
      <c r="H80" s="16" t="inlineStr">
        <is>
          <t>-</t>
        </is>
      </c>
      <c r="I80" s="16" t="inlineStr">
        <is>
          <t>Multipart sent; response.form.username=alice.</t>
        </is>
      </c>
      <c r="J80" s="16" t="inlineStr"/>
      <c r="K80" s="16" t="inlineStr">
        <is>
          <t>Not Run</t>
        </is>
      </c>
      <c r="L80" s="16" t="inlineStr">
        <is>
          <t>High</t>
        </is>
      </c>
      <c r="M80" s="16" t="inlineStr"/>
      <c r="N80" s="16" t="inlineStr"/>
      <c r="O80" s="16" t="inlineStr"/>
    </row>
    <row r="81" ht="72" customHeight="1">
      <c r="A81" s="16" t="inlineStr">
        <is>
          <t>TC-BE-0003</t>
        </is>
      </c>
      <c r="B81" s="16" t="inlineStr">
        <is>
          <t>Body Editor</t>
        </is>
      </c>
      <c r="C81" s="16" t="inlineStr">
        <is>
          <t>Form Data</t>
        </is>
      </c>
      <c r="D81" s="16" t="inlineStr">
        <is>
          <t>Functional</t>
        </is>
      </c>
      <c r="E81" s="16" t="inlineStr">
        <is>
          <t>Upload file row</t>
        </is>
      </c>
      <c r="F81" s="16" t="inlineStr">
        <is>
          <t>form-data.</t>
        </is>
      </c>
      <c r="G81" s="16" t="inlineStr">
        <is>
          <t>1. Type=File; pick 1KB file. Send.</t>
        </is>
      </c>
      <c r="H81" s="16" t="inlineStr">
        <is>
          <t>-</t>
        </is>
      </c>
      <c r="I81" s="16" t="inlineStr">
        <is>
          <t>files entry present; attachment persisted.</t>
        </is>
      </c>
      <c r="J81" s="16" t="inlineStr"/>
      <c r="K81" s="16" t="inlineStr">
        <is>
          <t>Not Run</t>
        </is>
      </c>
      <c r="L81" s="16" t="inlineStr">
        <is>
          <t>High</t>
        </is>
      </c>
      <c r="M81" s="16" t="inlineStr"/>
      <c r="N81" s="16" t="inlineStr"/>
      <c r="O81" s="16" t="inlineStr"/>
    </row>
    <row r="82" ht="72" customHeight="1">
      <c r="A82" s="16" t="inlineStr">
        <is>
          <t>TC-BE-0004</t>
        </is>
      </c>
      <c r="B82" s="16" t="inlineStr">
        <is>
          <t>Body Editor</t>
        </is>
      </c>
      <c r="C82" s="16" t="inlineStr">
        <is>
          <t>Form Data</t>
        </is>
      </c>
      <c r="D82" s="16" t="inlineStr">
        <is>
          <t>Edge Case</t>
        </is>
      </c>
      <c r="E82" s="16" t="inlineStr">
        <is>
          <t>Upload 50MB file</t>
        </is>
      </c>
      <c r="F82" s="16" t="inlineStr">
        <is>
          <t>-</t>
        </is>
      </c>
      <c r="G82" s="16" t="inlineStr">
        <is>
          <t>1. Pick 50MB. Send.</t>
        </is>
      </c>
      <c r="H82" s="16" t="inlineStr">
        <is>
          <t>-</t>
        </is>
      </c>
      <c r="I82" s="16" t="inlineStr">
        <is>
          <t>Either uploads or shows size-limit error; UI does not freeze.</t>
        </is>
      </c>
      <c r="J82" s="16" t="inlineStr"/>
      <c r="K82" s="16" t="inlineStr">
        <is>
          <t>Not Run</t>
        </is>
      </c>
      <c r="L82" s="16" t="inlineStr">
        <is>
          <t>Medium</t>
        </is>
      </c>
      <c r="M82" s="16" t="inlineStr"/>
      <c r="N82" s="16" t="inlineStr"/>
      <c r="O82" s="16" t="inlineStr"/>
    </row>
    <row r="83" ht="72" customHeight="1">
      <c r="A83" s="16" t="inlineStr">
        <is>
          <t>TC-BE-0005</t>
        </is>
      </c>
      <c r="B83" s="16" t="inlineStr">
        <is>
          <t>Body Editor</t>
        </is>
      </c>
      <c r="C83" s="16" t="inlineStr">
        <is>
          <t>Form Data</t>
        </is>
      </c>
      <c r="D83" s="16" t="inlineStr">
        <is>
          <t>Edge Case</t>
        </is>
      </c>
      <c r="E83" s="16" t="inlineStr">
        <is>
          <t>Multiple files in same row</t>
        </is>
      </c>
      <c r="F83" s="16" t="inlineStr">
        <is>
          <t>-</t>
        </is>
      </c>
      <c r="G83" s="16" t="inlineStr">
        <is>
          <t>1. Pick 3 files in one row.</t>
        </is>
      </c>
      <c r="H83" s="16" t="inlineStr">
        <is>
          <t>-</t>
        </is>
      </c>
      <c r="I83" s="16" t="inlineStr">
        <is>
          <t>All 3 sent if multi supported; else clear single-file behavior.</t>
        </is>
      </c>
      <c r="J83" s="16" t="inlineStr"/>
      <c r="K83" s="16" t="inlineStr">
        <is>
          <t>Not Run</t>
        </is>
      </c>
      <c r="L83" s="16" t="inlineStr">
        <is>
          <t>Low</t>
        </is>
      </c>
      <c r="M83" s="16" t="inlineStr"/>
      <c r="N83" s="16" t="inlineStr"/>
      <c r="O83" s="16" t="inlineStr"/>
    </row>
    <row r="84" ht="72" customHeight="1">
      <c r="A84" s="16" t="inlineStr">
        <is>
          <t>TC-BE-0006</t>
        </is>
      </c>
      <c r="B84" s="16" t="inlineStr">
        <is>
          <t>Body Editor</t>
        </is>
      </c>
      <c r="C84" s="16" t="inlineStr">
        <is>
          <t>Form Data</t>
        </is>
      </c>
      <c r="D84" s="16" t="inlineStr">
        <is>
          <t>Edge Case</t>
        </is>
      </c>
      <c r="E84" s="16" t="inlineStr">
        <is>
          <t>Empty value row</t>
        </is>
      </c>
      <c r="F84" s="16" t="inlineStr">
        <is>
          <t>-</t>
        </is>
      </c>
      <c r="G84" s="16" t="inlineStr">
        <is>
          <t>1. Add foo='' enabled. Send.</t>
        </is>
      </c>
      <c r="H84" s="16" t="inlineStr">
        <is>
          <t>-</t>
        </is>
      </c>
      <c r="I84" s="16" t="inlineStr">
        <is>
          <t>Documented behavior: sent as empty or skipped; consistent.</t>
        </is>
      </c>
      <c r="J84" s="16" t="inlineStr"/>
      <c r="K84" s="16" t="inlineStr">
        <is>
          <t>Not Run</t>
        </is>
      </c>
      <c r="L84" s="16" t="inlineStr">
        <is>
          <t>Low</t>
        </is>
      </c>
      <c r="M84" s="16" t="inlineStr"/>
      <c r="N84" s="16" t="inlineStr"/>
      <c r="O84" s="16" t="inlineStr"/>
    </row>
    <row r="85" ht="72" customHeight="1">
      <c r="A85" s="16" t="inlineStr">
        <is>
          <t>TC-BE-0007</t>
        </is>
      </c>
      <c r="B85" s="16" t="inlineStr">
        <is>
          <t>Body Editor</t>
        </is>
      </c>
      <c r="C85" s="16" t="inlineStr">
        <is>
          <t>Form Data</t>
        </is>
      </c>
      <c r="D85" s="16" t="inlineStr">
        <is>
          <t>Edge Case</t>
        </is>
      </c>
      <c r="E85" s="16" t="inlineStr">
        <is>
          <t>Unicode field name</t>
        </is>
      </c>
      <c r="F85" s="16" t="inlineStr">
        <is>
          <t>-</t>
        </is>
      </c>
      <c r="G85" s="16" t="inlineStr">
        <is>
          <t>1. Field '测试'='a'. Send.</t>
        </is>
      </c>
      <c r="H85" s="16" t="inlineStr">
        <is>
          <t>-</t>
        </is>
      </c>
      <c r="I85" s="16" t="inlineStr">
        <is>
          <t>Encoded per RFC; server echo confirms.</t>
        </is>
      </c>
      <c r="J85" s="16" t="inlineStr"/>
      <c r="K85" s="16" t="inlineStr">
        <is>
          <t>Not Run</t>
        </is>
      </c>
      <c r="L85" s="16" t="inlineStr">
        <is>
          <t>Low</t>
        </is>
      </c>
      <c r="M85" s="16" t="inlineStr"/>
      <c r="N85" s="16" t="inlineStr"/>
      <c r="O85" s="16" t="inlineStr"/>
    </row>
    <row r="86" ht="72" customHeight="1">
      <c r="A86" s="16" t="inlineStr">
        <is>
          <t>TC-BE-0008</t>
        </is>
      </c>
      <c r="B86" s="16" t="inlineStr">
        <is>
          <t>Body Editor</t>
        </is>
      </c>
      <c r="C86" s="16" t="inlineStr">
        <is>
          <t>URL-encoded</t>
        </is>
      </c>
      <c r="D86" s="16" t="inlineStr">
        <is>
          <t>Functional</t>
        </is>
      </c>
      <c r="E86" s="16" t="inlineStr">
        <is>
          <t>Submit urlencoded</t>
        </is>
      </c>
      <c r="F86" s="16" t="inlineStr">
        <is>
          <t>POST.</t>
        </is>
      </c>
      <c r="G86" s="16" t="inlineStr">
        <is>
          <t>1. a=1, b=hello. Send.</t>
        </is>
      </c>
      <c r="H86" s="16" t="inlineStr">
        <is>
          <t>-</t>
        </is>
      </c>
      <c r="I86" s="16" t="inlineStr">
        <is>
          <t>Body 'a=1&amp;b=hello'; Content-Type set.</t>
        </is>
      </c>
      <c r="J86" s="16" t="inlineStr"/>
      <c r="K86" s="16" t="inlineStr">
        <is>
          <t>Not Run</t>
        </is>
      </c>
      <c r="L86" s="16" t="inlineStr">
        <is>
          <t>High</t>
        </is>
      </c>
      <c r="M86" s="16" t="inlineStr"/>
      <c r="N86" s="16" t="inlineStr"/>
      <c r="O86" s="16" t="inlineStr"/>
    </row>
    <row r="87" ht="72" customHeight="1">
      <c r="A87" s="16" t="inlineStr">
        <is>
          <t>TC-BE-0009</t>
        </is>
      </c>
      <c r="B87" s="16" t="inlineStr">
        <is>
          <t>Body Editor</t>
        </is>
      </c>
      <c r="C87" s="16" t="inlineStr">
        <is>
          <t>URL-encoded</t>
        </is>
      </c>
      <c r="D87" s="16" t="inlineStr">
        <is>
          <t>Edge Case</t>
        </is>
      </c>
      <c r="E87" s="16" t="inlineStr">
        <is>
          <t>Reserved chars encoded</t>
        </is>
      </c>
      <c r="F87" s="16" t="inlineStr">
        <is>
          <t>-</t>
        </is>
      </c>
      <c r="G87" s="16" t="inlineStr">
        <is>
          <t>1. q='a&amp;b=c'. Send.</t>
        </is>
      </c>
      <c r="H87" s="16" t="inlineStr">
        <is>
          <t>-</t>
        </is>
      </c>
      <c r="I87" s="16" t="inlineStr">
        <is>
          <t>Value encoded 'a%26b%3Dc'.</t>
        </is>
      </c>
      <c r="J87" s="16" t="inlineStr"/>
      <c r="K87" s="16" t="inlineStr">
        <is>
          <t>Not Run</t>
        </is>
      </c>
      <c r="L87" s="16" t="inlineStr">
        <is>
          <t>Low</t>
        </is>
      </c>
      <c r="M87" s="16" t="inlineStr"/>
      <c r="N87" s="16" t="inlineStr"/>
      <c r="O87" s="16" t="inlineStr"/>
    </row>
    <row r="88" ht="72" customHeight="1">
      <c r="A88" s="16" t="inlineStr">
        <is>
          <t>TC-BE-0010</t>
        </is>
      </c>
      <c r="B88" s="16" t="inlineStr">
        <is>
          <t>Body Editor</t>
        </is>
      </c>
      <c r="C88" s="16" t="inlineStr">
        <is>
          <t>Raw JSON</t>
        </is>
      </c>
      <c r="D88" s="16" t="inlineStr">
        <is>
          <t>Functional</t>
        </is>
      </c>
      <c r="E88" s="16" t="inlineStr">
        <is>
          <t>Submit JSON body</t>
        </is>
      </c>
      <c r="F88" s="16" t="inlineStr">
        <is>
          <t>POST raw JSON.</t>
        </is>
      </c>
      <c r="G88" s="16" t="inlineStr">
        <is>
          <t>1. Type valid JSON. Send.</t>
        </is>
      </c>
      <c r="H88" s="16" t="inlineStr">
        <is>
          <t>-</t>
        </is>
      </c>
      <c r="I88" s="16" t="inlineStr">
        <is>
          <t>Content-Type application/json; httpbin parses.</t>
        </is>
      </c>
      <c r="J88" s="16" t="inlineStr"/>
      <c r="K88" s="16" t="inlineStr">
        <is>
          <t>Not Run</t>
        </is>
      </c>
      <c r="L88" s="16" t="inlineStr">
        <is>
          <t>High</t>
        </is>
      </c>
      <c r="M88" s="16" t="inlineStr"/>
      <c r="N88" s="16" t="inlineStr"/>
      <c r="O88" s="16" t="inlineStr"/>
    </row>
    <row r="89" ht="72" customHeight="1">
      <c r="A89" s="16" t="inlineStr">
        <is>
          <t>TC-BE-0011</t>
        </is>
      </c>
      <c r="B89" s="16" t="inlineStr">
        <is>
          <t>Body Editor</t>
        </is>
      </c>
      <c r="C89" s="16" t="inlineStr">
        <is>
          <t>Raw JSON</t>
        </is>
      </c>
      <c r="D89" s="16" t="inlineStr">
        <is>
          <t>Negative</t>
        </is>
      </c>
      <c r="E89" s="16" t="inlineStr">
        <is>
          <t>Invalid JSON shows squiggle</t>
        </is>
      </c>
      <c r="F89" s="16" t="inlineStr">
        <is>
          <t>-</t>
        </is>
      </c>
      <c r="G89" s="16" t="inlineStr">
        <is>
          <t>1. Type invalid JSON.</t>
        </is>
      </c>
      <c r="H89" s="16" t="inlineStr">
        <is>
          <t>-</t>
        </is>
      </c>
      <c r="I89" s="16" t="inlineStr">
        <is>
          <t>Monaco squiggle; Send still works.</t>
        </is>
      </c>
      <c r="J89" s="16" t="inlineStr"/>
      <c r="K89" s="16" t="inlineStr">
        <is>
          <t>Not Run</t>
        </is>
      </c>
      <c r="L89" s="16" t="inlineStr">
        <is>
          <t>Medium</t>
        </is>
      </c>
      <c r="M89" s="16" t="inlineStr"/>
      <c r="N89" s="16" t="inlineStr"/>
      <c r="O89" s="16" t="inlineStr"/>
    </row>
    <row r="90" ht="72" customHeight="1">
      <c r="A90" s="16" t="inlineStr">
        <is>
          <t>TC-BE-0012</t>
        </is>
      </c>
      <c r="B90" s="16" t="inlineStr">
        <is>
          <t>Body Editor</t>
        </is>
      </c>
      <c r="C90" s="16" t="inlineStr">
        <is>
          <t>Raw JSON</t>
        </is>
      </c>
      <c r="D90" s="16" t="inlineStr">
        <is>
          <t>Edge Case</t>
        </is>
      </c>
      <c r="E90" s="16" t="inlineStr">
        <is>
          <t>JSON schema validates body</t>
        </is>
      </c>
      <c r="F90" s="16" t="inlineStr">
        <is>
          <t>bodySchemaId set.</t>
        </is>
      </c>
      <c r="G90" s="16" t="inlineStr">
        <is>
          <t>1. Type violating JSON.</t>
        </is>
      </c>
      <c r="H90" s="16" t="inlineStr">
        <is>
          <t>-</t>
        </is>
      </c>
      <c r="I90" s="16" t="inlineStr">
        <is>
          <t>Field marked; user not blocked.</t>
        </is>
      </c>
      <c r="J90" s="16" t="inlineStr"/>
      <c r="K90" s="16" t="inlineStr">
        <is>
          <t>Not Run</t>
        </is>
      </c>
      <c r="L90" s="16" t="inlineStr">
        <is>
          <t>Low</t>
        </is>
      </c>
      <c r="M90" s="16" t="inlineStr"/>
      <c r="N90" s="16" t="inlineStr"/>
      <c r="O90" s="16" t="inlineStr"/>
    </row>
    <row r="91" ht="72" customHeight="1">
      <c r="A91" s="16" t="inlineStr">
        <is>
          <t>TC-BE-0013</t>
        </is>
      </c>
      <c r="B91" s="16" t="inlineStr">
        <is>
          <t>Body Editor</t>
        </is>
      </c>
      <c r="C91" s="16" t="inlineStr">
        <is>
          <t>Raw XML</t>
        </is>
      </c>
      <c r="D91" s="16" t="inlineStr">
        <is>
          <t>Functional</t>
        </is>
      </c>
      <c r="E91" s="16" t="inlineStr">
        <is>
          <t>Submit XML</t>
        </is>
      </c>
      <c r="F91" s="16" t="inlineStr">
        <is>
          <t>POST raw XML.</t>
        </is>
      </c>
      <c r="G91" s="16" t="inlineStr">
        <is>
          <t>1. Valid XML. Send.</t>
        </is>
      </c>
      <c r="H91" s="16" t="inlineStr">
        <is>
          <t>-</t>
        </is>
      </c>
      <c r="I91" s="16" t="inlineStr">
        <is>
          <t>Content-Type application/xml.</t>
        </is>
      </c>
      <c r="J91" s="16" t="inlineStr"/>
      <c r="K91" s="16" t="inlineStr">
        <is>
          <t>Not Run</t>
        </is>
      </c>
      <c r="L91" s="16" t="inlineStr">
        <is>
          <t>Medium</t>
        </is>
      </c>
      <c r="M91" s="16" t="inlineStr"/>
      <c r="N91" s="16" t="inlineStr"/>
      <c r="O91" s="16" t="inlineStr"/>
    </row>
    <row r="92" ht="72" customHeight="1">
      <c r="A92" s="16" t="inlineStr">
        <is>
          <t>TC-BE-0014</t>
        </is>
      </c>
      <c r="B92" s="16" t="inlineStr">
        <is>
          <t>Body Editor</t>
        </is>
      </c>
      <c r="C92" s="16" t="inlineStr">
        <is>
          <t>Raw HTML</t>
        </is>
      </c>
      <c r="D92" s="16" t="inlineStr">
        <is>
          <t>Functional</t>
        </is>
      </c>
      <c r="E92" s="16" t="inlineStr">
        <is>
          <t>Submit HTML</t>
        </is>
      </c>
      <c r="F92" s="16" t="inlineStr">
        <is>
          <t>POST raw HTML.</t>
        </is>
      </c>
      <c r="G92" s="16" t="inlineStr">
        <is>
          <t>1. Valid HTML. Send.</t>
        </is>
      </c>
      <c r="H92" s="16" t="inlineStr">
        <is>
          <t>-</t>
        </is>
      </c>
      <c r="I92" s="16" t="inlineStr">
        <is>
          <t>Content-Type text/html.</t>
        </is>
      </c>
      <c r="J92" s="16" t="inlineStr"/>
      <c r="K92" s="16" t="inlineStr">
        <is>
          <t>Not Run</t>
        </is>
      </c>
      <c r="L92" s="16" t="inlineStr">
        <is>
          <t>Low</t>
        </is>
      </c>
      <c r="M92" s="16" t="inlineStr"/>
      <c r="N92" s="16" t="inlineStr"/>
      <c r="O92" s="16" t="inlineStr"/>
    </row>
    <row r="93" ht="72" customHeight="1">
      <c r="A93" s="16" t="inlineStr">
        <is>
          <t>TC-BE-0015</t>
        </is>
      </c>
      <c r="B93" s="16" t="inlineStr">
        <is>
          <t>Body Editor</t>
        </is>
      </c>
      <c r="C93" s="16" t="inlineStr">
        <is>
          <t>Raw Text</t>
        </is>
      </c>
      <c r="D93" s="16" t="inlineStr">
        <is>
          <t>Functional</t>
        </is>
      </c>
      <c r="E93" s="16" t="inlineStr">
        <is>
          <t>Submit plain text</t>
        </is>
      </c>
      <c r="F93" s="16" t="inlineStr">
        <is>
          <t>POST raw text.</t>
        </is>
      </c>
      <c r="G93" s="16" t="inlineStr">
        <is>
          <t>1. Hello. Send.</t>
        </is>
      </c>
      <c r="H93" s="16" t="inlineStr">
        <is>
          <t>-</t>
        </is>
      </c>
      <c r="I93" s="16" t="inlineStr">
        <is>
          <t>Content-Type text/plain.</t>
        </is>
      </c>
      <c r="J93" s="16" t="inlineStr"/>
      <c r="K93" s="16" t="inlineStr">
        <is>
          <t>Not Run</t>
        </is>
      </c>
      <c r="L93" s="16" t="inlineStr">
        <is>
          <t>Low</t>
        </is>
      </c>
      <c r="M93" s="16" t="inlineStr"/>
      <c r="N93" s="16" t="inlineStr"/>
      <c r="O93" s="16" t="inlineStr"/>
    </row>
    <row r="94" ht="72" customHeight="1">
      <c r="A94" s="16" t="inlineStr">
        <is>
          <t>TC-BE-0016</t>
        </is>
      </c>
      <c r="B94" s="16" t="inlineStr">
        <is>
          <t>Body Editor</t>
        </is>
      </c>
      <c r="C94" s="16" t="inlineStr">
        <is>
          <t>Binary</t>
        </is>
      </c>
      <c r="D94" s="16" t="inlineStr">
        <is>
          <t>Functional</t>
        </is>
      </c>
      <c r="E94" s="16" t="inlineStr">
        <is>
          <t>Upload binary</t>
        </is>
      </c>
      <c r="F94" s="16" t="inlineStr">
        <is>
          <t>POST binary.</t>
        </is>
      </c>
      <c r="G94" s="16" t="inlineStr">
        <is>
          <t>1. Pick 10KB PNG. Send.</t>
        </is>
      </c>
      <c r="H94" s="16" t="inlineStr">
        <is>
          <t>-</t>
        </is>
      </c>
      <c r="I94" s="16" t="inlineStr">
        <is>
          <t>Bytes sent; Content-Type inferred.</t>
        </is>
      </c>
      <c r="J94" s="16" t="inlineStr"/>
      <c r="K94" s="16" t="inlineStr">
        <is>
          <t>Not Run</t>
        </is>
      </c>
      <c r="L94" s="16" t="inlineStr">
        <is>
          <t>Medium</t>
        </is>
      </c>
      <c r="M94" s="16" t="inlineStr"/>
      <c r="N94" s="16" t="inlineStr"/>
      <c r="O94" s="16" t="inlineStr"/>
    </row>
    <row r="95" ht="72" customHeight="1">
      <c r="A95" s="16" t="inlineStr">
        <is>
          <t>TC-BE-0017</t>
        </is>
      </c>
      <c r="B95" s="16" t="inlineStr">
        <is>
          <t>Body Editor</t>
        </is>
      </c>
      <c r="C95" s="16" t="inlineStr">
        <is>
          <t>GraphQL</t>
        </is>
      </c>
      <c r="D95" s="16" t="inlineStr">
        <is>
          <t>Functional</t>
        </is>
      </c>
      <c r="E95" s="16" t="inlineStr">
        <is>
          <t>Send GraphQL query</t>
        </is>
      </c>
      <c r="F95" s="16" t="inlineStr">
        <is>
          <t>POST GraphQL.</t>
        </is>
      </c>
      <c r="G95" s="16" t="inlineStr">
        <is>
          <t>1. Query. Send.</t>
        </is>
      </c>
      <c r="H95" s="16" t="inlineStr">
        <is>
          <t>-</t>
        </is>
      </c>
      <c r="I95" s="16" t="inlineStr">
        <is>
          <t>Body wraps as query; response returned.</t>
        </is>
      </c>
      <c r="J95" s="16" t="inlineStr"/>
      <c r="K95" s="16" t="inlineStr">
        <is>
          <t>Not Run</t>
        </is>
      </c>
      <c r="L95" s="16" t="inlineStr">
        <is>
          <t>High</t>
        </is>
      </c>
      <c r="M95" s="16" t="inlineStr"/>
      <c r="N95" s="16" t="inlineStr"/>
      <c r="O95" s="16" t="inlineStr"/>
    </row>
    <row r="96" ht="72" customHeight="1">
      <c r="A96" s="16" t="inlineStr">
        <is>
          <t>TC-BE-0018</t>
        </is>
      </c>
      <c r="B96" s="16" t="inlineStr">
        <is>
          <t>Body Editor</t>
        </is>
      </c>
      <c r="C96" s="16" t="inlineStr">
        <is>
          <t>GraphQL</t>
        </is>
      </c>
      <c r="D96" s="16" t="inlineStr">
        <is>
          <t>Functional</t>
        </is>
      </c>
      <c r="E96" s="16" t="inlineStr">
        <is>
          <t>Variables sent</t>
        </is>
      </c>
      <c r="F96" s="16" t="inlineStr">
        <is>
          <t>Query uses var.</t>
        </is>
      </c>
      <c r="G96" s="16" t="inlineStr">
        <is>
          <t>1. Variables JSON. Send.</t>
        </is>
      </c>
      <c r="H96" s="16" t="inlineStr">
        <is>
          <t>-</t>
        </is>
      </c>
      <c r="I96" s="16" t="inlineStr">
        <is>
          <t>Body has query+variables; data returned.</t>
        </is>
      </c>
      <c r="J96" s="16" t="inlineStr"/>
      <c r="K96" s="16" t="inlineStr">
        <is>
          <t>Not Run</t>
        </is>
      </c>
      <c r="L96" s="16" t="inlineStr">
        <is>
          <t>Medium</t>
        </is>
      </c>
      <c r="M96" s="16" t="inlineStr"/>
      <c r="N96" s="16" t="inlineStr"/>
      <c r="O96" s="16" t="inlineStr"/>
    </row>
    <row r="97" ht="72" customHeight="1">
      <c r="A97" s="16" t="inlineStr">
        <is>
          <t>TC-BE-0019</t>
        </is>
      </c>
      <c r="B97" s="16" t="inlineStr">
        <is>
          <t>Body Editor</t>
        </is>
      </c>
      <c r="C97" s="16" t="inlineStr">
        <is>
          <t>GraphQL</t>
        </is>
      </c>
      <c r="D97" s="16" t="inlineStr">
        <is>
          <t>Edge Case</t>
        </is>
      </c>
      <c r="E97" s="16" t="inlineStr">
        <is>
          <t>Mutation operation</t>
        </is>
      </c>
      <c r="F97" s="16" t="inlineStr">
        <is>
          <t>-</t>
        </is>
      </c>
      <c r="G97" s="16" t="inlineStr">
        <is>
          <t>1. mutation block. Send.</t>
        </is>
      </c>
      <c r="H97" s="16" t="inlineStr">
        <is>
          <t>-</t>
        </is>
      </c>
      <c r="I97" s="16" t="inlineStr">
        <is>
          <t>Mutation executed; response correct.</t>
        </is>
      </c>
      <c r="J97" s="16" t="inlineStr"/>
      <c r="K97" s="16" t="inlineStr">
        <is>
          <t>Not Run</t>
        </is>
      </c>
      <c r="L97" s="16" t="inlineStr">
        <is>
          <t>Low</t>
        </is>
      </c>
      <c r="M97" s="16" t="inlineStr"/>
      <c r="N97" s="16" t="inlineStr"/>
      <c r="O97" s="16" t="inlineStr"/>
    </row>
    <row r="98" ht="72" customHeight="1">
      <c r="A98" s="16" t="inlineStr">
        <is>
          <t>TC-BE-0020</t>
        </is>
      </c>
      <c r="B98" s="16" t="inlineStr">
        <is>
          <t>Body Editor</t>
        </is>
      </c>
      <c r="C98" s="16" t="inlineStr">
        <is>
          <t>GraphQL</t>
        </is>
      </c>
      <c r="D98" s="16" t="inlineStr">
        <is>
          <t>Edge Case</t>
        </is>
      </c>
      <c r="E98" s="16" t="inlineStr">
        <is>
          <t>Fragments and directives</t>
        </is>
      </c>
      <c r="F98" s="16" t="inlineStr">
        <is>
          <t>-</t>
        </is>
      </c>
      <c r="G98" s="16" t="inlineStr">
        <is>
          <t>1. Query with fragment and @skip.</t>
        </is>
      </c>
      <c r="H98" s="16" t="inlineStr">
        <is>
          <t>-</t>
        </is>
      </c>
      <c r="I98" s="16" t="inlineStr">
        <is>
          <t>Fragments expanded; directives honored.</t>
        </is>
      </c>
      <c r="J98" s="16" t="inlineStr"/>
      <c r="K98" s="16" t="inlineStr">
        <is>
          <t>Not Run</t>
        </is>
      </c>
      <c r="L98" s="16" t="inlineStr">
        <is>
          <t>Low</t>
        </is>
      </c>
      <c r="M98" s="16" t="inlineStr"/>
      <c r="N98" s="16" t="inlineStr"/>
      <c r="O98" s="16" t="inlineStr"/>
    </row>
    <row r="99" ht="72" customHeight="1">
      <c r="A99" s="16" t="inlineStr">
        <is>
          <t>TC-BE-0021</t>
        </is>
      </c>
      <c r="B99" s="16" t="inlineStr">
        <is>
          <t>Body Editor</t>
        </is>
      </c>
      <c r="C99" s="16" t="inlineStr">
        <is>
          <t>Type Switch</t>
        </is>
      </c>
      <c r="D99" s="16" t="inlineStr">
        <is>
          <t>Edge Case</t>
        </is>
      </c>
      <c r="E99" s="16" t="inlineStr">
        <is>
          <t>Switching clears content</t>
        </is>
      </c>
      <c r="F99" s="16" t="inlineStr">
        <is>
          <t>Raw JSON has data.</t>
        </is>
      </c>
      <c r="G99" s="16" t="inlineStr">
        <is>
          <t>1. To none.
2. Back to JSON.</t>
        </is>
      </c>
      <c r="H99" s="16" t="inlineStr">
        <is>
          <t>-</t>
        </is>
      </c>
      <c r="I99" s="16" t="inlineStr">
        <is>
          <t>Cleared; new empty editor.</t>
        </is>
      </c>
      <c r="J99" s="16" t="inlineStr"/>
      <c r="K99" s="16" t="inlineStr">
        <is>
          <t>Not Run</t>
        </is>
      </c>
      <c r="L99" s="16" t="inlineStr">
        <is>
          <t>Low</t>
        </is>
      </c>
      <c r="M99" s="16" t="inlineStr"/>
      <c r="N99" s="16" t="inlineStr"/>
      <c r="O99" s="16" t="inlineStr"/>
    </row>
    <row r="100" ht="72" customHeight="1">
      <c r="A100" s="16" t="inlineStr">
        <is>
          <t>TC-BE-0022</t>
        </is>
      </c>
      <c r="B100" s="16" t="inlineStr">
        <is>
          <t>Body Editor</t>
        </is>
      </c>
      <c r="C100" s="16" t="inlineStr">
        <is>
          <t>File Upload</t>
        </is>
      </c>
      <c r="D100" s="16" t="inlineStr">
        <is>
          <t>Compatibility</t>
        </is>
      </c>
      <c r="E100" s="16" t="inlineStr">
        <is>
          <t>Browser file picker</t>
        </is>
      </c>
      <c r="F100" s="16" t="inlineStr">
        <is>
          <t>-</t>
        </is>
      </c>
      <c r="G100" s="16" t="inlineStr">
        <is>
          <t>1. Choose File.</t>
        </is>
      </c>
      <c r="H100" s="16" t="inlineStr">
        <is>
          <t>-</t>
        </is>
      </c>
      <c r="I100" s="16" t="inlineStr">
        <is>
          <t>Browser picker opens.</t>
        </is>
      </c>
      <c r="J100" s="16" t="inlineStr"/>
      <c r="K100" s="16" t="inlineStr">
        <is>
          <t>Not Run</t>
        </is>
      </c>
      <c r="L100" s="16" t="inlineStr">
        <is>
          <t>Medium</t>
        </is>
      </c>
      <c r="M100" s="16" t="inlineStr"/>
      <c r="N100" s="16" t="inlineStr"/>
      <c r="O100" s="16" t="inlineStr"/>
    </row>
    <row r="101" ht="72" customHeight="1">
      <c r="A101" s="16" t="inlineStr">
        <is>
          <t>TC-BE-0023</t>
        </is>
      </c>
      <c r="B101" s="16" t="inlineStr">
        <is>
          <t>Body Editor</t>
        </is>
      </c>
      <c r="C101" s="16" t="inlineStr">
        <is>
          <t>File Upload</t>
        </is>
      </c>
      <c r="D101" s="16" t="inlineStr">
        <is>
          <t>Edge Case</t>
        </is>
      </c>
      <c r="E101" s="16" t="inlineStr">
        <is>
          <t>Drag-drop from OS</t>
        </is>
      </c>
      <c r="F101" s="16" t="inlineStr">
        <is>
          <t>-</t>
        </is>
      </c>
      <c r="G101" s="16" t="inlineStr">
        <is>
          <t>1. Drag file onto row.</t>
        </is>
      </c>
      <c r="H101" s="16" t="inlineStr">
        <is>
          <t>-</t>
        </is>
      </c>
      <c r="I101" s="16" t="inlineStr">
        <is>
          <t>Captured via drop event.</t>
        </is>
      </c>
      <c r="J101" s="16" t="inlineStr"/>
      <c r="K101" s="16" t="inlineStr">
        <is>
          <t>Not Run</t>
        </is>
      </c>
      <c r="L101" s="16" t="inlineStr">
        <is>
          <t>Medium</t>
        </is>
      </c>
      <c r="M101" s="16" t="inlineStr"/>
      <c r="N101" s="16" t="inlineStr"/>
      <c r="O101" s="16" t="inlineStr"/>
    </row>
    <row r="102" ht="72" customHeight="1">
      <c r="A102" s="16" t="inlineStr">
        <is>
          <t>TC-AU-0001</t>
        </is>
      </c>
      <c r="B102" s="16" t="inlineStr">
        <is>
          <t>Authentication</t>
        </is>
      </c>
      <c r="C102" s="16" t="inlineStr">
        <is>
          <t>Picker</t>
        </is>
      </c>
      <c r="D102" s="16" t="inlineStr">
        <is>
          <t>Functional</t>
        </is>
      </c>
      <c r="E102" s="16" t="inlineStr">
        <is>
          <t>All auth types listed</t>
        </is>
      </c>
      <c r="F102" s="16" t="inlineStr">
        <is>
          <t>Auth tab.</t>
        </is>
      </c>
      <c r="G102" s="16" t="inlineStr">
        <is>
          <t>1. Open dropdown.</t>
        </is>
      </c>
      <c r="H102" s="16" t="inlineStr">
        <is>
          <t>-</t>
        </is>
      </c>
      <c r="I102" s="16" t="inlineStr">
        <is>
          <t>None, Inherit, Basic, Bearer, API Key, OAuth1, OAuth2 grants, Digest, NTLM, Hawk, AWS SigV4, JWT Bearer, ASAP, EdgeGrid present.</t>
        </is>
      </c>
      <c r="J102" s="16" t="inlineStr"/>
      <c r="K102" s="16" t="inlineStr">
        <is>
          <t>Not Run</t>
        </is>
      </c>
      <c r="L102" s="16" t="inlineStr">
        <is>
          <t>Medium</t>
        </is>
      </c>
      <c r="M102" s="16" t="inlineStr"/>
      <c r="N102" s="16" t="inlineStr"/>
      <c r="O102" s="16" t="inlineStr"/>
    </row>
    <row r="103" ht="72" customHeight="1">
      <c r="A103" s="16" t="inlineStr">
        <is>
          <t>TC-AU-0002</t>
        </is>
      </c>
      <c r="B103" s="16" t="inlineStr">
        <is>
          <t>Authentication</t>
        </is>
      </c>
      <c r="C103" s="16" t="inlineStr">
        <is>
          <t>None</t>
        </is>
      </c>
      <c r="D103" s="16" t="inlineStr">
        <is>
          <t>Functional</t>
        </is>
      </c>
      <c r="E103" s="16" t="inlineStr">
        <is>
          <t>Auth none sends no Authorization</t>
        </is>
      </c>
      <c r="F103" s="16" t="inlineStr">
        <is>
          <t>-</t>
        </is>
      </c>
      <c r="G103" s="16" t="inlineStr">
        <is>
          <t>1. Auth=None. Send to httpbin/headers.</t>
        </is>
      </c>
      <c r="H103" s="16" t="inlineStr">
        <is>
          <t>-</t>
        </is>
      </c>
      <c r="I103" s="16" t="inlineStr">
        <is>
          <t>No Authorization in echo.</t>
        </is>
      </c>
      <c r="J103" s="16" t="inlineStr"/>
      <c r="K103" s="16" t="inlineStr">
        <is>
          <t>Not Run</t>
        </is>
      </c>
      <c r="L103" s="16" t="inlineStr">
        <is>
          <t>Medium</t>
        </is>
      </c>
      <c r="M103" s="16" t="inlineStr"/>
      <c r="N103" s="16" t="inlineStr"/>
      <c r="O103" s="16" t="inlineStr"/>
    </row>
    <row r="104" ht="72" customHeight="1">
      <c r="A104" s="16" t="inlineStr">
        <is>
          <t>TC-AU-0003</t>
        </is>
      </c>
      <c r="B104" s="16" t="inlineStr">
        <is>
          <t>Authentication</t>
        </is>
      </c>
      <c r="C104" s="16" t="inlineStr">
        <is>
          <t>Bearer</t>
        </is>
      </c>
      <c r="D104" s="16" t="inlineStr">
        <is>
          <t>Functional</t>
        </is>
      </c>
      <c r="E104" s="16" t="inlineStr">
        <is>
          <t>Bearer header sent</t>
        </is>
      </c>
      <c r="F104" s="16" t="inlineStr">
        <is>
          <t>httpbin/bearer.</t>
        </is>
      </c>
      <c r="G104" s="16" t="inlineStr">
        <is>
          <t>1. Token. Send.</t>
        </is>
      </c>
      <c r="H104" s="16" t="inlineStr">
        <is>
          <t>-</t>
        </is>
      </c>
      <c r="I104" s="16" t="inlineStr">
        <is>
          <t>Authorization: Bearer &lt;t&gt;; 200.</t>
        </is>
      </c>
      <c r="J104" s="16" t="inlineStr"/>
      <c r="K104" s="16" t="inlineStr">
        <is>
          <t>Not Run</t>
        </is>
      </c>
      <c r="L104" s="16" t="inlineStr">
        <is>
          <t>High</t>
        </is>
      </c>
      <c r="M104" s="16" t="inlineStr"/>
      <c r="N104" s="16" t="inlineStr"/>
      <c r="O104" s="16" t="inlineStr"/>
    </row>
    <row r="105" ht="72" customHeight="1">
      <c r="A105" s="16" t="inlineStr">
        <is>
          <t>TC-AU-0004</t>
        </is>
      </c>
      <c r="B105" s="16" t="inlineStr">
        <is>
          <t>Authentication</t>
        </is>
      </c>
      <c r="C105" s="16" t="inlineStr">
        <is>
          <t>Bearer</t>
        </is>
      </c>
      <c r="D105" s="16" t="inlineStr">
        <is>
          <t>Security</t>
        </is>
      </c>
      <c r="E105" s="16" t="inlineStr">
        <is>
          <t>Token masked in UI</t>
        </is>
      </c>
      <c r="F105" s="16" t="inlineStr">
        <is>
          <t>-</t>
        </is>
      </c>
      <c r="G105" s="16" t="inlineStr">
        <is>
          <t>1. Enter token.</t>
        </is>
      </c>
      <c r="H105" s="16" t="inlineStr">
        <is>
          <t>-</t>
        </is>
      </c>
      <c r="I105" s="16" t="inlineStr">
        <is>
          <t>Masked; reveal toggle.</t>
        </is>
      </c>
      <c r="J105" s="16" t="inlineStr"/>
      <c r="K105" s="16" t="inlineStr">
        <is>
          <t>Not Run</t>
        </is>
      </c>
      <c r="L105" s="16" t="inlineStr">
        <is>
          <t>Medium</t>
        </is>
      </c>
      <c r="M105" s="16" t="inlineStr"/>
      <c r="N105" s="16" t="inlineStr"/>
      <c r="O105" s="16" t="inlineStr"/>
    </row>
    <row r="106" ht="72" customHeight="1">
      <c r="A106" s="16" t="inlineStr">
        <is>
          <t>TC-AU-0005</t>
        </is>
      </c>
      <c r="B106" s="16" t="inlineStr">
        <is>
          <t>Authentication</t>
        </is>
      </c>
      <c r="C106" s="16" t="inlineStr">
        <is>
          <t>Bearer</t>
        </is>
      </c>
      <c r="D106" s="16" t="inlineStr">
        <is>
          <t>Edge Case</t>
        </is>
      </c>
      <c r="E106" s="16" t="inlineStr">
        <is>
          <t>Empty token does not send empty header</t>
        </is>
      </c>
      <c r="F106" s="16" t="inlineStr">
        <is>
          <t>-</t>
        </is>
      </c>
      <c r="G106" s="16" t="inlineStr">
        <is>
          <t>1. Token blank. Send.</t>
        </is>
      </c>
      <c r="H106" s="16" t="inlineStr">
        <is>
          <t>-</t>
        </is>
      </c>
      <c r="I106" s="16" t="inlineStr">
        <is>
          <t>No header or warning; not 'Bearer ' with trailing space.</t>
        </is>
      </c>
      <c r="J106" s="16" t="inlineStr"/>
      <c r="K106" s="16" t="inlineStr">
        <is>
          <t>Not Run</t>
        </is>
      </c>
      <c r="L106" s="16" t="inlineStr">
        <is>
          <t>Low</t>
        </is>
      </c>
      <c r="M106" s="16" t="inlineStr"/>
      <c r="N106" s="16" t="inlineStr"/>
      <c r="O106" s="16" t="inlineStr"/>
    </row>
    <row r="107" ht="72" customHeight="1">
      <c r="A107" s="16" t="inlineStr">
        <is>
          <t>TC-AU-0006</t>
        </is>
      </c>
      <c r="B107" s="16" t="inlineStr">
        <is>
          <t>Authentication</t>
        </is>
      </c>
      <c r="C107" s="16" t="inlineStr">
        <is>
          <t>Basic</t>
        </is>
      </c>
      <c r="D107" s="16" t="inlineStr">
        <is>
          <t>Functional</t>
        </is>
      </c>
      <c r="E107" s="16" t="inlineStr">
        <is>
          <t>Base64 credentials</t>
        </is>
      </c>
      <c r="F107" s="16" t="inlineStr">
        <is>
          <t>httpbin/basic-auth.</t>
        </is>
      </c>
      <c r="G107" s="16" t="inlineStr">
        <is>
          <t>1. user/pass. Send.</t>
        </is>
      </c>
      <c r="H107" s="16" t="inlineStr">
        <is>
          <t>-</t>
        </is>
      </c>
      <c r="I107" s="16" t="inlineStr">
        <is>
          <t>Authorization Basic dXNlcjpwYXNz; 200.</t>
        </is>
      </c>
      <c r="J107" s="16" t="inlineStr"/>
      <c r="K107" s="16" t="inlineStr">
        <is>
          <t>Not Run</t>
        </is>
      </c>
      <c r="L107" s="16" t="inlineStr">
        <is>
          <t>High</t>
        </is>
      </c>
      <c r="M107" s="16" t="inlineStr"/>
      <c r="N107" s="16" t="inlineStr"/>
      <c r="O107" s="16" t="inlineStr"/>
    </row>
    <row r="108" ht="72" customHeight="1">
      <c r="A108" s="16" t="inlineStr">
        <is>
          <t>TC-AU-0007</t>
        </is>
      </c>
      <c r="B108" s="16" t="inlineStr">
        <is>
          <t>Authentication</t>
        </is>
      </c>
      <c r="C108" s="16" t="inlineStr">
        <is>
          <t>Basic</t>
        </is>
      </c>
      <c r="D108" s="16" t="inlineStr">
        <is>
          <t>Edge Case</t>
        </is>
      </c>
      <c r="E108" s="16" t="inlineStr">
        <is>
          <t>Special chars in password</t>
        </is>
      </c>
      <c r="F108" s="16" t="inlineStr">
        <is>
          <t>-</t>
        </is>
      </c>
      <c r="G108" s="16" t="inlineStr">
        <is>
          <t>1. password='p@ss:w/ord'. Send.</t>
        </is>
      </c>
      <c r="H108" s="16" t="inlineStr">
        <is>
          <t>-</t>
        </is>
      </c>
      <c r="I108" s="16" t="inlineStr">
        <is>
          <t>Encoded; server verifies.</t>
        </is>
      </c>
      <c r="J108" s="16" t="inlineStr"/>
      <c r="K108" s="16" t="inlineStr">
        <is>
          <t>Not Run</t>
        </is>
      </c>
      <c r="L108" s="16" t="inlineStr">
        <is>
          <t>Low</t>
        </is>
      </c>
      <c r="M108" s="16" t="inlineStr"/>
      <c r="N108" s="16" t="inlineStr"/>
      <c r="O108" s="16" t="inlineStr"/>
    </row>
    <row r="109" ht="72" customHeight="1">
      <c r="A109" s="16" t="inlineStr">
        <is>
          <t>TC-AU-0008</t>
        </is>
      </c>
      <c r="B109" s="16" t="inlineStr">
        <is>
          <t>Authentication</t>
        </is>
      </c>
      <c r="C109" s="16" t="inlineStr">
        <is>
          <t>API Key</t>
        </is>
      </c>
      <c r="D109" s="16" t="inlineStr">
        <is>
          <t>Functional</t>
        </is>
      </c>
      <c r="E109" s="16" t="inlineStr">
        <is>
          <t>Header placement</t>
        </is>
      </c>
      <c r="F109" s="16" t="inlineStr">
        <is>
          <t>-</t>
        </is>
      </c>
      <c r="G109" s="16" t="inlineStr">
        <is>
          <t>1. X-Api-Key=secret. Send.</t>
        </is>
      </c>
      <c r="H109" s="16" t="inlineStr">
        <is>
          <t>-</t>
        </is>
      </c>
      <c r="I109" s="16" t="inlineStr">
        <is>
          <t>Header included.</t>
        </is>
      </c>
      <c r="J109" s="16" t="inlineStr"/>
      <c r="K109" s="16" t="inlineStr">
        <is>
          <t>Not Run</t>
        </is>
      </c>
      <c r="L109" s="16" t="inlineStr">
        <is>
          <t>High</t>
        </is>
      </c>
      <c r="M109" s="16" t="inlineStr"/>
      <c r="N109" s="16" t="inlineStr"/>
      <c r="O109" s="16" t="inlineStr"/>
    </row>
    <row r="110" ht="72" customHeight="1">
      <c r="A110" s="16" t="inlineStr">
        <is>
          <t>TC-AU-0009</t>
        </is>
      </c>
      <c r="B110" s="16" t="inlineStr">
        <is>
          <t>Authentication</t>
        </is>
      </c>
      <c r="C110" s="16" t="inlineStr">
        <is>
          <t>API Key</t>
        </is>
      </c>
      <c r="D110" s="16" t="inlineStr">
        <is>
          <t>Functional</t>
        </is>
      </c>
      <c r="E110" s="16" t="inlineStr">
        <is>
          <t>Query placement</t>
        </is>
      </c>
      <c r="F110" s="16" t="inlineStr">
        <is>
          <t>-</t>
        </is>
      </c>
      <c r="G110" s="16" t="inlineStr">
        <is>
          <t>1. api_key=abc. Send.</t>
        </is>
      </c>
      <c r="H110" s="16" t="inlineStr">
        <is>
          <t>-</t>
        </is>
      </c>
      <c r="I110" s="16" t="inlineStr">
        <is>
          <t>URL has param; Params tab does not show.</t>
        </is>
      </c>
      <c r="J110" s="16" t="inlineStr"/>
      <c r="K110" s="16" t="inlineStr">
        <is>
          <t>Not Run</t>
        </is>
      </c>
      <c r="L110" s="16" t="inlineStr">
        <is>
          <t>Medium</t>
        </is>
      </c>
      <c r="M110" s="16" t="inlineStr"/>
      <c r="N110" s="16" t="inlineStr"/>
      <c r="O110" s="16" t="inlineStr"/>
    </row>
    <row r="111" ht="72" customHeight="1">
      <c r="A111" s="16" t="inlineStr">
        <is>
          <t>TC-AU-0010</t>
        </is>
      </c>
      <c r="B111" s="16" t="inlineStr">
        <is>
          <t>Authentication</t>
        </is>
      </c>
      <c r="C111" s="16" t="inlineStr">
        <is>
          <t>API Key</t>
        </is>
      </c>
      <c r="D111" s="16" t="inlineStr">
        <is>
          <t>Functional</t>
        </is>
      </c>
      <c r="E111" s="16" t="inlineStr">
        <is>
          <t>Cookie placement</t>
        </is>
      </c>
      <c r="F111" s="16" t="inlineStr">
        <is>
          <t>-</t>
        </is>
      </c>
      <c r="G111" s="16" t="inlineStr">
        <is>
          <t>1. Cookie set. Send.</t>
        </is>
      </c>
      <c r="H111" s="16" t="inlineStr">
        <is>
          <t>-</t>
        </is>
      </c>
      <c r="I111" s="16" t="inlineStr">
        <is>
          <t>Cookie header includes key.</t>
        </is>
      </c>
      <c r="J111" s="16" t="inlineStr"/>
      <c r="K111" s="16" t="inlineStr">
        <is>
          <t>Not Run</t>
        </is>
      </c>
      <c r="L111" s="16" t="inlineStr">
        <is>
          <t>Low</t>
        </is>
      </c>
      <c r="M111" s="16" t="inlineStr"/>
      <c r="N111" s="16" t="inlineStr"/>
      <c r="O111" s="16" t="inlineStr"/>
    </row>
    <row r="112" ht="72" customHeight="1">
      <c r="A112" s="16" t="inlineStr">
        <is>
          <t>TC-AU-0011</t>
        </is>
      </c>
      <c r="B112" s="16" t="inlineStr">
        <is>
          <t>Authentication</t>
        </is>
      </c>
      <c r="C112" s="16" t="inlineStr">
        <is>
          <t>Digest</t>
        </is>
      </c>
      <c r="D112" s="16" t="inlineStr">
        <is>
          <t>Functional</t>
        </is>
      </c>
      <c r="E112" s="16" t="inlineStr">
        <is>
          <t>Challenge-response</t>
        </is>
      </c>
      <c r="F112" s="16" t="inlineStr">
        <is>
          <t>Digest endpoint.</t>
        </is>
      </c>
      <c r="G112" s="16" t="inlineStr">
        <is>
          <t>1. user/pass. Send.</t>
        </is>
      </c>
      <c r="H112" s="16" t="inlineStr">
        <is>
          <t>-</t>
        </is>
      </c>
      <c r="I112" s="16" t="inlineStr">
        <is>
          <t>401 -&gt; retry -&gt; 200.</t>
        </is>
      </c>
      <c r="J112" s="16" t="inlineStr"/>
      <c r="K112" s="16" t="inlineStr">
        <is>
          <t>Not Run</t>
        </is>
      </c>
      <c r="L112" s="16" t="inlineStr">
        <is>
          <t>High</t>
        </is>
      </c>
      <c r="M112" s="16" t="inlineStr"/>
      <c r="N112" s="16" t="inlineStr"/>
      <c r="O112" s="16" t="inlineStr"/>
    </row>
    <row r="113" ht="72" customHeight="1">
      <c r="A113" s="16" t="inlineStr">
        <is>
          <t>TC-AU-0012</t>
        </is>
      </c>
      <c r="B113" s="16" t="inlineStr">
        <is>
          <t>Authentication</t>
        </is>
      </c>
      <c r="C113" s="16" t="inlineStr">
        <is>
          <t>Digest</t>
        </is>
      </c>
      <c r="D113" s="16" t="inlineStr">
        <is>
          <t>Edge Case</t>
        </is>
      </c>
      <c r="E113" s="16" t="inlineStr">
        <is>
          <t>stale=true nonce rotation</t>
        </is>
      </c>
      <c r="F113" s="16" t="inlineStr">
        <is>
          <t>-</t>
        </is>
      </c>
      <c r="G113" s="16" t="inlineStr">
        <is>
          <t>1. Send.</t>
        </is>
      </c>
      <c r="H113" s="16" t="inlineStr">
        <is>
          <t>-</t>
        </is>
      </c>
      <c r="I113" s="16" t="inlineStr">
        <is>
          <t>Retries with new nonce.</t>
        </is>
      </c>
      <c r="J113" s="16" t="inlineStr"/>
      <c r="K113" s="16" t="inlineStr">
        <is>
          <t>Not Run</t>
        </is>
      </c>
      <c r="L113" s="16" t="inlineStr">
        <is>
          <t>Low</t>
        </is>
      </c>
      <c r="M113" s="16" t="inlineStr"/>
      <c r="N113" s="16" t="inlineStr"/>
      <c r="O113" s="16" t="inlineStr"/>
    </row>
    <row r="114" ht="72" customHeight="1">
      <c r="A114" s="16" t="inlineStr">
        <is>
          <t>TC-AU-0013</t>
        </is>
      </c>
      <c r="B114" s="16" t="inlineStr">
        <is>
          <t>Authentication</t>
        </is>
      </c>
      <c r="C114" s="16" t="inlineStr">
        <is>
          <t>Digest</t>
        </is>
      </c>
      <c r="D114" s="16" t="inlineStr">
        <is>
          <t>Edge Case</t>
        </is>
      </c>
      <c r="E114" s="16" t="inlineStr">
        <is>
          <t>qop=auth-int</t>
        </is>
      </c>
      <c r="F114" s="16" t="inlineStr">
        <is>
          <t>-</t>
        </is>
      </c>
      <c r="G114" s="16" t="inlineStr">
        <is>
          <t>1. POST with body.</t>
        </is>
      </c>
      <c r="H114" s="16" t="inlineStr">
        <is>
          <t>-</t>
        </is>
      </c>
      <c r="I114" s="16" t="inlineStr">
        <is>
          <t>Hashes include entity-body integrity.</t>
        </is>
      </c>
      <c r="J114" s="16" t="inlineStr"/>
      <c r="K114" s="16" t="inlineStr">
        <is>
          <t>Not Run</t>
        </is>
      </c>
      <c r="L114" s="16" t="inlineStr">
        <is>
          <t>Low</t>
        </is>
      </c>
      <c r="M114" s="16" t="inlineStr"/>
      <c r="N114" s="16" t="inlineStr"/>
      <c r="O114" s="16" t="inlineStr"/>
    </row>
    <row r="115" ht="72" customHeight="1">
      <c r="A115" s="16" t="inlineStr">
        <is>
          <t>TC-AU-0014</t>
        </is>
      </c>
      <c r="B115" s="16" t="inlineStr">
        <is>
          <t>Authentication</t>
        </is>
      </c>
      <c r="C115" s="16" t="inlineStr">
        <is>
          <t>NTLM</t>
        </is>
      </c>
      <c r="D115" s="16" t="inlineStr">
        <is>
          <t>Functional</t>
        </is>
      </c>
      <c r="E115" s="16" t="inlineStr">
        <is>
          <t>3-way handshake</t>
        </is>
      </c>
      <c r="F115" s="16" t="inlineStr">
        <is>
          <t>NTLM endpoint.</t>
        </is>
      </c>
      <c r="G115" s="16" t="inlineStr">
        <is>
          <t>1. user/pass/domain. Send.</t>
        </is>
      </c>
      <c r="H115" s="16" t="inlineStr">
        <is>
          <t>-</t>
        </is>
      </c>
      <c r="I115" s="16" t="inlineStr">
        <is>
          <t>Negotiate -&gt; Challenge -&gt; Authenticate; MIC; 200.</t>
        </is>
      </c>
      <c r="J115" s="16" t="inlineStr"/>
      <c r="K115" s="16" t="inlineStr">
        <is>
          <t>Not Run</t>
        </is>
      </c>
      <c r="L115" s="16" t="inlineStr">
        <is>
          <t>High</t>
        </is>
      </c>
      <c r="M115" s="16" t="inlineStr"/>
      <c r="N115" s="16" t="inlineStr"/>
      <c r="O115" s="16" t="inlineStr"/>
    </row>
    <row r="116" ht="72" customHeight="1">
      <c r="A116" s="16" t="inlineStr">
        <is>
          <t>TC-AU-0015</t>
        </is>
      </c>
      <c r="B116" s="16" t="inlineStr">
        <is>
          <t>Authentication</t>
        </is>
      </c>
      <c r="C116" s="16" t="inlineStr">
        <is>
          <t>NTLM</t>
        </is>
      </c>
      <c r="D116" s="16" t="inlineStr">
        <is>
          <t>Edge Case</t>
        </is>
      </c>
      <c r="E116" s="16" t="inlineStr">
        <is>
          <t>Without workstation</t>
        </is>
      </c>
      <c r="F116" s="16" t="inlineStr">
        <is>
          <t>-</t>
        </is>
      </c>
      <c r="G116" s="16" t="inlineStr">
        <is>
          <t>1. user/pass/domain only.</t>
        </is>
      </c>
      <c r="H116" s="16" t="inlineStr">
        <is>
          <t>-</t>
        </is>
      </c>
      <c r="I116" s="16" t="inlineStr">
        <is>
          <t>Default workstation used.</t>
        </is>
      </c>
      <c r="J116" s="16" t="inlineStr"/>
      <c r="K116" s="16" t="inlineStr">
        <is>
          <t>Not Run</t>
        </is>
      </c>
      <c r="L116" s="16" t="inlineStr">
        <is>
          <t>Low</t>
        </is>
      </c>
      <c r="M116" s="16" t="inlineStr"/>
      <c r="N116" s="16" t="inlineStr"/>
      <c r="O116" s="16" t="inlineStr"/>
    </row>
    <row r="117" ht="72" customHeight="1">
      <c r="A117" s="16" t="inlineStr">
        <is>
          <t>TC-AU-0016</t>
        </is>
      </c>
      <c r="B117" s="16" t="inlineStr">
        <is>
          <t>Authentication</t>
        </is>
      </c>
      <c r="C117" s="16" t="inlineStr">
        <is>
          <t>Hawk</t>
        </is>
      </c>
      <c r="D117" s="16" t="inlineStr">
        <is>
          <t>Functional</t>
        </is>
      </c>
      <c r="E117" s="16" t="inlineStr">
        <is>
          <t>MAC accepted</t>
        </is>
      </c>
      <c r="F117" s="16" t="inlineStr">
        <is>
          <t>Hawk endpoint.</t>
        </is>
      </c>
      <c r="G117" s="16" t="inlineStr">
        <is>
          <t>1. Set creds. Send.</t>
        </is>
      </c>
      <c r="H117" s="16" t="inlineStr">
        <is>
          <t>-</t>
        </is>
      </c>
      <c r="I117" s="16" t="inlineStr">
        <is>
          <t>200.</t>
        </is>
      </c>
      <c r="J117" s="16" t="inlineStr"/>
      <c r="K117" s="16" t="inlineStr">
        <is>
          <t>Not Run</t>
        </is>
      </c>
      <c r="L117" s="16" t="inlineStr">
        <is>
          <t>Medium</t>
        </is>
      </c>
      <c r="M117" s="16" t="inlineStr"/>
      <c r="N117" s="16" t="inlineStr"/>
      <c r="O117" s="16" t="inlineStr"/>
    </row>
    <row r="118" ht="72" customHeight="1">
      <c r="A118" s="16" t="inlineStr">
        <is>
          <t>TC-AU-0017</t>
        </is>
      </c>
      <c r="B118" s="16" t="inlineStr">
        <is>
          <t>Authentication</t>
        </is>
      </c>
      <c r="C118" s="16" t="inlineStr">
        <is>
          <t>Hawk</t>
        </is>
      </c>
      <c r="D118" s="16" t="inlineStr">
        <is>
          <t>Edge Case</t>
        </is>
      </c>
      <c r="E118" s="16" t="inlineStr">
        <is>
          <t>Payload hash for POST</t>
        </is>
      </c>
      <c r="F118" s="16" t="inlineStr">
        <is>
          <t>-</t>
        </is>
      </c>
      <c r="G118" s="16" t="inlineStr">
        <is>
          <t>1. POST with body.</t>
        </is>
      </c>
      <c r="H118" s="16" t="inlineStr">
        <is>
          <t>-</t>
        </is>
      </c>
      <c r="I118" s="16" t="inlineStr">
        <is>
          <t>Authorization includes hash=.</t>
        </is>
      </c>
      <c r="J118" s="16" t="inlineStr"/>
      <c r="K118" s="16" t="inlineStr">
        <is>
          <t>Not Run</t>
        </is>
      </c>
      <c r="L118" s="16" t="inlineStr">
        <is>
          <t>Low</t>
        </is>
      </c>
      <c r="M118" s="16" t="inlineStr"/>
      <c r="N118" s="16" t="inlineStr"/>
      <c r="O118" s="16" t="inlineStr"/>
    </row>
    <row r="119" ht="72" customHeight="1">
      <c r="A119" s="16" t="inlineStr">
        <is>
          <t>TC-AU-0018</t>
        </is>
      </c>
      <c r="B119" s="16" t="inlineStr">
        <is>
          <t>Authentication</t>
        </is>
      </c>
      <c r="C119" s="16" t="inlineStr">
        <is>
          <t>AWS SigV4</t>
        </is>
      </c>
      <c r="D119" s="16" t="inlineStr">
        <is>
          <t>Functional</t>
        </is>
      </c>
      <c r="E119" s="16" t="inlineStr">
        <is>
          <t>Sign GET</t>
        </is>
      </c>
      <c r="F119" s="16" t="inlineStr">
        <is>
          <t>AWS endpoint.</t>
        </is>
      </c>
      <c r="G119" s="16" t="inlineStr">
        <is>
          <t>1. Creds + region + service. Send.</t>
        </is>
      </c>
      <c r="H119" s="16" t="inlineStr">
        <is>
          <t>-</t>
        </is>
      </c>
      <c r="I119" s="16" t="inlineStr">
        <is>
          <t>AWS4-HMAC-SHA256 header; x-amz-date.</t>
        </is>
      </c>
      <c r="J119" s="16" t="inlineStr"/>
      <c r="K119" s="16" t="inlineStr">
        <is>
          <t>Not Run</t>
        </is>
      </c>
      <c r="L119" s="16" t="inlineStr">
        <is>
          <t>High</t>
        </is>
      </c>
      <c r="M119" s="16" t="inlineStr"/>
      <c r="N119" s="16" t="inlineStr"/>
      <c r="O119" s="16" t="inlineStr"/>
    </row>
    <row r="120" ht="72" customHeight="1">
      <c r="A120" s="16" t="inlineStr">
        <is>
          <t>TC-AU-0019</t>
        </is>
      </c>
      <c r="B120" s="16" t="inlineStr">
        <is>
          <t>Authentication</t>
        </is>
      </c>
      <c r="C120" s="16" t="inlineStr">
        <is>
          <t>AWS SigV4</t>
        </is>
      </c>
      <c r="D120" s="16" t="inlineStr">
        <is>
          <t>Functional</t>
        </is>
      </c>
      <c r="E120" s="16" t="inlineStr">
        <is>
          <t>Sign POST with body</t>
        </is>
      </c>
      <c r="F120" s="16" t="inlineStr">
        <is>
          <t>-</t>
        </is>
      </c>
      <c r="G120" s="16" t="inlineStr">
        <is>
          <t>1. Send POST.</t>
        </is>
      </c>
      <c r="H120" s="16" t="inlineStr">
        <is>
          <t>-</t>
        </is>
      </c>
      <c r="I120" s="16" t="inlineStr">
        <is>
          <t>x-amz-content-sha256 = SHA256(body).</t>
        </is>
      </c>
      <c r="J120" s="16" t="inlineStr"/>
      <c r="K120" s="16" t="inlineStr">
        <is>
          <t>Not Run</t>
        </is>
      </c>
      <c r="L120" s="16" t="inlineStr">
        <is>
          <t>Medium</t>
        </is>
      </c>
      <c r="M120" s="16" t="inlineStr"/>
      <c r="N120" s="16" t="inlineStr"/>
      <c r="O120" s="16" t="inlineStr"/>
    </row>
    <row r="121" ht="72" customHeight="1">
      <c r="A121" s="16" t="inlineStr">
        <is>
          <t>TC-AU-0020</t>
        </is>
      </c>
      <c r="B121" s="16" t="inlineStr">
        <is>
          <t>Authentication</t>
        </is>
      </c>
      <c r="C121" s="16" t="inlineStr">
        <is>
          <t>AWS SigV4</t>
        </is>
      </c>
      <c r="D121" s="16" t="inlineStr">
        <is>
          <t>Edge Case</t>
        </is>
      </c>
      <c r="E121" s="16" t="inlineStr">
        <is>
          <t>Session token included</t>
        </is>
      </c>
      <c r="F121" s="16" t="inlineStr">
        <is>
          <t>-</t>
        </is>
      </c>
      <c r="G121" s="16" t="inlineStr">
        <is>
          <t>1. Add sessionToken. Send.</t>
        </is>
      </c>
      <c r="H121" s="16" t="inlineStr">
        <is>
          <t>-</t>
        </is>
      </c>
      <c r="I121" s="16" t="inlineStr">
        <is>
          <t>x-amz-security-token header present.</t>
        </is>
      </c>
      <c r="J121" s="16" t="inlineStr"/>
      <c r="K121" s="16" t="inlineStr">
        <is>
          <t>Not Run</t>
        </is>
      </c>
      <c r="L121" s="16" t="inlineStr">
        <is>
          <t>Low</t>
        </is>
      </c>
      <c r="M121" s="16" t="inlineStr"/>
      <c r="N121" s="16" t="inlineStr"/>
      <c r="O121" s="16" t="inlineStr"/>
    </row>
    <row r="122" ht="72" customHeight="1">
      <c r="A122" s="16" t="inlineStr">
        <is>
          <t>TC-AU-0021</t>
        </is>
      </c>
      <c r="B122" s="16" t="inlineStr">
        <is>
          <t>Authentication</t>
        </is>
      </c>
      <c r="C122" s="16" t="inlineStr">
        <is>
          <t>JWT</t>
        </is>
      </c>
      <c r="D122" s="16" t="inlineStr">
        <is>
          <t>Functional</t>
        </is>
      </c>
      <c r="E122" s="16" t="inlineStr">
        <is>
          <t>HS256</t>
        </is>
      </c>
      <c r="F122" s="16" t="inlineStr">
        <is>
          <t>-</t>
        </is>
      </c>
      <c r="G122" s="16" t="inlineStr">
        <is>
          <t>1. Configure HS256. Send.</t>
        </is>
      </c>
      <c r="H122" s="16" t="inlineStr">
        <is>
          <t>-</t>
        </is>
      </c>
      <c r="I122" s="16" t="inlineStr">
        <is>
          <t>Bearer &lt;jwt&gt;; verifies.</t>
        </is>
      </c>
      <c r="J122" s="16" t="inlineStr"/>
      <c r="K122" s="16" t="inlineStr">
        <is>
          <t>Not Run</t>
        </is>
      </c>
      <c r="L122" s="16" t="inlineStr">
        <is>
          <t>Medium</t>
        </is>
      </c>
      <c r="M122" s="16" t="inlineStr"/>
      <c r="N122" s="16" t="inlineStr"/>
      <c r="O122" s="16" t="inlineStr"/>
    </row>
    <row r="123" ht="72" customHeight="1">
      <c r="A123" s="16" t="inlineStr">
        <is>
          <t>TC-AU-0022</t>
        </is>
      </c>
      <c r="B123" s="16" t="inlineStr">
        <is>
          <t>Authentication</t>
        </is>
      </c>
      <c r="C123" s="16" t="inlineStr">
        <is>
          <t>JWT</t>
        </is>
      </c>
      <c r="D123" s="16" t="inlineStr">
        <is>
          <t>Functional</t>
        </is>
      </c>
      <c r="E123" s="16" t="inlineStr">
        <is>
          <t>RS256 with PEM</t>
        </is>
      </c>
      <c r="F123" s="16" t="inlineStr">
        <is>
          <t>-</t>
        </is>
      </c>
      <c r="G123" s="16" t="inlineStr">
        <is>
          <t>1. Send.</t>
        </is>
      </c>
      <c r="H123" s="16" t="inlineStr">
        <is>
          <t>-</t>
        </is>
      </c>
      <c r="I123" s="16" t="inlineStr">
        <is>
          <t>Verifies with public key.</t>
        </is>
      </c>
      <c r="J123" s="16" t="inlineStr"/>
      <c r="K123" s="16" t="inlineStr">
        <is>
          <t>Not Run</t>
        </is>
      </c>
      <c r="L123" s="16" t="inlineStr">
        <is>
          <t>Medium</t>
        </is>
      </c>
      <c r="M123" s="16" t="inlineStr"/>
      <c r="N123" s="16" t="inlineStr"/>
      <c r="O123" s="16" t="inlineStr"/>
    </row>
    <row r="124" ht="72" customHeight="1">
      <c r="A124" s="16" t="inlineStr">
        <is>
          <t>TC-AU-0023</t>
        </is>
      </c>
      <c r="B124" s="16" t="inlineStr">
        <is>
          <t>Authentication</t>
        </is>
      </c>
      <c r="C124" s="16" t="inlineStr">
        <is>
          <t>JWT</t>
        </is>
      </c>
      <c r="D124" s="16" t="inlineStr">
        <is>
          <t>Functional</t>
        </is>
      </c>
      <c r="E124" s="16" t="inlineStr">
        <is>
          <t>PS256</t>
        </is>
      </c>
      <c r="F124" s="16" t="inlineStr">
        <is>
          <t>-</t>
        </is>
      </c>
      <c r="G124" s="16" t="inlineStr">
        <is>
          <t>1. Send.</t>
        </is>
      </c>
      <c r="H124" s="16" t="inlineStr">
        <is>
          <t>-</t>
        </is>
      </c>
      <c r="I124" s="16" t="inlineStr">
        <is>
          <t>PSS padding; verifies.</t>
        </is>
      </c>
      <c r="J124" s="16" t="inlineStr"/>
      <c r="K124" s="16" t="inlineStr">
        <is>
          <t>Not Run</t>
        </is>
      </c>
      <c r="L124" s="16" t="inlineStr">
        <is>
          <t>Low</t>
        </is>
      </c>
      <c r="M124" s="16" t="inlineStr"/>
      <c r="N124" s="16" t="inlineStr"/>
      <c r="O124" s="16" t="inlineStr"/>
    </row>
    <row r="125" ht="72" customHeight="1">
      <c r="A125" s="16" t="inlineStr">
        <is>
          <t>TC-AU-0024</t>
        </is>
      </c>
      <c r="B125" s="16" t="inlineStr">
        <is>
          <t>Authentication</t>
        </is>
      </c>
      <c r="C125" s="16" t="inlineStr">
        <is>
          <t>JWT</t>
        </is>
      </c>
      <c r="D125" s="16" t="inlineStr">
        <is>
          <t>Negative</t>
        </is>
      </c>
      <c r="E125" s="16" t="inlineStr">
        <is>
          <t>Expired exp still sent</t>
        </is>
      </c>
      <c r="F125" s="16" t="inlineStr">
        <is>
          <t>-</t>
        </is>
      </c>
      <c r="G125" s="16" t="inlineStr">
        <is>
          <t>1. Send.</t>
        </is>
      </c>
      <c r="H125" s="16" t="inlineStr">
        <is>
          <t>-</t>
        </is>
      </c>
      <c r="I125" s="16" t="inlineStr">
        <is>
          <t>Token unchanged; 401 from server.</t>
        </is>
      </c>
      <c r="J125" s="16" t="inlineStr"/>
      <c r="K125" s="16" t="inlineStr">
        <is>
          <t>Not Run</t>
        </is>
      </c>
      <c r="L125" s="16" t="inlineStr">
        <is>
          <t>Low</t>
        </is>
      </c>
      <c r="M125" s="16" t="inlineStr"/>
      <c r="N125" s="16" t="inlineStr"/>
      <c r="O125" s="16" t="inlineStr"/>
    </row>
    <row r="126" ht="72" customHeight="1">
      <c r="A126" s="16" t="inlineStr">
        <is>
          <t>TC-AU-0025</t>
        </is>
      </c>
      <c r="B126" s="16" t="inlineStr">
        <is>
          <t>Authentication</t>
        </is>
      </c>
      <c r="C126" s="16" t="inlineStr">
        <is>
          <t>JWT</t>
        </is>
      </c>
      <c r="D126" s="16" t="inlineStr">
        <is>
          <t>Edge Case</t>
        </is>
      </c>
      <c r="E126" s="16" t="inlineStr">
        <is>
          <t>Custom claims</t>
        </is>
      </c>
      <c r="F126" s="16" t="inlineStr">
        <is>
          <t>-</t>
        </is>
      </c>
      <c r="G126" s="16" t="inlineStr">
        <is>
          <t>1. Add role claim.</t>
        </is>
      </c>
      <c r="H126" s="16" t="inlineStr">
        <is>
          <t>-</t>
        </is>
      </c>
      <c r="I126" s="16" t="inlineStr">
        <is>
          <t>Decoded JWT shows claim.</t>
        </is>
      </c>
      <c r="J126" s="16" t="inlineStr"/>
      <c r="K126" s="16" t="inlineStr">
        <is>
          <t>Not Run</t>
        </is>
      </c>
      <c r="L126" s="16" t="inlineStr">
        <is>
          <t>Low</t>
        </is>
      </c>
      <c r="M126" s="16" t="inlineStr"/>
      <c r="N126" s="16" t="inlineStr"/>
      <c r="O126" s="16" t="inlineStr"/>
    </row>
    <row r="127" ht="72" customHeight="1">
      <c r="A127" s="16" t="inlineStr">
        <is>
          <t>TC-AU-0026</t>
        </is>
      </c>
      <c r="B127" s="16" t="inlineStr">
        <is>
          <t>Authentication</t>
        </is>
      </c>
      <c r="C127" s="16" t="inlineStr">
        <is>
          <t>Inherit</t>
        </is>
      </c>
      <c r="D127" s="16" t="inlineStr">
        <is>
          <t>Functional</t>
        </is>
      </c>
      <c r="E127" s="16" t="inlineStr">
        <is>
          <t>Folder Bearer inherited</t>
        </is>
      </c>
      <c r="F127" s="16" t="inlineStr">
        <is>
          <t>-</t>
        </is>
      </c>
      <c r="G127" s="16" t="inlineStr">
        <is>
          <t>1. Child Inherit. Send.</t>
        </is>
      </c>
      <c r="H127" s="16" t="inlineStr">
        <is>
          <t>-</t>
        </is>
      </c>
      <c r="I127" s="16" t="inlineStr">
        <is>
          <t>Folder Bearer applied.</t>
        </is>
      </c>
      <c r="J127" s="16" t="inlineStr"/>
      <c r="K127" s="16" t="inlineStr">
        <is>
          <t>Not Run</t>
        </is>
      </c>
      <c r="L127" s="16" t="inlineStr">
        <is>
          <t>High</t>
        </is>
      </c>
      <c r="M127" s="16" t="inlineStr"/>
      <c r="N127" s="16" t="inlineStr"/>
      <c r="O127" s="16" t="inlineStr"/>
    </row>
    <row r="128" ht="72" customHeight="1">
      <c r="A128" s="16" t="inlineStr">
        <is>
          <t>TC-AU-0027</t>
        </is>
      </c>
      <c r="B128" s="16" t="inlineStr">
        <is>
          <t>Authentication</t>
        </is>
      </c>
      <c r="C128" s="16" t="inlineStr">
        <is>
          <t>Inherit</t>
        </is>
      </c>
      <c r="D128" s="16" t="inlineStr">
        <is>
          <t>Functional</t>
        </is>
      </c>
      <c r="E128" s="16" t="inlineStr">
        <is>
          <t>Override beats folder</t>
        </is>
      </c>
      <c r="F128" s="16" t="inlineStr">
        <is>
          <t>-</t>
        </is>
      </c>
      <c r="G128" s="16" t="inlineStr">
        <is>
          <t>1. Child Basic. Send.</t>
        </is>
      </c>
      <c r="H128" s="16" t="inlineStr">
        <is>
          <t>-</t>
        </is>
      </c>
      <c r="I128" s="16" t="inlineStr">
        <is>
          <t>Basic used; folder ignored.</t>
        </is>
      </c>
      <c r="J128" s="16" t="inlineStr"/>
      <c r="K128" s="16" t="inlineStr">
        <is>
          <t>Not Run</t>
        </is>
      </c>
      <c r="L128" s="16" t="inlineStr">
        <is>
          <t>High</t>
        </is>
      </c>
      <c r="M128" s="16" t="inlineStr"/>
      <c r="N128" s="16" t="inlineStr"/>
      <c r="O128" s="16" t="inlineStr"/>
    </row>
    <row r="129" ht="72" customHeight="1">
      <c r="A129" s="16" t="inlineStr">
        <is>
          <t>TC-AU-0028</t>
        </is>
      </c>
      <c r="B129" s="16" t="inlineStr">
        <is>
          <t>Authentication</t>
        </is>
      </c>
      <c r="C129" s="16" t="inlineStr">
        <is>
          <t>Inherit</t>
        </is>
      </c>
      <c r="D129" s="16" t="inlineStr">
        <is>
          <t>Edge Case</t>
        </is>
      </c>
      <c r="E129" s="16" t="inlineStr">
        <is>
          <t>Nested folder walk</t>
        </is>
      </c>
      <c r="F129" s="16" t="inlineStr">
        <is>
          <t>-</t>
        </is>
      </c>
      <c r="G129" s="16" t="inlineStr">
        <is>
          <t>1. Coll Bearer; subfolder Inherit; request Inherit. Send.</t>
        </is>
      </c>
      <c r="H129" s="16" t="inlineStr">
        <is>
          <t>-</t>
        </is>
      </c>
      <c r="I129" s="16" t="inlineStr">
        <is>
          <t>Walks up to coll Bearer.</t>
        </is>
      </c>
      <c r="J129" s="16" t="inlineStr"/>
      <c r="K129" s="16" t="inlineStr">
        <is>
          <t>Not Run</t>
        </is>
      </c>
      <c r="L129" s="16" t="inlineStr">
        <is>
          <t>Medium</t>
        </is>
      </c>
      <c r="M129" s="16" t="inlineStr"/>
      <c r="N129" s="16" t="inlineStr"/>
      <c r="O129" s="16" t="inlineStr"/>
    </row>
    <row r="130" ht="72" customHeight="1">
      <c r="A130" s="16" t="inlineStr">
        <is>
          <t>TC-AU-0029</t>
        </is>
      </c>
      <c r="B130" s="16" t="inlineStr">
        <is>
          <t>Authentication</t>
        </is>
      </c>
      <c r="C130" s="16" t="inlineStr">
        <is>
          <t>ASAP</t>
        </is>
      </c>
      <c r="D130" s="16" t="inlineStr">
        <is>
          <t>Functional</t>
        </is>
      </c>
      <c r="E130" s="16" t="inlineStr">
        <is>
          <t>ASAP token</t>
        </is>
      </c>
      <c r="F130" s="16" t="inlineStr">
        <is>
          <t>-</t>
        </is>
      </c>
      <c r="G130" s="16" t="inlineStr">
        <is>
          <t>1. Send.</t>
        </is>
      </c>
      <c r="H130" s="16" t="inlineStr">
        <is>
          <t>-</t>
        </is>
      </c>
      <c r="I130" s="16" t="inlineStr">
        <is>
          <t>Bearer asap-jwt.</t>
        </is>
      </c>
      <c r="J130" s="16" t="inlineStr"/>
      <c r="K130" s="16" t="inlineStr">
        <is>
          <t>Not Run</t>
        </is>
      </c>
      <c r="L130" s="16" t="inlineStr">
        <is>
          <t>Low</t>
        </is>
      </c>
      <c r="M130" s="16" t="inlineStr"/>
      <c r="N130" s="16" t="inlineStr"/>
      <c r="O130" s="16" t="inlineStr"/>
    </row>
    <row r="131" ht="72" customHeight="1">
      <c r="A131" s="16" t="inlineStr">
        <is>
          <t>TC-AU-0030</t>
        </is>
      </c>
      <c r="B131" s="16" t="inlineStr">
        <is>
          <t>Authentication</t>
        </is>
      </c>
      <c r="C131" s="16" t="inlineStr">
        <is>
          <t>EdgeGrid</t>
        </is>
      </c>
      <c r="D131" s="16" t="inlineStr">
        <is>
          <t>Functional</t>
        </is>
      </c>
      <c r="E131" s="16" t="inlineStr">
        <is>
          <t>EdgeGrid signing</t>
        </is>
      </c>
      <c r="F131" s="16" t="inlineStr">
        <is>
          <t>-</t>
        </is>
      </c>
      <c r="G131" s="16" t="inlineStr">
        <is>
          <t>1. Send.</t>
        </is>
      </c>
      <c r="H131" s="16" t="inlineStr">
        <is>
          <t>-</t>
        </is>
      </c>
      <c r="I131" s="16" t="inlineStr">
        <is>
          <t>Signed nonce header.</t>
        </is>
      </c>
      <c r="J131" s="16" t="inlineStr"/>
      <c r="K131" s="16" t="inlineStr">
        <is>
          <t>Not Run</t>
        </is>
      </c>
      <c r="L131" s="16" t="inlineStr">
        <is>
          <t>Low</t>
        </is>
      </c>
      <c r="M131" s="16" t="inlineStr"/>
      <c r="N131" s="16" t="inlineStr"/>
      <c r="O131" s="16" t="inlineStr"/>
    </row>
    <row r="132" ht="72" customHeight="1">
      <c r="A132" s="16" t="inlineStr">
        <is>
          <t>TC-AU-0031</t>
        </is>
      </c>
      <c r="B132" s="16" t="inlineStr">
        <is>
          <t>Authentication</t>
        </is>
      </c>
      <c r="C132" s="16" t="inlineStr">
        <is>
          <t>Custom Header</t>
        </is>
      </c>
      <c r="D132" s="16" t="inlineStr">
        <is>
          <t>Functional</t>
        </is>
      </c>
      <c r="E132" s="16" t="inlineStr">
        <is>
          <t>Arbitrary pair</t>
        </is>
      </c>
      <c r="F132" s="16" t="inlineStr">
        <is>
          <t>-</t>
        </is>
      </c>
      <c r="G132" s="16" t="inlineStr">
        <is>
          <t>1. Set Authorization='Token abc'. Send.</t>
        </is>
      </c>
      <c r="H132" s="16" t="inlineStr">
        <is>
          <t>-</t>
        </is>
      </c>
      <c r="I132" s="16" t="inlineStr">
        <is>
          <t>Header sent verbatim.</t>
        </is>
      </c>
      <c r="J132" s="16" t="inlineStr"/>
      <c r="K132" s="16" t="inlineStr">
        <is>
          <t>Not Run</t>
        </is>
      </c>
      <c r="L132" s="16" t="inlineStr">
        <is>
          <t>Medium</t>
        </is>
      </c>
      <c r="M132" s="16" t="inlineStr"/>
      <c r="N132" s="16" t="inlineStr"/>
      <c r="O132" s="16" t="inlineStr"/>
    </row>
    <row r="133" ht="72" customHeight="1">
      <c r="A133" s="16" t="inlineStr">
        <is>
          <t>TC-O2-0001</t>
        </is>
      </c>
      <c r="B133" s="16" t="inlineStr">
        <is>
          <t>OAuth2 Flows</t>
        </is>
      </c>
      <c r="C133" s="16" t="inlineStr">
        <is>
          <t>Client Credentials</t>
        </is>
      </c>
      <c r="D133" s="16" t="inlineStr">
        <is>
          <t>Functional</t>
        </is>
      </c>
      <c r="E133" s="16" t="inlineStr">
        <is>
          <t>Acquire token</t>
        </is>
      </c>
      <c r="F133" s="16" t="inlineStr">
        <is>
          <t>Mock IdP.</t>
        </is>
      </c>
      <c r="G133" s="16" t="inlineStr">
        <is>
          <t>1. Get token.</t>
        </is>
      </c>
      <c r="H133" s="16" t="inlineStr">
        <is>
          <t>-</t>
        </is>
      </c>
      <c r="I133" s="16" t="inlineStr">
        <is>
          <t>access_token + expiresAt + obtainedScope populated.</t>
        </is>
      </c>
      <c r="J133" s="16" t="inlineStr"/>
      <c r="K133" s="16" t="inlineStr">
        <is>
          <t>Not Run</t>
        </is>
      </c>
      <c r="L133" s="16" t="inlineStr">
        <is>
          <t>High</t>
        </is>
      </c>
      <c r="M133" s="16" t="inlineStr"/>
      <c r="N133" s="16" t="inlineStr"/>
      <c r="O133" s="16" t="inlineStr"/>
    </row>
    <row r="134" ht="72" customHeight="1">
      <c r="A134" s="16" t="inlineStr">
        <is>
          <t>TC-O2-0002</t>
        </is>
      </c>
      <c r="B134" s="16" t="inlineStr">
        <is>
          <t>OAuth2 Flows</t>
        </is>
      </c>
      <c r="C134" s="16" t="inlineStr">
        <is>
          <t>Password</t>
        </is>
      </c>
      <c r="D134" s="16" t="inlineStr">
        <is>
          <t>Functional</t>
        </is>
      </c>
      <c r="E134" s="16" t="inlineStr">
        <is>
          <t>Password grant</t>
        </is>
      </c>
      <c r="F134" s="16" t="inlineStr">
        <is>
          <t>-</t>
        </is>
      </c>
      <c r="G134" s="16" t="inlineStr">
        <is>
          <t>1. Get token.</t>
        </is>
      </c>
      <c r="H134" s="16" t="inlineStr">
        <is>
          <t>-</t>
        </is>
      </c>
      <c r="I134" s="16" t="inlineStr">
        <is>
          <t>grant_type=password; access_token returned.</t>
        </is>
      </c>
      <c r="J134" s="16" t="inlineStr"/>
      <c r="K134" s="16" t="inlineStr">
        <is>
          <t>Not Run</t>
        </is>
      </c>
      <c r="L134" s="16" t="inlineStr">
        <is>
          <t>Medium</t>
        </is>
      </c>
      <c r="M134" s="16" t="inlineStr"/>
      <c r="N134" s="16" t="inlineStr"/>
      <c r="O134" s="16" t="inlineStr"/>
    </row>
    <row r="135" ht="72" customHeight="1">
      <c r="A135" s="16" t="inlineStr">
        <is>
          <t>TC-O2-0003</t>
        </is>
      </c>
      <c r="B135" s="16" t="inlineStr">
        <is>
          <t>OAuth2 Flows</t>
        </is>
      </c>
      <c r="C135" s="16" t="inlineStr">
        <is>
          <t>Device Code</t>
        </is>
      </c>
      <c r="D135" s="16" t="inlineStr">
        <is>
          <t>Functional</t>
        </is>
      </c>
      <c r="E135" s="16" t="inlineStr">
        <is>
          <t>Device flow polls</t>
        </is>
      </c>
      <c r="F135" s="16" t="inlineStr">
        <is>
          <t>-</t>
        </is>
      </c>
      <c r="G135" s="16" t="inlineStr">
        <is>
          <t>1. Get token. Approve.</t>
        </is>
      </c>
      <c r="H135" s="16" t="inlineStr">
        <is>
          <t>-</t>
        </is>
      </c>
      <c r="I135" s="16" t="inlineStr">
        <is>
          <t>user_code shown; polling respected; token stored.</t>
        </is>
      </c>
      <c r="J135" s="16" t="inlineStr"/>
      <c r="K135" s="16" t="inlineStr">
        <is>
          <t>Not Run</t>
        </is>
      </c>
      <c r="L135" s="16" t="inlineStr">
        <is>
          <t>Medium</t>
        </is>
      </c>
      <c r="M135" s="16" t="inlineStr"/>
      <c r="N135" s="16" t="inlineStr"/>
      <c r="O135" s="16" t="inlineStr"/>
    </row>
    <row r="136" ht="72" customHeight="1">
      <c r="A136" s="16" t="inlineStr">
        <is>
          <t>TC-O2-0004</t>
        </is>
      </c>
      <c r="B136" s="16" t="inlineStr">
        <is>
          <t>OAuth2 Flows</t>
        </is>
      </c>
      <c r="C136" s="16" t="inlineStr">
        <is>
          <t>PKCE</t>
        </is>
      </c>
      <c r="D136" s="16" t="inlineStr">
        <is>
          <t>Functional</t>
        </is>
      </c>
      <c r="E136" s="16" t="inlineStr">
        <is>
          <t>PKCE public client</t>
        </is>
      </c>
      <c r="F136" s="16" t="inlineStr">
        <is>
          <t>-</t>
        </is>
      </c>
      <c r="G136" s="16" t="inlineStr">
        <is>
          <t>1. Get token.</t>
        </is>
      </c>
      <c r="H136" s="16" t="inlineStr">
        <is>
          <t>-</t>
        </is>
      </c>
      <c r="I136" s="16" t="inlineStr">
        <is>
          <t>code_verifier 43-128 chars; S256 challenge; succeeds.</t>
        </is>
      </c>
      <c r="J136" s="16" t="inlineStr"/>
      <c r="K136" s="16" t="inlineStr">
        <is>
          <t>Not Run</t>
        </is>
      </c>
      <c r="L136" s="16" t="inlineStr">
        <is>
          <t>High</t>
        </is>
      </c>
      <c r="M136" s="16" t="inlineStr"/>
      <c r="N136" s="16" t="inlineStr"/>
      <c r="O136" s="16" t="inlineStr"/>
    </row>
    <row r="137" ht="72" customHeight="1">
      <c r="A137" s="16" t="inlineStr">
        <is>
          <t>TC-O2-0005</t>
        </is>
      </c>
      <c r="B137" s="16" t="inlineStr">
        <is>
          <t>OAuth2 Flows</t>
        </is>
      </c>
      <c r="C137" s="16" t="inlineStr">
        <is>
          <t>Refresh</t>
        </is>
      </c>
      <c r="D137" s="16" t="inlineStr">
        <is>
          <t>Functional</t>
        </is>
      </c>
      <c r="E137" s="16" t="inlineStr">
        <is>
          <t>Manual refresh</t>
        </is>
      </c>
      <c r="F137" s="16" t="inlineStr">
        <is>
          <t>-</t>
        </is>
      </c>
      <c r="G137" s="16" t="inlineStr">
        <is>
          <t>1. Refresh.</t>
        </is>
      </c>
      <c r="H137" s="16" t="inlineStr">
        <is>
          <t>-</t>
        </is>
      </c>
      <c r="I137" s="16" t="inlineStr">
        <is>
          <t>grant_type=refresh_token; new access_token.</t>
        </is>
      </c>
      <c r="J137" s="16" t="inlineStr"/>
      <c r="K137" s="16" t="inlineStr">
        <is>
          <t>Not Run</t>
        </is>
      </c>
      <c r="L137" s="16" t="inlineStr">
        <is>
          <t>High</t>
        </is>
      </c>
      <c r="M137" s="16" t="inlineStr"/>
      <c r="N137" s="16" t="inlineStr"/>
      <c r="O137" s="16" t="inlineStr"/>
    </row>
    <row r="138" ht="72" customHeight="1">
      <c r="A138" s="16" t="inlineStr">
        <is>
          <t>TC-O2-0006</t>
        </is>
      </c>
      <c r="B138" s="16" t="inlineStr">
        <is>
          <t>OAuth2 Flows</t>
        </is>
      </c>
      <c r="C138" s="16" t="inlineStr">
        <is>
          <t>Auto-Refresh</t>
        </is>
      </c>
      <c r="D138" s="16" t="inlineStr">
        <is>
          <t>Functional</t>
        </is>
      </c>
      <c r="E138" s="16" t="inlineStr">
        <is>
          <t>Send refreshes expired</t>
        </is>
      </c>
      <c r="F138" s="16" t="inlineStr">
        <is>
          <t>-</t>
        </is>
      </c>
      <c r="G138" s="16" t="inlineStr">
        <is>
          <t>1. Send with expired token.</t>
        </is>
      </c>
      <c r="H138" s="16" t="inlineStr">
        <is>
          <t>-</t>
        </is>
      </c>
      <c r="I138" s="16" t="inlineStr">
        <is>
          <t>Refreshed transparently; outgoing uses fresh.</t>
        </is>
      </c>
      <c r="J138" s="16" t="inlineStr"/>
      <c r="K138" s="16" t="inlineStr">
        <is>
          <t>Not Run</t>
        </is>
      </c>
      <c r="L138" s="16" t="inlineStr">
        <is>
          <t>High</t>
        </is>
      </c>
      <c r="M138" s="16" t="inlineStr"/>
      <c r="N138" s="16" t="inlineStr"/>
      <c r="O138" s="16" t="inlineStr"/>
    </row>
    <row r="139" ht="72" customHeight="1">
      <c r="A139" s="16" t="inlineStr">
        <is>
          <t>TC-O2-0007</t>
        </is>
      </c>
      <c r="B139" s="16" t="inlineStr">
        <is>
          <t>OAuth2 Flows</t>
        </is>
      </c>
      <c r="C139" s="16" t="inlineStr">
        <is>
          <t>Clear</t>
        </is>
      </c>
      <c r="D139" s="16" t="inlineStr">
        <is>
          <t>Functional</t>
        </is>
      </c>
      <c r="E139" s="16" t="inlineStr">
        <is>
          <t>Clear token</t>
        </is>
      </c>
      <c r="F139" s="16" t="inlineStr">
        <is>
          <t>-</t>
        </is>
      </c>
      <c r="G139" s="16" t="inlineStr">
        <is>
          <t>1. Clear. Send.</t>
        </is>
      </c>
      <c r="H139" s="16" t="inlineStr">
        <is>
          <t>-</t>
        </is>
      </c>
      <c r="I139" s="16" t="inlineStr">
        <is>
          <t>Token removed; re-auth required.</t>
        </is>
      </c>
      <c r="J139" s="16" t="inlineStr"/>
      <c r="K139" s="16" t="inlineStr">
        <is>
          <t>Not Run</t>
        </is>
      </c>
      <c r="L139" s="16" t="inlineStr">
        <is>
          <t>Medium</t>
        </is>
      </c>
      <c r="M139" s="16" t="inlineStr"/>
      <c r="N139" s="16" t="inlineStr"/>
      <c r="O139" s="16" t="inlineStr"/>
    </row>
    <row r="140" ht="72" customHeight="1">
      <c r="A140" s="16" t="inlineStr">
        <is>
          <t>TC-O2-0008</t>
        </is>
      </c>
      <c r="B140" s="16" t="inlineStr">
        <is>
          <t>OAuth2 Flows</t>
        </is>
      </c>
      <c r="C140" s="16" t="inlineStr">
        <is>
          <t>State</t>
        </is>
      </c>
      <c r="D140" s="16" t="inlineStr">
        <is>
          <t>Security</t>
        </is>
      </c>
      <c r="E140" s="16" t="inlineStr">
        <is>
          <t>State mismatch rejected</t>
        </is>
      </c>
      <c r="F140" s="16" t="inlineStr">
        <is>
          <t>-</t>
        </is>
      </c>
      <c r="G140" s="16" t="inlineStr">
        <is>
          <t>1. Tamper state.</t>
        </is>
      </c>
      <c r="H140" s="16" t="inlineStr">
        <is>
          <t>-</t>
        </is>
      </c>
      <c r="I140" s="16" t="inlineStr">
        <is>
          <t>Callback rejected; no token stored.</t>
        </is>
      </c>
      <c r="J140" s="16" t="inlineStr"/>
      <c r="K140" s="16" t="inlineStr">
        <is>
          <t>Not Run</t>
        </is>
      </c>
      <c r="L140" s="16" t="inlineStr">
        <is>
          <t>High</t>
        </is>
      </c>
      <c r="M140" s="16" t="inlineStr"/>
      <c r="N140" s="16" t="inlineStr"/>
      <c r="O140" s="16" t="inlineStr"/>
    </row>
    <row r="141" ht="72" customHeight="1">
      <c r="A141" s="16" t="inlineStr">
        <is>
          <t>TC-O2-0009</t>
        </is>
      </c>
      <c r="B141" s="16" t="inlineStr">
        <is>
          <t>OAuth2 Flows</t>
        </is>
      </c>
      <c r="C141" s="16" t="inlineStr">
        <is>
          <t>Redirect URI</t>
        </is>
      </c>
      <c r="D141" s="16" t="inlineStr">
        <is>
          <t>Negative</t>
        </is>
      </c>
      <c r="E141" s="16" t="inlineStr">
        <is>
          <t>Mismatch error</t>
        </is>
      </c>
      <c r="F141" s="16" t="inlineStr">
        <is>
          <t>-</t>
        </is>
      </c>
      <c r="G141" s="16" t="inlineStr">
        <is>
          <t>1. Get token.</t>
        </is>
      </c>
      <c r="H141" s="16" t="inlineStr">
        <is>
          <t>-</t>
        </is>
      </c>
      <c r="I141" s="16" t="inlineStr">
        <is>
          <t>IdP error displayed.</t>
        </is>
      </c>
      <c r="J141" s="16" t="inlineStr"/>
      <c r="K141" s="16" t="inlineStr">
        <is>
          <t>Not Run</t>
        </is>
      </c>
      <c r="L141" s="16" t="inlineStr">
        <is>
          <t>Medium</t>
        </is>
      </c>
      <c r="M141" s="16" t="inlineStr"/>
      <c r="N141" s="16" t="inlineStr"/>
      <c r="O141" s="16" t="inlineStr"/>
    </row>
    <row r="142" ht="72" customHeight="1">
      <c r="A142" s="16" t="inlineStr">
        <is>
          <t>TC-O2-0010</t>
        </is>
      </c>
      <c r="B142" s="16" t="inlineStr">
        <is>
          <t>OAuth2 Flows</t>
        </is>
      </c>
      <c r="C142" s="16" t="inlineStr">
        <is>
          <t>Private Key JWT</t>
        </is>
      </c>
      <c r="D142" s="16" t="inlineStr">
        <is>
          <t>Functional</t>
        </is>
      </c>
      <c r="E142" s="16" t="inlineStr">
        <is>
          <t>client_assertion</t>
        </is>
      </c>
      <c r="F142" s="16" t="inlineStr">
        <is>
          <t>-</t>
        </is>
      </c>
      <c r="G142" s="16" t="inlineStr">
        <is>
          <t>1. Get token.</t>
        </is>
      </c>
      <c r="H142" s="16" t="inlineStr">
        <is>
          <t>-</t>
        </is>
      </c>
      <c r="I142" s="16" t="inlineStr">
        <is>
          <t>Token request includes client_assertion JWT.</t>
        </is>
      </c>
      <c r="J142" s="16" t="inlineStr"/>
      <c r="K142" s="16" t="inlineStr">
        <is>
          <t>Not Run</t>
        </is>
      </c>
      <c r="L142" s="16" t="inlineStr">
        <is>
          <t>Low</t>
        </is>
      </c>
      <c r="M142" s="16" t="inlineStr"/>
      <c r="N142" s="16" t="inlineStr"/>
      <c r="O142" s="16" t="inlineStr"/>
    </row>
    <row r="143" ht="72" customHeight="1">
      <c r="A143" s="16" t="inlineStr">
        <is>
          <t>TC-O2-0011</t>
        </is>
      </c>
      <c r="B143" s="16" t="inlineStr">
        <is>
          <t>OAuth2 Flows</t>
        </is>
      </c>
      <c r="C143" s="16" t="inlineStr">
        <is>
          <t>Scope</t>
        </is>
      </c>
      <c r="D143" s="16" t="inlineStr">
        <is>
          <t>Edge Case</t>
        </is>
      </c>
      <c r="E143" s="16" t="inlineStr">
        <is>
          <t>Narrower granted scope</t>
        </is>
      </c>
      <c r="F143" s="16" t="inlineStr">
        <is>
          <t>-</t>
        </is>
      </c>
      <c r="G143" s="16" t="inlineStr">
        <is>
          <t>1. Get token.</t>
        </is>
      </c>
      <c r="H143" s="16" t="inlineStr">
        <is>
          <t>-</t>
        </is>
      </c>
      <c r="I143" s="16" t="inlineStr">
        <is>
          <t>obtainedScope reflects narrower scope; UI shows.</t>
        </is>
      </c>
      <c r="J143" s="16" t="inlineStr"/>
      <c r="K143" s="16" t="inlineStr">
        <is>
          <t>Not Run</t>
        </is>
      </c>
      <c r="L143" s="16" t="inlineStr">
        <is>
          <t>Low</t>
        </is>
      </c>
      <c r="M143" s="16" t="inlineStr"/>
      <c r="N143" s="16" t="inlineStr"/>
      <c r="O143" s="16" t="inlineStr"/>
    </row>
    <row r="144" ht="72" customHeight="1">
      <c r="A144" s="16" t="inlineStr">
        <is>
          <t>TC-O2-0012</t>
        </is>
      </c>
      <c r="B144" s="16" t="inlineStr">
        <is>
          <t>OAuth2 Flows</t>
        </is>
      </c>
      <c r="C144" s="16" t="inlineStr">
        <is>
          <t>Token Display</t>
        </is>
      </c>
      <c r="D144" s="16" t="inlineStr">
        <is>
          <t>Security</t>
        </is>
      </c>
      <c r="E144" s="16" t="inlineStr">
        <is>
          <t>Token masked</t>
        </is>
      </c>
      <c r="F144" s="16" t="inlineStr">
        <is>
          <t>-</t>
        </is>
      </c>
      <c r="G144" s="16" t="inlineStr">
        <is>
          <t>1. View token panel.</t>
        </is>
      </c>
      <c r="H144" s="16" t="inlineStr">
        <is>
          <t>-</t>
        </is>
      </c>
      <c r="I144" s="16" t="inlineStr">
        <is>
          <t>Masked; reveal toggle.</t>
        </is>
      </c>
      <c r="J144" s="16" t="inlineStr"/>
      <c r="K144" s="16" t="inlineStr">
        <is>
          <t>Not Run</t>
        </is>
      </c>
      <c r="L144" s="16" t="inlineStr">
        <is>
          <t>Medium</t>
        </is>
      </c>
      <c r="M144" s="16" t="inlineStr"/>
      <c r="N144" s="16" t="inlineStr"/>
      <c r="O144" s="16" t="inlineStr"/>
    </row>
    <row r="145" ht="72" customHeight="1">
      <c r="A145" s="16" t="inlineStr">
        <is>
          <t>TC-O2-0013</t>
        </is>
      </c>
      <c r="B145" s="16" t="inlineStr">
        <is>
          <t>OAuth2 Flows</t>
        </is>
      </c>
      <c r="C145" s="16" t="inlineStr">
        <is>
          <t>Token Display</t>
        </is>
      </c>
      <c r="D145" s="16" t="inlineStr">
        <is>
          <t>UX/UI</t>
        </is>
      </c>
      <c r="E145" s="16" t="inlineStr">
        <is>
          <t>Expiry countdown</t>
        </is>
      </c>
      <c r="F145" s="16" t="inlineStr">
        <is>
          <t>-</t>
        </is>
      </c>
      <c r="G145" s="16" t="inlineStr">
        <is>
          <t>1. Hover token.</t>
        </is>
      </c>
      <c r="H145" s="16" t="inlineStr">
        <is>
          <t>-</t>
        </is>
      </c>
      <c r="I145" s="16" t="inlineStr">
        <is>
          <t>Countdown; warn near expiry.</t>
        </is>
      </c>
      <c r="J145" s="16" t="inlineStr"/>
      <c r="K145" s="16" t="inlineStr">
        <is>
          <t>Not Run</t>
        </is>
      </c>
      <c r="L145" s="16" t="inlineStr">
        <is>
          <t>Low</t>
        </is>
      </c>
      <c r="M145" s="16" t="inlineStr"/>
      <c r="N145" s="16" t="inlineStr"/>
      <c r="O145" s="16" t="inlineStr"/>
    </row>
    <row r="146" ht="72" customHeight="1">
      <c r="A146" s="16" t="inlineStr">
        <is>
          <t>TC-O2-0014</t>
        </is>
      </c>
      <c r="B146" s="16" t="inlineStr">
        <is>
          <t>OAuth2 Flows</t>
        </is>
      </c>
      <c r="C146" s="16" t="inlineStr">
        <is>
          <t>Error</t>
        </is>
      </c>
      <c r="D146" s="16" t="inlineStr">
        <is>
          <t>Negative</t>
        </is>
      </c>
      <c r="E146" s="16" t="inlineStr">
        <is>
          <t>invalid_grant rendered</t>
        </is>
      </c>
      <c r="F146" s="16" t="inlineStr">
        <is>
          <t>-</t>
        </is>
      </c>
      <c r="G146" s="16" t="inlineStr">
        <is>
          <t>1. Get with wrong creds.</t>
        </is>
      </c>
      <c r="H146" s="16" t="inlineStr">
        <is>
          <t>-</t>
        </is>
      </c>
      <c r="I146" s="16" t="inlineStr">
        <is>
          <t>Error code+description from IdP shown.</t>
        </is>
      </c>
      <c r="J146" s="16" t="inlineStr"/>
      <c r="K146" s="16" t="inlineStr">
        <is>
          <t>Not Run</t>
        </is>
      </c>
      <c r="L146" s="16" t="inlineStr">
        <is>
          <t>Medium</t>
        </is>
      </c>
      <c r="M146" s="16" t="inlineStr"/>
      <c r="N146" s="16" t="inlineStr"/>
      <c r="O146" s="16" t="inlineStr"/>
    </row>
    <row r="147" ht="72" customHeight="1">
      <c r="A147" s="16" t="inlineStr">
        <is>
          <t>TC-O2-0015</t>
        </is>
      </c>
      <c r="B147" s="16" t="inlineStr">
        <is>
          <t>OAuth2 Flows</t>
        </is>
      </c>
      <c r="C147" s="16" t="inlineStr">
        <is>
          <t>Popup</t>
        </is>
      </c>
      <c r="D147" s="16" t="inlineStr">
        <is>
          <t>Functional</t>
        </is>
      </c>
      <c r="E147" s="16" t="inlineStr">
        <is>
          <t>Auth code via popup</t>
        </is>
      </c>
      <c r="F147" s="16" t="inlineStr">
        <is>
          <t>-</t>
        </is>
      </c>
      <c r="G147" s="16" t="inlineStr">
        <is>
          <t>1. Get token. Approve.</t>
        </is>
      </c>
      <c r="H147" s="16" t="inlineStr">
        <is>
          <t>-</t>
        </is>
      </c>
      <c r="I147" s="16" t="inlineStr">
        <is>
          <t>BroadcastChannel relays code; token stored; popup auto-closes.</t>
        </is>
      </c>
      <c r="J147" s="16" t="inlineStr"/>
      <c r="K147" s="16" t="inlineStr">
        <is>
          <t>Not Run</t>
        </is>
      </c>
      <c r="L147" s="16" t="inlineStr">
        <is>
          <t>High</t>
        </is>
      </c>
      <c r="M147" s="16" t="inlineStr"/>
      <c r="N147" s="16" t="inlineStr"/>
      <c r="O147" s="16" t="inlineStr"/>
    </row>
    <row r="148" ht="72" customHeight="1">
      <c r="A148" s="16" t="inlineStr">
        <is>
          <t>TC-O2-0016</t>
        </is>
      </c>
      <c r="B148" s="16" t="inlineStr">
        <is>
          <t>OAuth2 Flows</t>
        </is>
      </c>
      <c r="C148" s="16" t="inlineStr">
        <is>
          <t>Popup</t>
        </is>
      </c>
      <c r="D148" s="16" t="inlineStr">
        <is>
          <t>Negative</t>
        </is>
      </c>
      <c r="E148" s="16" t="inlineStr">
        <is>
          <t>Popup blocked</t>
        </is>
      </c>
      <c r="F148" s="16" t="inlineStr">
        <is>
          <t>-</t>
        </is>
      </c>
      <c r="G148" s="16" t="inlineStr">
        <is>
          <t>1. Get token (blocker on).</t>
        </is>
      </c>
      <c r="H148" s="16" t="inlineStr">
        <is>
          <t>-</t>
        </is>
      </c>
      <c r="I148" s="16" t="inlineStr">
        <is>
          <t>Error 'Popup blocked'; instructions.</t>
        </is>
      </c>
      <c r="J148" s="16" t="inlineStr"/>
      <c r="K148" s="16" t="inlineStr">
        <is>
          <t>Not Run</t>
        </is>
      </c>
      <c r="L148" s="16" t="inlineStr">
        <is>
          <t>High</t>
        </is>
      </c>
      <c r="M148" s="16" t="inlineStr"/>
      <c r="N148" s="16" t="inlineStr"/>
      <c r="O148" s="16" t="inlineStr"/>
    </row>
    <row r="149" ht="72" customHeight="1">
      <c r="A149" s="16" t="inlineStr">
        <is>
          <t>TC-O2-0017</t>
        </is>
      </c>
      <c r="B149" s="16" t="inlineStr">
        <is>
          <t>OAuth2 Flows</t>
        </is>
      </c>
      <c r="C149" s="16" t="inlineStr">
        <is>
          <t>BroadcastChannel</t>
        </is>
      </c>
      <c r="D149" s="16" t="inlineStr">
        <is>
          <t>Functional</t>
        </is>
      </c>
      <c r="E149" s="16" t="inlineStr">
        <is>
          <t>Relay delivers code</t>
        </is>
      </c>
      <c r="F149" s="16" t="inlineStr">
        <is>
          <t>-</t>
        </is>
      </c>
      <c r="G149" s="16" t="inlineStr">
        <is>
          <t>1. Approve.</t>
        </is>
      </c>
      <c r="H149" s="16" t="inlineStr">
        <is>
          <t>-</t>
        </is>
      </c>
      <c r="I149" s="16" t="inlineStr">
        <is>
          <t>Main tab receives state-keyed message; no localStorage write.</t>
        </is>
      </c>
      <c r="J149" s="16" t="inlineStr"/>
      <c r="K149" s="16" t="inlineStr">
        <is>
          <t>Not Run</t>
        </is>
      </c>
      <c r="L149" s="16" t="inlineStr">
        <is>
          <t>High</t>
        </is>
      </c>
      <c r="M149" s="16" t="inlineStr"/>
      <c r="N149" s="16" t="inlineStr"/>
      <c r="O149" s="16" t="inlineStr"/>
    </row>
    <row r="150" ht="72" customHeight="1">
      <c r="A150" s="16" t="inlineStr">
        <is>
          <t>TC-O2-0018</t>
        </is>
      </c>
      <c r="B150" s="16" t="inlineStr">
        <is>
          <t>OAuth2 Flows</t>
        </is>
      </c>
      <c r="C150" s="16" t="inlineStr">
        <is>
          <t>postMessage</t>
        </is>
      </c>
      <c r="D150" s="16" t="inlineStr">
        <is>
          <t>Functional</t>
        </is>
      </c>
      <c r="E150" s="16" t="inlineStr">
        <is>
          <t>Fallback via postMessage</t>
        </is>
      </c>
      <c r="F150" s="16" t="inlineStr">
        <is>
          <t>-</t>
        </is>
      </c>
      <c r="G150" s="16" t="inlineStr">
        <is>
          <t>1. Approve.</t>
        </is>
      </c>
      <c r="H150" s="16" t="inlineStr">
        <is>
          <t>-</t>
        </is>
      </c>
      <c r="I150" s="16" t="inlineStr">
        <is>
          <t>Falls back; same-origin only.</t>
        </is>
      </c>
      <c r="J150" s="16" t="inlineStr"/>
      <c r="K150" s="16" t="inlineStr">
        <is>
          <t>Not Run</t>
        </is>
      </c>
      <c r="L150" s="16" t="inlineStr">
        <is>
          <t>Medium</t>
        </is>
      </c>
      <c r="M150" s="16" t="inlineStr"/>
      <c r="N150" s="16" t="inlineStr"/>
      <c r="O150" s="16" t="inlineStr"/>
    </row>
    <row r="151" ht="72" customHeight="1">
      <c r="A151" s="16" t="inlineStr">
        <is>
          <t>TC-O2-0019</t>
        </is>
      </c>
      <c r="B151" s="16" t="inlineStr">
        <is>
          <t>OAuth2 Flows</t>
        </is>
      </c>
      <c r="C151" s="16" t="inlineStr">
        <is>
          <t>Cross-Origin</t>
        </is>
      </c>
      <c r="D151" s="16" t="inlineStr">
        <is>
          <t>Security</t>
        </is>
      </c>
      <c r="E151" s="16" t="inlineStr">
        <is>
          <t>Wrong-origin opener rejected</t>
        </is>
      </c>
      <c r="F151" s="16" t="inlineStr">
        <is>
          <t>-</t>
        </is>
      </c>
      <c r="G151" s="16" t="inlineStr">
        <is>
          <t>1. Spoof opener.</t>
        </is>
      </c>
      <c r="H151" s="16" t="inlineStr">
        <is>
          <t>-</t>
        </is>
      </c>
      <c r="I151" s="16" t="inlineStr">
        <is>
          <t>Listener verifies origin.</t>
        </is>
      </c>
      <c r="J151" s="16" t="inlineStr"/>
      <c r="K151" s="16" t="inlineStr">
        <is>
          <t>Not Run</t>
        </is>
      </c>
      <c r="L151" s="16" t="inlineStr">
        <is>
          <t>High</t>
        </is>
      </c>
      <c r="M151" s="16" t="inlineStr"/>
      <c r="N151" s="16" t="inlineStr"/>
      <c r="O151" s="16" t="inlineStr"/>
    </row>
    <row r="152" ht="72" customHeight="1">
      <c r="A152" s="16" t="inlineStr">
        <is>
          <t>TC-O2-0020</t>
        </is>
      </c>
      <c r="B152" s="16" t="inlineStr">
        <is>
          <t>OAuth2 Flows</t>
        </is>
      </c>
      <c r="C152" s="16" t="inlineStr">
        <is>
          <t>Auth Code</t>
        </is>
      </c>
      <c r="D152" s="16" t="inlineStr">
        <is>
          <t>Functional</t>
        </is>
      </c>
      <c r="E152" s="16" t="inlineStr">
        <is>
          <t>End-to-end (web)</t>
        </is>
      </c>
      <c r="F152" s="16" t="inlineStr">
        <is>
          <t>-</t>
        </is>
      </c>
      <c r="G152" s="16" t="inlineStr">
        <is>
          <t>1. Get token via popup.</t>
        </is>
      </c>
      <c r="H152" s="16" t="inlineStr">
        <is>
          <t>-</t>
        </is>
      </c>
      <c r="I152" s="16" t="inlineStr">
        <is>
          <t>tokens stored; UI updates.</t>
        </is>
      </c>
      <c r="J152" s="16" t="inlineStr"/>
      <c r="K152" s="16" t="inlineStr">
        <is>
          <t>Not Run</t>
        </is>
      </c>
      <c r="L152" s="16" t="inlineStr">
        <is>
          <t>High</t>
        </is>
      </c>
      <c r="M152" s="16" t="inlineStr"/>
      <c r="N152" s="16" t="inlineStr"/>
      <c r="O152" s="16" t="inlineStr"/>
    </row>
    <row r="153" ht="72" customHeight="1">
      <c r="A153" s="16" t="inlineStr">
        <is>
          <t>TC-O2-0021</t>
        </is>
      </c>
      <c r="B153" s="16" t="inlineStr">
        <is>
          <t>OAuth2 Flows</t>
        </is>
      </c>
      <c r="C153" s="16" t="inlineStr">
        <is>
          <t>Implicit</t>
        </is>
      </c>
      <c r="D153" s="16" t="inlineStr">
        <is>
          <t>Functional</t>
        </is>
      </c>
      <c r="E153" s="16" t="inlineStr">
        <is>
          <t>Implicit grant fragment</t>
        </is>
      </c>
      <c r="F153" s="16" t="inlineStr">
        <is>
          <t>-</t>
        </is>
      </c>
      <c r="G153" s="16" t="inlineStr">
        <is>
          <t>1. Get token.</t>
        </is>
      </c>
      <c r="H153" s="16" t="inlineStr">
        <is>
          <t>-</t>
        </is>
      </c>
      <c r="I153" s="16" t="inlineStr">
        <is>
          <t>Token from URL fragment.</t>
        </is>
      </c>
      <c r="J153" s="16" t="inlineStr"/>
      <c r="K153" s="16" t="inlineStr">
        <is>
          <t>Not Run</t>
        </is>
      </c>
      <c r="L153" s="16" t="inlineStr">
        <is>
          <t>Medium</t>
        </is>
      </c>
      <c r="M153" s="16" t="inlineStr"/>
      <c r="N153" s="16" t="inlineStr"/>
      <c r="O153" s="16" t="inlineStr"/>
    </row>
    <row r="154" ht="72" customHeight="1">
      <c r="A154" s="16" t="inlineStr">
        <is>
          <t>TC-O2-0022</t>
        </is>
      </c>
      <c r="B154" s="16" t="inlineStr">
        <is>
          <t>OAuth2 Flows</t>
        </is>
      </c>
      <c r="C154" s="16" t="inlineStr">
        <is>
          <t>Multiple</t>
        </is>
      </c>
      <c r="D154" s="16" t="inlineStr">
        <is>
          <t>Edge Case</t>
        </is>
      </c>
      <c r="E154" s="16" t="inlineStr">
        <is>
          <t>Two simultaneous flows</t>
        </is>
      </c>
      <c r="F154" s="16" t="inlineStr">
        <is>
          <t>-</t>
        </is>
      </c>
      <c r="G154" s="16" t="inlineStr">
        <is>
          <t>1. Start A; start B before A.</t>
        </is>
      </c>
      <c r="H154" s="16" t="inlineStr">
        <is>
          <t>-</t>
        </is>
      </c>
      <c r="I154" s="16" t="inlineStr">
        <is>
          <t>Each routed by state.</t>
        </is>
      </c>
      <c r="J154" s="16" t="inlineStr"/>
      <c r="K154" s="16" t="inlineStr">
        <is>
          <t>Not Run</t>
        </is>
      </c>
      <c r="L154" s="16" t="inlineStr">
        <is>
          <t>Medium</t>
        </is>
      </c>
      <c r="M154" s="16" t="inlineStr"/>
      <c r="N154" s="16" t="inlineStr"/>
      <c r="O154" s="16" t="inlineStr"/>
    </row>
    <row r="155" ht="72" customHeight="1">
      <c r="A155" s="16" t="inlineStr">
        <is>
          <t>TC-O2-0023</t>
        </is>
      </c>
      <c r="B155" s="16" t="inlineStr">
        <is>
          <t>OAuth2 Flows</t>
        </is>
      </c>
      <c r="C155" s="16" t="inlineStr">
        <is>
          <t>Callback Page</t>
        </is>
      </c>
      <c r="D155" s="16" t="inlineStr">
        <is>
          <t>Security</t>
        </is>
      </c>
      <c r="E155" s="16" t="inlineStr">
        <is>
          <t>No token in DOM</t>
        </is>
      </c>
      <c r="F155" s="16" t="inlineStr">
        <is>
          <t>-</t>
        </is>
      </c>
      <c r="G155" s="16" t="inlineStr">
        <is>
          <t>1. Approve. Inspect.</t>
        </is>
      </c>
      <c r="H155" s="16" t="inlineStr">
        <is>
          <t>-</t>
        </is>
      </c>
      <c r="I155" s="16" t="inlineStr">
        <is>
          <t>Generic success; no token in DOM.</t>
        </is>
      </c>
      <c r="J155" s="16" t="inlineStr"/>
      <c r="K155" s="16" t="inlineStr">
        <is>
          <t>Not Run</t>
        </is>
      </c>
      <c r="L155" s="16" t="inlineStr">
        <is>
          <t>Medium</t>
        </is>
      </c>
      <c r="M155" s="16" t="inlineStr"/>
      <c r="N155" s="16" t="inlineStr"/>
      <c r="O155" s="16" t="inlineStr"/>
    </row>
    <row r="156" ht="72" customHeight="1">
      <c r="A156" s="16" t="inlineStr">
        <is>
          <t>TC-VR-0001</t>
        </is>
      </c>
      <c r="B156" s="16" t="inlineStr">
        <is>
          <t>Variables &amp; Environments</t>
        </is>
      </c>
      <c r="C156" s="16" t="inlineStr">
        <is>
          <t>Env</t>
        </is>
      </c>
      <c r="D156" s="16" t="inlineStr">
        <is>
          <t>Functional</t>
        </is>
      </c>
      <c r="E156" s="16" t="inlineStr">
        <is>
          <t>Create env</t>
        </is>
      </c>
      <c r="F156" s="16" t="inlineStr">
        <is>
          <t>-</t>
        </is>
      </c>
      <c r="G156" s="16" t="inlineStr">
        <is>
          <t>1. + new env Dev.</t>
        </is>
      </c>
      <c r="H156" s="16" t="inlineStr">
        <is>
          <t>-</t>
        </is>
      </c>
      <c r="I156" s="16" t="inlineStr">
        <is>
          <t>Env created; empty vars.</t>
        </is>
      </c>
      <c r="J156" s="16" t="inlineStr"/>
      <c r="K156" s="16" t="inlineStr">
        <is>
          <t>Not Run</t>
        </is>
      </c>
      <c r="L156" s="16" t="inlineStr">
        <is>
          <t>High</t>
        </is>
      </c>
      <c r="M156" s="16" t="inlineStr"/>
      <c r="N156" s="16" t="inlineStr"/>
      <c r="O156" s="16" t="inlineStr"/>
    </row>
    <row r="157" ht="72" customHeight="1">
      <c r="A157" s="16" t="inlineStr">
        <is>
          <t>TC-VR-0002</t>
        </is>
      </c>
      <c r="B157" s="16" t="inlineStr">
        <is>
          <t>Variables &amp; Environments</t>
        </is>
      </c>
      <c r="C157" s="16" t="inlineStr">
        <is>
          <t>Env</t>
        </is>
      </c>
      <c r="D157" s="16" t="inlineStr">
        <is>
          <t>Functional</t>
        </is>
      </c>
      <c r="E157" s="16" t="inlineStr">
        <is>
          <t>Activate env</t>
        </is>
      </c>
      <c r="F157" s="16" t="inlineStr">
        <is>
          <t>-</t>
        </is>
      </c>
      <c r="G157" s="16" t="inlineStr">
        <is>
          <t>1. Pick Prod.</t>
        </is>
      </c>
      <c r="H157" s="16" t="inlineStr">
        <is>
          <t>-</t>
        </is>
      </c>
      <c r="I157" s="16" t="inlineStr">
        <is>
          <t>Resolutions use Prod values.</t>
        </is>
      </c>
      <c r="J157" s="16" t="inlineStr"/>
      <c r="K157" s="16" t="inlineStr">
        <is>
          <t>Not Run</t>
        </is>
      </c>
      <c r="L157" s="16" t="inlineStr">
        <is>
          <t>High</t>
        </is>
      </c>
      <c r="M157" s="16" t="inlineStr"/>
      <c r="N157" s="16" t="inlineStr"/>
      <c r="O157" s="16" t="inlineStr"/>
    </row>
    <row r="158" ht="72" customHeight="1">
      <c r="A158" s="16" t="inlineStr">
        <is>
          <t>TC-VR-0003</t>
        </is>
      </c>
      <c r="B158" s="16" t="inlineStr">
        <is>
          <t>Variables &amp; Environments</t>
        </is>
      </c>
      <c r="C158" s="16" t="inlineStr">
        <is>
          <t>Env</t>
        </is>
      </c>
      <c r="D158" s="16" t="inlineStr">
        <is>
          <t>Functional</t>
        </is>
      </c>
      <c r="E158" s="16" t="inlineStr">
        <is>
          <t>Duplicate env</t>
        </is>
      </c>
      <c r="F158" s="16" t="inlineStr">
        <is>
          <t>Dev has 5 vars.</t>
        </is>
      </c>
      <c r="G158" s="16" t="inlineStr">
        <is>
          <t>1. Duplicate.</t>
        </is>
      </c>
      <c r="H158" s="16" t="inlineStr">
        <is>
          <t>-</t>
        </is>
      </c>
      <c r="I158" s="16" t="inlineStr">
        <is>
          <t>'Dev (copy)' with cloned vars.</t>
        </is>
      </c>
      <c r="J158" s="16" t="inlineStr"/>
      <c r="K158" s="16" t="inlineStr">
        <is>
          <t>Not Run</t>
        </is>
      </c>
      <c r="L158" s="16" t="inlineStr">
        <is>
          <t>Medium</t>
        </is>
      </c>
      <c r="M158" s="16" t="inlineStr"/>
      <c r="N158" s="16" t="inlineStr"/>
      <c r="O158" s="16" t="inlineStr"/>
    </row>
    <row r="159" ht="72" customHeight="1">
      <c r="A159" s="16" t="inlineStr">
        <is>
          <t>TC-VR-0004</t>
        </is>
      </c>
      <c r="B159" s="16" t="inlineStr">
        <is>
          <t>Variables &amp; Environments</t>
        </is>
      </c>
      <c r="C159" s="16" t="inlineStr">
        <is>
          <t>Env</t>
        </is>
      </c>
      <c r="D159" s="16" t="inlineStr">
        <is>
          <t>Functional</t>
        </is>
      </c>
      <c r="E159" s="16" t="inlineStr">
        <is>
          <t>Delete env with confirm</t>
        </is>
      </c>
      <c r="F159" s="16" t="inlineStr">
        <is>
          <t>-</t>
        </is>
      </c>
      <c r="G159" s="16" t="inlineStr">
        <is>
          <t>1. Delete -&gt; Confirm.</t>
        </is>
      </c>
      <c r="H159" s="16" t="inlineStr">
        <is>
          <t>-</t>
        </is>
      </c>
      <c r="I159" s="16" t="inlineStr">
        <is>
          <t>Removed; fallback active.</t>
        </is>
      </c>
      <c r="J159" s="16" t="inlineStr"/>
      <c r="K159" s="16" t="inlineStr">
        <is>
          <t>Not Run</t>
        </is>
      </c>
      <c r="L159" s="16" t="inlineStr">
        <is>
          <t>Medium</t>
        </is>
      </c>
      <c r="M159" s="16" t="inlineStr"/>
      <c r="N159" s="16" t="inlineStr"/>
      <c r="O159" s="16" t="inlineStr"/>
    </row>
    <row r="160" ht="72" customHeight="1">
      <c r="A160" s="16" t="inlineStr">
        <is>
          <t>TC-VR-0005</t>
        </is>
      </c>
      <c r="B160" s="16" t="inlineStr">
        <is>
          <t>Variables &amp; Environments</t>
        </is>
      </c>
      <c r="C160" s="16" t="inlineStr">
        <is>
          <t>Env</t>
        </is>
      </c>
      <c r="D160" s="16" t="inlineStr">
        <is>
          <t>Functional</t>
        </is>
      </c>
      <c r="E160" s="16" t="inlineStr">
        <is>
          <t>Rename env updates refs</t>
        </is>
      </c>
      <c r="F160" s="16" t="inlineStr">
        <is>
          <t>Dev env.</t>
        </is>
      </c>
      <c r="G160" s="16" t="inlineStr">
        <is>
          <t>1. Rename Staging.</t>
        </is>
      </c>
      <c r="H160" s="16" t="inlineStr">
        <is>
          <t>-</t>
        </is>
      </c>
      <c r="I160" s="16" t="inlineStr">
        <is>
          <t>References updated.</t>
        </is>
      </c>
      <c r="J160" s="16" t="inlineStr"/>
      <c r="K160" s="16" t="inlineStr">
        <is>
          <t>Not Run</t>
        </is>
      </c>
      <c r="L160" s="16" t="inlineStr">
        <is>
          <t>Medium</t>
        </is>
      </c>
      <c r="M160" s="16" t="inlineStr"/>
      <c r="N160" s="16" t="inlineStr"/>
      <c r="O160" s="16" t="inlineStr"/>
    </row>
    <row r="161" ht="72" customHeight="1">
      <c r="A161" s="16" t="inlineStr">
        <is>
          <t>TC-VR-0006</t>
        </is>
      </c>
      <c r="B161" s="16" t="inlineStr">
        <is>
          <t>Variables &amp; Environments</t>
        </is>
      </c>
      <c r="C161" s="16" t="inlineStr">
        <is>
          <t>Var</t>
        </is>
      </c>
      <c r="D161" s="16" t="inlineStr">
        <is>
          <t>Functional</t>
        </is>
      </c>
      <c r="E161" s="16" t="inlineStr">
        <is>
          <t>Add plaintext var</t>
        </is>
      </c>
      <c r="F161" s="16" t="inlineStr">
        <is>
          <t>-</t>
        </is>
      </c>
      <c r="G161" s="16" t="inlineStr">
        <is>
          <t>1. baseUrl=https://api.test.</t>
        </is>
      </c>
      <c r="H161" s="16" t="inlineStr">
        <is>
          <t>-</t>
        </is>
      </c>
      <c r="I161" s="16" t="inlineStr">
        <is>
          <t>{{baseUrl}} resolves.</t>
        </is>
      </c>
      <c r="J161" s="16" t="inlineStr"/>
      <c r="K161" s="16" t="inlineStr">
        <is>
          <t>Not Run</t>
        </is>
      </c>
      <c r="L161" s="16" t="inlineStr">
        <is>
          <t>High</t>
        </is>
      </c>
      <c r="M161" s="16" t="inlineStr"/>
      <c r="N161" s="16" t="inlineStr"/>
      <c r="O161" s="16" t="inlineStr"/>
    </row>
    <row r="162" ht="72" customHeight="1">
      <c r="A162" s="16" t="inlineStr">
        <is>
          <t>TC-VR-0007</t>
        </is>
      </c>
      <c r="B162" s="16" t="inlineStr">
        <is>
          <t>Variables &amp; Environments</t>
        </is>
      </c>
      <c r="C162" s="16" t="inlineStr">
        <is>
          <t>Var</t>
        </is>
      </c>
      <c r="D162" s="16" t="inlineStr">
        <is>
          <t>Functional</t>
        </is>
      </c>
      <c r="E162" s="16" t="inlineStr">
        <is>
          <t>Add secret var masked</t>
        </is>
      </c>
      <c r="F162" s="16" t="inlineStr">
        <is>
          <t>-</t>
        </is>
      </c>
      <c r="G162" s="16" t="inlineStr">
        <is>
          <t>1. Row secret=topsecret.</t>
        </is>
      </c>
      <c r="H162" s="16" t="inlineStr">
        <is>
          <t>-</t>
        </is>
      </c>
      <c r="I162" s="16" t="inlineStr">
        <is>
          <t>Masked; encrypted; not pushed.</t>
        </is>
      </c>
      <c r="J162" s="16" t="inlineStr"/>
      <c r="K162" s="16" t="inlineStr">
        <is>
          <t>Not Run</t>
        </is>
      </c>
      <c r="L162" s="16" t="inlineStr">
        <is>
          <t>High</t>
        </is>
      </c>
      <c r="M162" s="16" t="inlineStr"/>
      <c r="N162" s="16" t="inlineStr"/>
      <c r="O162" s="16" t="inlineStr"/>
    </row>
    <row r="163" ht="72" customHeight="1">
      <c r="A163" s="16" t="inlineStr">
        <is>
          <t>TC-VR-0008</t>
        </is>
      </c>
      <c r="B163" s="16" t="inlineStr">
        <is>
          <t>Variables &amp; Environments</t>
        </is>
      </c>
      <c r="C163" s="16" t="inlineStr">
        <is>
          <t>Var</t>
        </is>
      </c>
      <c r="D163" s="16" t="inlineStr">
        <is>
          <t>Functional</t>
        </is>
      </c>
      <c r="E163" s="16" t="inlineStr">
        <is>
          <t>Toggle plaintext-&gt;secret</t>
        </is>
      </c>
      <c r="F163" s="16" t="inlineStr">
        <is>
          <t>Plaintext var.</t>
        </is>
      </c>
      <c r="G163" s="16" t="inlineStr">
        <is>
          <t>1. Toggle secret.</t>
        </is>
      </c>
      <c r="H163" s="16" t="inlineStr">
        <is>
          <t>-</t>
        </is>
      </c>
      <c r="I163" s="16" t="inlineStr">
        <is>
          <t>Encrypted at rest; UI marks secret.</t>
        </is>
      </c>
      <c r="J163" s="16" t="inlineStr"/>
      <c r="K163" s="16" t="inlineStr">
        <is>
          <t>Not Run</t>
        </is>
      </c>
      <c r="L163" s="16" t="inlineStr">
        <is>
          <t>Medium</t>
        </is>
      </c>
      <c r="M163" s="16" t="inlineStr"/>
      <c r="N163" s="16" t="inlineStr"/>
      <c r="O163" s="16" t="inlineStr"/>
    </row>
    <row r="164" ht="72" customHeight="1">
      <c r="A164" s="16" t="inlineStr">
        <is>
          <t>TC-VR-0009</t>
        </is>
      </c>
      <c r="B164" s="16" t="inlineStr">
        <is>
          <t>Variables &amp; Environments</t>
        </is>
      </c>
      <c r="C164" s="16" t="inlineStr">
        <is>
          <t>Var</t>
        </is>
      </c>
      <c r="D164" s="16" t="inlineStr">
        <is>
          <t>Functional</t>
        </is>
      </c>
      <c r="E164" s="16" t="inlineStr">
        <is>
          <t>Toggle secret-&gt;plaintext warns</t>
        </is>
      </c>
      <c r="F164" s="16" t="inlineStr">
        <is>
          <t>-</t>
        </is>
      </c>
      <c r="G164" s="16" t="inlineStr">
        <is>
          <t>1. Toggle off.</t>
        </is>
      </c>
      <c r="H164" s="16" t="inlineStr">
        <is>
          <t>-</t>
        </is>
      </c>
      <c r="I164" s="16" t="inlineStr">
        <is>
          <t>Warning about exposure; confirm required.</t>
        </is>
      </c>
      <c r="J164" s="16" t="inlineStr"/>
      <c r="K164" s="16" t="inlineStr">
        <is>
          <t>Not Run</t>
        </is>
      </c>
      <c r="L164" s="16" t="inlineStr">
        <is>
          <t>Medium</t>
        </is>
      </c>
      <c r="M164" s="16" t="inlineStr"/>
      <c r="N164" s="16" t="inlineStr"/>
      <c r="O164" s="16" t="inlineStr"/>
    </row>
    <row r="165" ht="72" customHeight="1">
      <c r="A165" s="16" t="inlineStr">
        <is>
          <t>TC-VR-0010</t>
        </is>
      </c>
      <c r="B165" s="16" t="inlineStr">
        <is>
          <t>Variables &amp; Environments</t>
        </is>
      </c>
      <c r="C165" s="16" t="inlineStr">
        <is>
          <t>Var</t>
        </is>
      </c>
      <c r="D165" s="16" t="inlineStr">
        <is>
          <t>Functional</t>
        </is>
      </c>
      <c r="E165" s="16" t="inlineStr">
        <is>
          <t>Autocomplete in URL</t>
        </is>
      </c>
      <c r="F165" s="16" t="inlineStr">
        <is>
          <t>-</t>
        </is>
      </c>
      <c r="G165" s="16" t="inlineStr">
        <is>
          <t>1. URL: '{{ba'.</t>
        </is>
      </c>
      <c r="H165" s="16" t="inlineStr">
        <is>
          <t>-</t>
        </is>
      </c>
      <c r="I165" s="16" t="inlineStr">
        <is>
          <t>Popup shows baseUrl.</t>
        </is>
      </c>
      <c r="J165" s="16" t="inlineStr"/>
      <c r="K165" s="16" t="inlineStr">
        <is>
          <t>Not Run</t>
        </is>
      </c>
      <c r="L165" s="16" t="inlineStr">
        <is>
          <t>Medium</t>
        </is>
      </c>
      <c r="M165" s="16" t="inlineStr"/>
      <c r="N165" s="16" t="inlineStr"/>
      <c r="O165" s="16" t="inlineStr"/>
    </row>
    <row r="166" ht="72" customHeight="1">
      <c r="A166" s="16" t="inlineStr">
        <is>
          <t>TC-VR-0011</t>
        </is>
      </c>
      <c r="B166" s="16" t="inlineStr">
        <is>
          <t>Variables &amp; Environments</t>
        </is>
      </c>
      <c r="C166" s="16" t="inlineStr">
        <is>
          <t>Var</t>
        </is>
      </c>
      <c r="D166" s="16" t="inlineStr">
        <is>
          <t>Edge Case</t>
        </is>
      </c>
      <c r="E166" s="16" t="inlineStr">
        <is>
          <t>Special chars in var name</t>
        </is>
      </c>
      <c r="F166" s="16" t="inlineStr">
        <is>
          <t>-</t>
        </is>
      </c>
      <c r="G166" s="16" t="inlineStr">
        <is>
          <t>1. Try '{{evil}}'.</t>
        </is>
      </c>
      <c r="H166" s="16" t="inlineStr">
        <is>
          <t>-</t>
        </is>
      </c>
      <c r="I166" s="16" t="inlineStr">
        <is>
          <t>Rejected or literal.</t>
        </is>
      </c>
      <c r="J166" s="16" t="inlineStr"/>
      <c r="K166" s="16" t="inlineStr">
        <is>
          <t>Not Run</t>
        </is>
      </c>
      <c r="L166" s="16" t="inlineStr">
        <is>
          <t>Low</t>
        </is>
      </c>
      <c r="M166" s="16" t="inlineStr"/>
      <c r="N166" s="16" t="inlineStr"/>
      <c r="O166" s="16" t="inlineStr"/>
    </row>
    <row r="167" ht="72" customHeight="1">
      <c r="A167" s="16" t="inlineStr">
        <is>
          <t>TC-VR-0012</t>
        </is>
      </c>
      <c r="B167" s="16" t="inlineStr">
        <is>
          <t>Variables &amp; Environments</t>
        </is>
      </c>
      <c r="C167" s="16" t="inlineStr">
        <is>
          <t>Var</t>
        </is>
      </c>
      <c r="D167" s="16" t="inlineStr">
        <is>
          <t>Edge Case</t>
        </is>
      </c>
      <c r="E167" s="16" t="inlineStr">
        <is>
          <t>Hyphen in name</t>
        </is>
      </c>
      <c r="F167" s="16" t="inlineStr">
        <is>
          <t>-</t>
        </is>
      </c>
      <c r="G167" s="16" t="inlineStr">
        <is>
          <t>1. Add my-var.</t>
        </is>
      </c>
      <c r="H167" s="16" t="inlineStr">
        <is>
          <t>-</t>
        </is>
      </c>
      <c r="I167" s="16" t="inlineStr">
        <is>
          <t>{{my-var}} resolves.</t>
        </is>
      </c>
      <c r="J167" s="16" t="inlineStr"/>
      <c r="K167" s="16" t="inlineStr">
        <is>
          <t>Not Run</t>
        </is>
      </c>
      <c r="L167" s="16" t="inlineStr">
        <is>
          <t>Low</t>
        </is>
      </c>
      <c r="M167" s="16" t="inlineStr"/>
      <c r="N167" s="16" t="inlineStr"/>
      <c r="O167" s="16" t="inlineStr"/>
    </row>
    <row r="168" ht="72" customHeight="1">
      <c r="A168" s="16" t="inlineStr">
        <is>
          <t>TC-VR-0013</t>
        </is>
      </c>
      <c r="B168" s="16" t="inlineStr">
        <is>
          <t>Variables &amp; Environments</t>
        </is>
      </c>
      <c r="C168" s="16" t="inlineStr">
        <is>
          <t>Var</t>
        </is>
      </c>
      <c r="D168" s="16" t="inlineStr">
        <is>
          <t>Edge Case</t>
        </is>
      </c>
      <c r="E168" s="16" t="inlineStr">
        <is>
          <t>Very long value (1MB)</t>
        </is>
      </c>
      <c r="F168" s="16" t="inlineStr">
        <is>
          <t>-</t>
        </is>
      </c>
      <c r="G168" s="16" t="inlineStr">
        <is>
          <t>1. Reference in body.</t>
        </is>
      </c>
      <c r="H168" s="16" t="inlineStr">
        <is>
          <t>-</t>
        </is>
      </c>
      <c r="I168" s="16" t="inlineStr">
        <is>
          <t>Interpolation works; UI does not freeze.</t>
        </is>
      </c>
      <c r="J168" s="16" t="inlineStr"/>
      <c r="K168" s="16" t="inlineStr">
        <is>
          <t>Not Run</t>
        </is>
      </c>
      <c r="L168" s="16" t="inlineStr">
        <is>
          <t>Low</t>
        </is>
      </c>
      <c r="M168" s="16" t="inlineStr"/>
      <c r="N168" s="16" t="inlineStr"/>
      <c r="O168" s="16" t="inlineStr"/>
    </row>
    <row r="169" ht="72" customHeight="1">
      <c r="A169" s="16" t="inlineStr">
        <is>
          <t>TC-VR-0014</t>
        </is>
      </c>
      <c r="B169" s="16" t="inlineStr">
        <is>
          <t>Variables &amp; Environments</t>
        </is>
      </c>
      <c r="C169" s="16" t="inlineStr">
        <is>
          <t>Scope</t>
        </is>
      </c>
      <c r="D169" s="16" t="inlineStr">
        <is>
          <t>Functional</t>
        </is>
      </c>
      <c r="E169" s="16" t="inlineStr">
        <is>
          <t>Request context overrides env</t>
        </is>
      </c>
      <c r="F169" s="16" t="inlineStr">
        <is>
          <t>-</t>
        </is>
      </c>
      <c r="G169" s="16" t="inlineStr">
        <is>
          <t>1. Script sets x=req; body uses {{x}}.</t>
        </is>
      </c>
      <c r="H169" s="16" t="inlineStr">
        <is>
          <t>-</t>
        </is>
      </c>
      <c r="I169" s="16" t="inlineStr">
        <is>
          <t>Resolves to 'req'.</t>
        </is>
      </c>
      <c r="J169" s="16" t="inlineStr"/>
      <c r="K169" s="16" t="inlineStr">
        <is>
          <t>Not Run</t>
        </is>
      </c>
      <c r="L169" s="16" t="inlineStr">
        <is>
          <t>Medium</t>
        </is>
      </c>
      <c r="M169" s="16" t="inlineStr"/>
      <c r="N169" s="16" t="inlineStr"/>
      <c r="O169" s="16" t="inlineStr"/>
    </row>
    <row r="170" ht="72" customHeight="1">
      <c r="A170" s="16" t="inlineStr">
        <is>
          <t>TC-VR-0015</t>
        </is>
      </c>
      <c r="B170" s="16" t="inlineStr">
        <is>
          <t>Variables &amp; Environments</t>
        </is>
      </c>
      <c r="C170" s="16" t="inlineStr">
        <is>
          <t>Scope</t>
        </is>
      </c>
      <c r="D170" s="16" t="inlineStr">
        <is>
          <t>Functional</t>
        </is>
      </c>
      <c r="E170" s="16" t="inlineStr">
        <is>
          <t>Workspace var fallback</t>
        </is>
      </c>
      <c r="F170" s="16" t="inlineStr">
        <is>
          <t>-</t>
        </is>
      </c>
      <c r="G170" s="16" t="inlineStr">
        <is>
          <t>1. Header uses {{app}}.</t>
        </is>
      </c>
      <c r="H170" s="16" t="inlineStr">
        <is>
          <t>-</t>
        </is>
      </c>
      <c r="I170" s="16" t="inlineStr">
        <is>
          <t>'studio'.</t>
        </is>
      </c>
      <c r="J170" s="16" t="inlineStr"/>
      <c r="K170" s="16" t="inlineStr">
        <is>
          <t>Not Run</t>
        </is>
      </c>
      <c r="L170" s="16" t="inlineStr">
        <is>
          <t>Medium</t>
        </is>
      </c>
      <c r="M170" s="16" t="inlineStr"/>
      <c r="N170" s="16" t="inlineStr"/>
      <c r="O170" s="16" t="inlineStr"/>
    </row>
    <row r="171" ht="72" customHeight="1">
      <c r="A171" s="16" t="inlineStr">
        <is>
          <t>TC-VR-0016</t>
        </is>
      </c>
      <c r="B171" s="16" t="inlineStr">
        <is>
          <t>Variables &amp; Environments</t>
        </is>
      </c>
      <c r="C171" s="16" t="inlineStr">
        <is>
          <t>Scope</t>
        </is>
      </c>
      <c r="D171" s="16" t="inlineStr">
        <is>
          <t>Edge Case</t>
        </is>
      </c>
      <c r="E171" s="16" t="inlineStr">
        <is>
          <t>Linked env per priority</t>
        </is>
      </c>
      <c r="F171" s="16" t="inlineStr">
        <is>
          <t>-</t>
        </is>
      </c>
      <c r="G171" s="16" t="inlineStr">
        <is>
          <t>1. Send.</t>
        </is>
      </c>
      <c r="H171" s="16" t="inlineStr">
        <is>
          <t>-</t>
        </is>
      </c>
      <c r="I171" s="16" t="inlineStr">
        <is>
          <t>Higher priority wins.</t>
        </is>
      </c>
      <c r="J171" s="16" t="inlineStr"/>
      <c r="K171" s="16" t="inlineStr">
        <is>
          <t>Not Run</t>
        </is>
      </c>
      <c r="L171" s="16" t="inlineStr">
        <is>
          <t>Medium</t>
        </is>
      </c>
      <c r="M171" s="16" t="inlineStr"/>
      <c r="N171" s="16" t="inlineStr"/>
      <c r="O171" s="16" t="inlineStr"/>
    </row>
    <row r="172" ht="72" customHeight="1">
      <c r="A172" s="16" t="inlineStr">
        <is>
          <t>TC-VR-0017</t>
        </is>
      </c>
      <c r="B172" s="16" t="inlineStr">
        <is>
          <t>Variables &amp; Environments</t>
        </is>
      </c>
      <c r="C172" s="16" t="inlineStr">
        <is>
          <t>Resolution</t>
        </is>
      </c>
      <c r="D172" s="16" t="inlineStr">
        <is>
          <t>Edge Case</t>
        </is>
      </c>
      <c r="E172" s="16" t="inlineStr">
        <is>
          <t>Circular ref no loop</t>
        </is>
      </c>
      <c r="F172" s="16" t="inlineStr">
        <is>
          <t>-</t>
        </is>
      </c>
      <c r="G172" s="16" t="inlineStr">
        <is>
          <t>1. Use {{a}} where a-&gt;b-&gt;a.</t>
        </is>
      </c>
      <c r="H172" s="16" t="inlineStr">
        <is>
          <t>-</t>
        </is>
      </c>
      <c r="I172" s="16" t="inlineStr">
        <is>
          <t>Terminates; literal or empty.</t>
        </is>
      </c>
      <c r="J172" s="16" t="inlineStr"/>
      <c r="K172" s="16" t="inlineStr">
        <is>
          <t>Not Run</t>
        </is>
      </c>
      <c r="L172" s="16" t="inlineStr">
        <is>
          <t>Medium</t>
        </is>
      </c>
      <c r="M172" s="16" t="inlineStr"/>
      <c r="N172" s="16" t="inlineStr"/>
      <c r="O172" s="16" t="inlineStr"/>
    </row>
    <row r="173" ht="72" customHeight="1">
      <c r="A173" s="16" t="inlineStr">
        <is>
          <t>TC-VR-0018</t>
        </is>
      </c>
      <c r="B173" s="16" t="inlineStr">
        <is>
          <t>Variables &amp; Environments</t>
        </is>
      </c>
      <c r="C173" s="16" t="inlineStr">
        <is>
          <t>Linked Env</t>
        </is>
      </c>
      <c r="D173" s="16" t="inlineStr">
        <is>
          <t>UX/UI</t>
        </is>
      </c>
      <c r="E173" s="16" t="inlineStr">
        <is>
          <t>Drag reorder priority</t>
        </is>
      </c>
      <c r="F173" s="16" t="inlineStr">
        <is>
          <t>-</t>
        </is>
      </c>
      <c r="G173" s="16" t="inlineStr">
        <is>
          <t>1. Drag link #2 above #1.</t>
        </is>
      </c>
      <c r="H173" s="16" t="inlineStr">
        <is>
          <t>-</t>
        </is>
      </c>
      <c r="I173" s="16" t="inlineStr">
        <is>
          <t>Order persists.</t>
        </is>
      </c>
      <c r="J173" s="16" t="inlineStr"/>
      <c r="K173" s="16" t="inlineStr">
        <is>
          <t>Not Run</t>
        </is>
      </c>
      <c r="L173" s="16" t="inlineStr">
        <is>
          <t>Low</t>
        </is>
      </c>
      <c r="M173" s="16" t="inlineStr"/>
      <c r="N173" s="16" t="inlineStr"/>
      <c r="O173" s="16" t="inlineStr"/>
    </row>
    <row r="174" ht="72" customHeight="1">
      <c r="A174" s="16" t="inlineStr">
        <is>
          <t>TC-VR-0019</t>
        </is>
      </c>
      <c r="B174" s="16" t="inlineStr">
        <is>
          <t>Variables &amp; Environments</t>
        </is>
      </c>
      <c r="C174" s="16" t="inlineStr">
        <is>
          <t>Linked Env</t>
        </is>
      </c>
      <c r="D174" s="16" t="inlineStr">
        <is>
          <t>Functional</t>
        </is>
      </c>
      <c r="E174" s="16" t="inlineStr">
        <is>
          <t>Consumer override</t>
        </is>
      </c>
      <c r="F174" s="16" t="inlineStr">
        <is>
          <t>-</t>
        </is>
      </c>
      <c r="G174" s="16" t="inlineStr">
        <is>
          <t>1. Override token=mine.</t>
        </is>
      </c>
      <c r="H174" s="16" t="inlineStr">
        <is>
          <t>-</t>
        </is>
      </c>
      <c r="I174" s="16" t="inlineStr">
        <is>
          <t>Resolves to mine; upstream unchanged.</t>
        </is>
      </c>
      <c r="J174" s="16" t="inlineStr"/>
      <c r="K174" s="16" t="inlineStr">
        <is>
          <t>Not Run</t>
        </is>
      </c>
      <c r="L174" s="16" t="inlineStr">
        <is>
          <t>Medium</t>
        </is>
      </c>
      <c r="M174" s="16" t="inlineStr"/>
      <c r="N174" s="16" t="inlineStr"/>
      <c r="O174" s="16" t="inlineStr"/>
    </row>
    <row r="175" ht="72" customHeight="1">
      <c r="A175" s="16" t="inlineStr">
        <is>
          <t>TC-VR-0020</t>
        </is>
      </c>
      <c r="B175" s="16" t="inlineStr">
        <is>
          <t>Variables &amp; Environments</t>
        </is>
      </c>
      <c r="C175" s="16" t="inlineStr">
        <is>
          <t>Encryption</t>
        </is>
      </c>
      <c r="D175" s="16" t="inlineStr">
        <is>
          <t>Security</t>
        </is>
      </c>
      <c r="E175" s="16" t="inlineStr">
        <is>
          <t>Passphrase AES-GCM</t>
        </is>
      </c>
      <c r="F175" s="16" t="inlineStr">
        <is>
          <t>-</t>
        </is>
      </c>
      <c r="G175" s="16" t="inlineStr">
        <is>
          <t>1. Inspect IndexedDB.</t>
        </is>
      </c>
      <c r="H175" s="16" t="inlineStr">
        <is>
          <t>-</t>
        </is>
      </c>
      <c r="I175" s="16" t="inlineStr">
        <is>
          <t>Secret values ciphertext; master JWK wrapped.</t>
        </is>
      </c>
      <c r="J175" s="16" t="inlineStr"/>
      <c r="K175" s="16" t="inlineStr">
        <is>
          <t>Not Run</t>
        </is>
      </c>
      <c r="L175" s="16" t="inlineStr">
        <is>
          <t>High</t>
        </is>
      </c>
      <c r="M175" s="16" t="inlineStr"/>
      <c r="N175" s="16" t="inlineStr"/>
      <c r="O175" s="16" t="inlineStr"/>
    </row>
    <row r="176" ht="72" customHeight="1">
      <c r="A176" s="16" t="inlineStr">
        <is>
          <t>TC-VR-0021</t>
        </is>
      </c>
      <c r="B176" s="16" t="inlineStr">
        <is>
          <t>Variables &amp; Environments</t>
        </is>
      </c>
      <c r="C176" s="16" t="inlineStr">
        <is>
          <t>Encryption</t>
        </is>
      </c>
      <c r="D176" s="16" t="inlineStr">
        <is>
          <t>Negative</t>
        </is>
      </c>
      <c r="E176" s="16" t="inlineStr">
        <is>
          <t>Master JWK plaintext in IDB</t>
        </is>
      </c>
      <c r="F176" s="16" t="inlineStr">
        <is>
          <t>-</t>
        </is>
      </c>
      <c r="G176" s="16" t="inlineStr">
        <is>
          <t>1. Inspect.</t>
        </is>
      </c>
      <c r="H176" s="16" t="inlineStr">
        <is>
          <t>-</t>
        </is>
      </c>
      <c r="I176" s="16" t="inlineStr">
        <is>
          <t>Plaintext JWK present (web limitation); secrets remain wrapped; risk disclosed.</t>
        </is>
      </c>
      <c r="J176" s="16" t="inlineStr"/>
      <c r="K176" s="16" t="inlineStr">
        <is>
          <t>Not Run</t>
        </is>
      </c>
      <c r="L176" s="16" t="inlineStr">
        <is>
          <t>Medium</t>
        </is>
      </c>
      <c r="M176" s="16" t="inlineStr"/>
      <c r="N176" s="16" t="inlineStr"/>
      <c r="O176" s="16" t="inlineStr"/>
    </row>
    <row r="177" ht="72" customHeight="1">
      <c r="A177" s="16" t="inlineStr">
        <is>
          <t>TC-VR-0022</t>
        </is>
      </c>
      <c r="B177" s="16" t="inlineStr">
        <is>
          <t>Variables &amp; Environments</t>
        </is>
      </c>
      <c r="C177" s="16" t="inlineStr">
        <is>
          <t>Passphrase</t>
        </is>
      </c>
      <c r="D177" s="16" t="inlineStr">
        <is>
          <t>Functional</t>
        </is>
      </c>
      <c r="E177" s="16" t="inlineStr">
        <is>
          <t>Change passphrase rewraps</t>
        </is>
      </c>
      <c r="F177" s="16" t="inlineStr">
        <is>
          <t>-</t>
        </is>
      </c>
      <c r="G177" s="16" t="inlineStr">
        <is>
          <t>1. Change passphrase.</t>
        </is>
      </c>
      <c r="H177" s="16" t="inlineStr">
        <is>
          <t>-</t>
        </is>
      </c>
      <c r="I177" s="16" t="inlineStr">
        <is>
          <t>Secrets re-encrypted; old no longer works.</t>
        </is>
      </c>
      <c r="J177" s="16" t="inlineStr"/>
      <c r="K177" s="16" t="inlineStr">
        <is>
          <t>Not Run</t>
        </is>
      </c>
      <c r="L177" s="16" t="inlineStr">
        <is>
          <t>High</t>
        </is>
      </c>
      <c r="M177" s="16" t="inlineStr"/>
      <c r="N177" s="16" t="inlineStr"/>
      <c r="O177" s="16" t="inlineStr"/>
    </row>
    <row r="178" ht="72" customHeight="1">
      <c r="A178" s="16" t="inlineStr">
        <is>
          <t>TC-RP-0001</t>
        </is>
      </c>
      <c r="B178" s="16" t="inlineStr">
        <is>
          <t>Response Panel</t>
        </is>
      </c>
      <c r="C178" s="16" t="inlineStr">
        <is>
          <t>Status</t>
        </is>
      </c>
      <c r="D178" s="16" t="inlineStr">
        <is>
          <t>Functional</t>
        </is>
      </c>
      <c r="E178" s="16" t="inlineStr">
        <is>
          <t>200 OK badge</t>
        </is>
      </c>
      <c r="F178" s="16" t="inlineStr">
        <is>
          <t>-</t>
        </is>
      </c>
      <c r="G178" s="16" t="inlineStr">
        <is>
          <t>1. Send 200.</t>
        </is>
      </c>
      <c r="H178" s="16" t="inlineStr">
        <is>
          <t>-</t>
        </is>
      </c>
      <c r="I178" s="16" t="inlineStr">
        <is>
          <t>Green badge; time/size.</t>
        </is>
      </c>
      <c r="J178" s="16" t="inlineStr"/>
      <c r="K178" s="16" t="inlineStr">
        <is>
          <t>Not Run</t>
        </is>
      </c>
      <c r="L178" s="16" t="inlineStr">
        <is>
          <t>High</t>
        </is>
      </c>
      <c r="M178" s="16" t="inlineStr"/>
      <c r="N178" s="16" t="inlineStr"/>
      <c r="O178" s="16" t="inlineStr"/>
    </row>
    <row r="179" ht="72" customHeight="1">
      <c r="A179" s="16" t="inlineStr">
        <is>
          <t>TC-RP-0002</t>
        </is>
      </c>
      <c r="B179" s="16" t="inlineStr">
        <is>
          <t>Response Panel</t>
        </is>
      </c>
      <c r="C179" s="16" t="inlineStr">
        <is>
          <t>Status</t>
        </is>
      </c>
      <c r="D179" s="16" t="inlineStr">
        <is>
          <t>Functional</t>
        </is>
      </c>
      <c r="E179" s="16" t="inlineStr">
        <is>
          <t>Non-2xx red badge</t>
        </is>
      </c>
      <c r="F179" s="16" t="inlineStr">
        <is>
          <t>-</t>
        </is>
      </c>
      <c r="G179" s="16" t="inlineStr">
        <is>
          <t>1. Send 404.</t>
        </is>
      </c>
      <c r="H179" s="16" t="inlineStr">
        <is>
          <t>-</t>
        </is>
      </c>
      <c r="I179" s="16" t="inlineStr">
        <is>
          <t>Red badge; body rendered.</t>
        </is>
      </c>
      <c r="J179" s="16" t="inlineStr"/>
      <c r="K179" s="16" t="inlineStr">
        <is>
          <t>Not Run</t>
        </is>
      </c>
      <c r="L179" s="16" t="inlineStr">
        <is>
          <t>Medium</t>
        </is>
      </c>
      <c r="M179" s="16" t="inlineStr"/>
      <c r="N179" s="16" t="inlineStr"/>
      <c r="O179" s="16" t="inlineStr"/>
    </row>
    <row r="180" ht="72" customHeight="1">
      <c r="A180" s="16" t="inlineStr">
        <is>
          <t>TC-RP-0003</t>
        </is>
      </c>
      <c r="B180" s="16" t="inlineStr">
        <is>
          <t>Response Panel</t>
        </is>
      </c>
      <c r="C180" s="16" t="inlineStr">
        <is>
          <t>Status</t>
        </is>
      </c>
      <c r="D180" s="16" t="inlineStr">
        <is>
          <t>Functional</t>
        </is>
      </c>
      <c r="E180" s="16" t="inlineStr">
        <is>
          <t>5xx error badge</t>
        </is>
      </c>
      <c r="F180" s="16" t="inlineStr">
        <is>
          <t>-</t>
        </is>
      </c>
      <c r="G180" s="16" t="inlineStr">
        <is>
          <t>1. Send 500.</t>
        </is>
      </c>
      <c r="H180" s="16" t="inlineStr">
        <is>
          <t>-</t>
        </is>
      </c>
      <c r="I180" s="16" t="inlineStr">
        <is>
          <t>Error badge; body rendered.</t>
        </is>
      </c>
      <c r="J180" s="16" t="inlineStr"/>
      <c r="K180" s="16" t="inlineStr">
        <is>
          <t>Not Run</t>
        </is>
      </c>
      <c r="L180" s="16" t="inlineStr">
        <is>
          <t>Medium</t>
        </is>
      </c>
      <c r="M180" s="16" t="inlineStr"/>
      <c r="N180" s="16" t="inlineStr"/>
      <c r="O180" s="16" t="inlineStr"/>
    </row>
    <row r="181" ht="72" customHeight="1">
      <c r="A181" s="16" t="inlineStr">
        <is>
          <t>TC-RP-0004</t>
        </is>
      </c>
      <c r="B181" s="16" t="inlineStr">
        <is>
          <t>Response Panel</t>
        </is>
      </c>
      <c r="C181" s="16" t="inlineStr">
        <is>
          <t>Status</t>
        </is>
      </c>
      <c r="D181" s="16" t="inlineStr">
        <is>
          <t>Functional</t>
        </is>
      </c>
      <c r="E181" s="16" t="inlineStr">
        <is>
          <t>301/302/307/308 redirects shown</t>
        </is>
      </c>
      <c r="F181" s="16" t="inlineStr">
        <is>
          <t>-</t>
        </is>
      </c>
      <c r="G181" s="16" t="inlineStr">
        <is>
          <t>1. Send to redirecting endpoint.</t>
        </is>
      </c>
      <c r="H181" s="16" t="inlineStr">
        <is>
          <t>-</t>
        </is>
      </c>
      <c r="I181" s="16" t="inlineStr">
        <is>
          <t>Final status; redirect chain optionally inspectable.</t>
        </is>
      </c>
      <c r="J181" s="16" t="inlineStr"/>
      <c r="K181" s="16" t="inlineStr">
        <is>
          <t>Not Run</t>
        </is>
      </c>
      <c r="L181" s="16" t="inlineStr">
        <is>
          <t>Medium</t>
        </is>
      </c>
      <c r="M181" s="16" t="inlineStr"/>
      <c r="N181" s="16" t="inlineStr"/>
      <c r="O181" s="16" t="inlineStr"/>
    </row>
    <row r="182" ht="72" customHeight="1">
      <c r="A182" s="16" t="inlineStr">
        <is>
          <t>TC-RP-0005</t>
        </is>
      </c>
      <c r="B182" s="16" t="inlineStr">
        <is>
          <t>Response Panel</t>
        </is>
      </c>
      <c r="C182" s="16" t="inlineStr">
        <is>
          <t>Body Viewer</t>
        </is>
      </c>
      <c r="D182" s="16" t="inlineStr">
        <is>
          <t>Functional</t>
        </is>
      </c>
      <c r="E182" s="16" t="inlineStr">
        <is>
          <t>Pretty/Raw/Preview toggle</t>
        </is>
      </c>
      <c r="F182" s="16" t="inlineStr">
        <is>
          <t>JSON resp.</t>
        </is>
      </c>
      <c r="G182" s="16" t="inlineStr">
        <is>
          <t>1. Toggle modes.</t>
        </is>
      </c>
      <c r="H182" s="16" t="inlineStr">
        <is>
          <t>-</t>
        </is>
      </c>
      <c r="I182" s="16" t="inlineStr">
        <is>
          <t>Pretty prints; Raw minified; Preview highlighted.</t>
        </is>
      </c>
      <c r="J182" s="16" t="inlineStr"/>
      <c r="K182" s="16" t="inlineStr">
        <is>
          <t>Not Run</t>
        </is>
      </c>
      <c r="L182" s="16" t="inlineStr">
        <is>
          <t>High</t>
        </is>
      </c>
      <c r="M182" s="16" t="inlineStr"/>
      <c r="N182" s="16" t="inlineStr"/>
      <c r="O182" s="16" t="inlineStr"/>
    </row>
    <row r="183" ht="72" customHeight="1">
      <c r="A183" s="16" t="inlineStr">
        <is>
          <t>TC-RP-0006</t>
        </is>
      </c>
      <c r="B183" s="16" t="inlineStr">
        <is>
          <t>Response Panel</t>
        </is>
      </c>
      <c r="C183" s="16" t="inlineStr">
        <is>
          <t>Body Viewer</t>
        </is>
      </c>
      <c r="D183" s="16" t="inlineStr">
        <is>
          <t>Edge Case</t>
        </is>
      </c>
      <c r="E183" s="16" t="inlineStr">
        <is>
          <t>Preview cap on large</t>
        </is>
      </c>
      <c r="F183" s="16" t="inlineStr">
        <is>
          <t>-</t>
        </is>
      </c>
      <c r="G183" s="16" t="inlineStr">
        <is>
          <t>1. Send &gt;1MB.</t>
        </is>
      </c>
      <c r="H183" s="16" t="inlineStr">
        <is>
          <t>-</t>
        </is>
      </c>
      <c r="I183" s="16" t="inlineStr">
        <is>
          <t>Preview capped; download offered; viewer responsive.</t>
        </is>
      </c>
      <c r="J183" s="16" t="inlineStr"/>
      <c r="K183" s="16" t="inlineStr">
        <is>
          <t>Not Run</t>
        </is>
      </c>
      <c r="L183" s="16" t="inlineStr">
        <is>
          <t>Medium</t>
        </is>
      </c>
      <c r="M183" s="16" t="inlineStr"/>
      <c r="N183" s="16" t="inlineStr"/>
      <c r="O183" s="16" t="inlineStr"/>
    </row>
    <row r="184" ht="72" customHeight="1">
      <c r="A184" s="16" t="inlineStr">
        <is>
          <t>TC-RP-0007</t>
        </is>
      </c>
      <c r="B184" s="16" t="inlineStr">
        <is>
          <t>Response Panel</t>
        </is>
      </c>
      <c r="C184" s="16" t="inlineStr">
        <is>
          <t>Body Viewer</t>
        </is>
      </c>
      <c r="D184" s="16" t="inlineStr">
        <is>
          <t>Edge Case</t>
        </is>
      </c>
      <c r="E184" s="16" t="inlineStr">
        <is>
          <t>Binary preview shows hex/download</t>
        </is>
      </c>
      <c r="F184" s="16" t="inlineStr">
        <is>
          <t>-</t>
        </is>
      </c>
      <c r="G184" s="16" t="inlineStr">
        <is>
          <t>1. Send returning binary.</t>
        </is>
      </c>
      <c r="H184" s="16" t="inlineStr">
        <is>
          <t>-</t>
        </is>
      </c>
      <c r="I184" s="16" t="inlineStr">
        <is>
          <t>Hex preview or download CTA; not garbled text.</t>
        </is>
      </c>
      <c r="J184" s="16" t="inlineStr"/>
      <c r="K184" s="16" t="inlineStr">
        <is>
          <t>Not Run</t>
        </is>
      </c>
      <c r="L184" s="16" t="inlineStr">
        <is>
          <t>Medium</t>
        </is>
      </c>
      <c r="M184" s="16" t="inlineStr"/>
      <c r="N184" s="16" t="inlineStr"/>
      <c r="O184" s="16" t="inlineStr"/>
    </row>
    <row r="185" ht="72" customHeight="1">
      <c r="A185" s="16" t="inlineStr">
        <is>
          <t>TC-RP-0008</t>
        </is>
      </c>
      <c r="B185" s="16" t="inlineStr">
        <is>
          <t>Response Panel</t>
        </is>
      </c>
      <c r="C185" s="16" t="inlineStr">
        <is>
          <t>Headers</t>
        </is>
      </c>
      <c r="D185" s="16" t="inlineStr">
        <is>
          <t>Functional</t>
        </is>
      </c>
      <c r="E185" s="16" t="inlineStr">
        <is>
          <t>Headers tab</t>
        </is>
      </c>
      <c r="F185" s="16" t="inlineStr">
        <is>
          <t>-</t>
        </is>
      </c>
      <c r="G185" s="16" t="inlineStr">
        <is>
          <t>1. Open Headers.</t>
        </is>
      </c>
      <c r="H185" s="16" t="inlineStr">
        <is>
          <t>-</t>
        </is>
      </c>
      <c r="I185" s="16" t="inlineStr">
        <is>
          <t>Key-value table; copy works; case preserved.</t>
        </is>
      </c>
      <c r="J185" s="16" t="inlineStr"/>
      <c r="K185" s="16" t="inlineStr">
        <is>
          <t>Not Run</t>
        </is>
      </c>
      <c r="L185" s="16" t="inlineStr">
        <is>
          <t>Medium</t>
        </is>
      </c>
      <c r="M185" s="16" t="inlineStr"/>
      <c r="N185" s="16" t="inlineStr"/>
      <c r="O185" s="16" t="inlineStr"/>
    </row>
    <row r="186" ht="72" customHeight="1">
      <c r="A186" s="16" t="inlineStr">
        <is>
          <t>TC-RP-0009</t>
        </is>
      </c>
      <c r="B186" s="16" t="inlineStr">
        <is>
          <t>Response Panel</t>
        </is>
      </c>
      <c r="C186" s="16" t="inlineStr">
        <is>
          <t>Cookies</t>
        </is>
      </c>
      <c r="D186" s="16" t="inlineStr">
        <is>
          <t>Functional</t>
        </is>
      </c>
      <c r="E186" s="16" t="inlineStr">
        <is>
          <t>Set-Cookie populates jar</t>
        </is>
      </c>
      <c r="F186" s="16" t="inlineStr">
        <is>
          <t>-</t>
        </is>
      </c>
      <c r="G186" s="16" t="inlineStr">
        <is>
          <t>1. Send with Set-Cookie.</t>
        </is>
      </c>
      <c r="H186" s="16" t="inlineStr">
        <is>
          <t>-</t>
        </is>
      </c>
      <c r="I186" s="16" t="inlineStr">
        <is>
          <t>Cookie listed under domain.</t>
        </is>
      </c>
      <c r="J186" s="16" t="inlineStr"/>
      <c r="K186" s="16" t="inlineStr">
        <is>
          <t>Not Run</t>
        </is>
      </c>
      <c r="L186" s="16" t="inlineStr">
        <is>
          <t>High</t>
        </is>
      </c>
      <c r="M186" s="16" t="inlineStr"/>
      <c r="N186" s="16" t="inlineStr"/>
      <c r="O186" s="16" t="inlineStr"/>
    </row>
    <row r="187" ht="72" customHeight="1">
      <c r="A187" s="16" t="inlineStr">
        <is>
          <t>TC-RP-0010</t>
        </is>
      </c>
      <c r="B187" s="16" t="inlineStr">
        <is>
          <t>Response Panel</t>
        </is>
      </c>
      <c r="C187" s="16" t="inlineStr">
        <is>
          <t>Transformations</t>
        </is>
      </c>
      <c r="D187" s="16" t="inlineStr">
        <is>
          <t>Functional</t>
        </is>
      </c>
      <c r="E187" s="16" t="inlineStr">
        <is>
          <t>TOON/YAML/CSV savings</t>
        </is>
      </c>
      <c r="F187" s="16" t="inlineStr">
        <is>
          <t>JSON resp.</t>
        </is>
      </c>
      <c r="G187" s="16" t="inlineStr">
        <is>
          <t>1. View badges.</t>
        </is>
      </c>
      <c r="H187" s="16" t="inlineStr">
        <is>
          <t>-</t>
        </is>
      </c>
      <c r="I187" s="16" t="inlineStr">
        <is>
          <t>Each format shows percent vs minified JSON.</t>
        </is>
      </c>
      <c r="J187" s="16" t="inlineStr"/>
      <c r="K187" s="16" t="inlineStr">
        <is>
          <t>Not Run</t>
        </is>
      </c>
      <c r="L187" s="16" t="inlineStr">
        <is>
          <t>Medium</t>
        </is>
      </c>
      <c r="M187" s="16" t="inlineStr"/>
      <c r="N187" s="16" t="inlineStr"/>
      <c r="O187" s="16" t="inlineStr"/>
    </row>
    <row r="188" ht="72" customHeight="1">
      <c r="A188" s="16" t="inlineStr">
        <is>
          <t>TC-RP-0011</t>
        </is>
      </c>
      <c r="B188" s="16" t="inlineStr">
        <is>
          <t>Response Panel</t>
        </is>
      </c>
      <c r="C188" s="16" t="inlineStr">
        <is>
          <t>Transformations</t>
        </is>
      </c>
      <c r="D188" s="16" t="inlineStr">
        <is>
          <t>Functional</t>
        </is>
      </c>
      <c r="E188" s="16" t="inlineStr">
        <is>
          <t>Switch to YAML preview</t>
        </is>
      </c>
      <c r="F188" s="16" t="inlineStr">
        <is>
          <t>-</t>
        </is>
      </c>
      <c r="G188" s="16" t="inlineStr">
        <is>
          <t>1. Click 'as YAML'.</t>
        </is>
      </c>
      <c r="H188" s="16" t="inlineStr">
        <is>
          <t>-</t>
        </is>
      </c>
      <c r="I188" s="16" t="inlineStr">
        <is>
          <t>YAML rendered; back to JSON works.</t>
        </is>
      </c>
      <c r="J188" s="16" t="inlineStr"/>
      <c r="K188" s="16" t="inlineStr">
        <is>
          <t>Not Run</t>
        </is>
      </c>
      <c r="L188" s="16" t="inlineStr">
        <is>
          <t>Low</t>
        </is>
      </c>
      <c r="M188" s="16" t="inlineStr"/>
      <c r="N188" s="16" t="inlineStr"/>
      <c r="O188" s="16" t="inlineStr"/>
    </row>
    <row r="189" ht="72" customHeight="1">
      <c r="A189" s="16" t="inlineStr">
        <is>
          <t>TC-RP-0012</t>
        </is>
      </c>
      <c r="B189" s="16" t="inlineStr">
        <is>
          <t>Response Panel</t>
        </is>
      </c>
      <c r="C189" s="16" t="inlineStr">
        <is>
          <t>Transformations</t>
        </is>
      </c>
      <c r="D189" s="16" t="inlineStr">
        <is>
          <t>Edge Case</t>
        </is>
      </c>
      <c r="E189" s="16" t="inlineStr">
        <is>
          <t>Savings vs minified not pretty</t>
        </is>
      </c>
      <c r="F189" s="16" t="inlineStr">
        <is>
          <t>Pretty JSON shown.</t>
        </is>
      </c>
      <c r="G189" s="16" t="inlineStr">
        <is>
          <t>1. View badges.</t>
        </is>
      </c>
      <c r="H189" s="16" t="inlineStr">
        <is>
          <t>-</t>
        </is>
      </c>
      <c r="I189" s="16" t="inlineStr">
        <is>
          <t>Savings computed vs minified bytes (not pretty).</t>
        </is>
      </c>
      <c r="J189" s="16" t="inlineStr"/>
      <c r="K189" s="16" t="inlineStr">
        <is>
          <t>Not Run</t>
        </is>
      </c>
      <c r="L189" s="16" t="inlineStr">
        <is>
          <t>Medium</t>
        </is>
      </c>
      <c r="M189" s="16" t="inlineStr"/>
      <c r="N189" s="16" t="inlineStr"/>
      <c r="O189" s="16" t="inlineStr"/>
    </row>
    <row r="190" ht="72" customHeight="1">
      <c r="A190" s="16" t="inlineStr">
        <is>
          <t>TC-RP-0013</t>
        </is>
      </c>
      <c r="B190" s="16" t="inlineStr">
        <is>
          <t>Response Panel</t>
        </is>
      </c>
      <c r="C190" s="16" t="inlineStr">
        <is>
          <t>Download</t>
        </is>
      </c>
      <c r="D190" s="16" t="inlineStr">
        <is>
          <t>Functional</t>
        </is>
      </c>
      <c r="E190" s="16" t="inlineStr">
        <is>
          <t>Download body</t>
        </is>
      </c>
      <c r="F190" s="16" t="inlineStr">
        <is>
          <t>-</t>
        </is>
      </c>
      <c r="G190" s="16" t="inlineStr">
        <is>
          <t>1. Click Download.</t>
        </is>
      </c>
      <c r="H190" s="16" t="inlineStr">
        <is>
          <t>-</t>
        </is>
      </c>
      <c r="I190" s="16" t="inlineStr">
        <is>
          <t>Save flow opens; bytes match.</t>
        </is>
      </c>
      <c r="J190" s="16" t="inlineStr"/>
      <c r="K190" s="16" t="inlineStr">
        <is>
          <t>Not Run</t>
        </is>
      </c>
      <c r="L190" s="16" t="inlineStr">
        <is>
          <t>Medium</t>
        </is>
      </c>
      <c r="M190" s="16" t="inlineStr"/>
      <c r="N190" s="16" t="inlineStr"/>
      <c r="O190" s="16" t="inlineStr"/>
    </row>
    <row r="191" ht="72" customHeight="1">
      <c r="A191" s="16" t="inlineStr">
        <is>
          <t>TC-RP-0014</t>
        </is>
      </c>
      <c r="B191" s="16" t="inlineStr">
        <is>
          <t>Response Panel</t>
        </is>
      </c>
      <c r="C191" s="16" t="inlineStr">
        <is>
          <t>Snapshots</t>
        </is>
      </c>
      <c r="D191" s="16" t="inlineStr">
        <is>
          <t>Functional</t>
        </is>
      </c>
      <c r="E191" s="16" t="inlineStr">
        <is>
          <t>Timeline picker</t>
        </is>
      </c>
      <c r="F191" s="16" t="inlineStr">
        <is>
          <t>Multiple runs.</t>
        </is>
      </c>
      <c r="G191" s="16" t="inlineStr">
        <is>
          <t>1. Pick older.</t>
        </is>
      </c>
      <c r="H191" s="16" t="inlineStr">
        <is>
          <t>-</t>
        </is>
      </c>
      <c r="I191" s="16" t="inlineStr">
        <is>
          <t>Body viewer swaps; status/time/size update.</t>
        </is>
      </c>
      <c r="J191" s="16" t="inlineStr"/>
      <c r="K191" s="16" t="inlineStr">
        <is>
          <t>Not Run</t>
        </is>
      </c>
      <c r="L191" s="16" t="inlineStr">
        <is>
          <t>Medium</t>
        </is>
      </c>
      <c r="M191" s="16" t="inlineStr"/>
      <c r="N191" s="16" t="inlineStr"/>
      <c r="O191" s="16" t="inlineStr"/>
    </row>
    <row r="192" ht="72" customHeight="1">
      <c r="A192" s="16" t="inlineStr">
        <is>
          <t>TC-RP-0015</t>
        </is>
      </c>
      <c r="B192" s="16" t="inlineStr">
        <is>
          <t>Response Panel</t>
        </is>
      </c>
      <c r="C192" s="16" t="inlineStr">
        <is>
          <t>Error</t>
        </is>
      </c>
      <c r="D192" s="16" t="inlineStr">
        <is>
          <t>Negative</t>
        </is>
      </c>
      <c r="E192" s="16" t="inlineStr">
        <is>
          <t>Network error renders error state</t>
        </is>
      </c>
      <c r="F192" s="16" t="inlineStr">
        <is>
          <t>-</t>
        </is>
      </c>
      <c r="G192" s="16" t="inlineStr">
        <is>
          <t>1. Send to non-routable.</t>
        </is>
      </c>
      <c r="H192" s="16" t="inlineStr">
        <is>
          <t>-</t>
        </is>
      </c>
      <c r="I192" s="16" t="inlineStr">
        <is>
          <t>Clear error; not blank.</t>
        </is>
      </c>
      <c r="J192" s="16" t="inlineStr"/>
      <c r="K192" s="16" t="inlineStr">
        <is>
          <t>Not Run</t>
        </is>
      </c>
      <c r="L192" s="16" t="inlineStr">
        <is>
          <t>High</t>
        </is>
      </c>
      <c r="M192" s="16" t="inlineStr"/>
      <c r="N192" s="16" t="inlineStr"/>
      <c r="O192" s="16" t="inlineStr"/>
    </row>
    <row r="193" ht="72" customHeight="1">
      <c r="A193" s="16" t="inlineStr">
        <is>
          <t>TC-RP-0016</t>
        </is>
      </c>
      <c r="B193" s="16" t="inlineStr">
        <is>
          <t>Response Panel</t>
        </is>
      </c>
      <c r="C193" s="16" t="inlineStr">
        <is>
          <t>Render</t>
        </is>
      </c>
      <c r="D193" s="16" t="inlineStr">
        <is>
          <t>Security</t>
        </is>
      </c>
      <c r="E193" s="16" t="inlineStr">
        <is>
          <t>HTML preview sandboxed</t>
        </is>
      </c>
      <c r="F193" s="16" t="inlineStr">
        <is>
          <t>-</t>
        </is>
      </c>
      <c r="G193" s="16" t="inlineStr">
        <is>
          <t>1. Send response with &lt;script&gt;.</t>
        </is>
      </c>
      <c r="H193" s="16" t="inlineStr">
        <is>
          <t>-</t>
        </is>
      </c>
      <c r="I193" s="16" t="inlineStr">
        <is>
          <t>Script does NOT execute; rendered in sandbox or escaped.</t>
        </is>
      </c>
      <c r="J193" s="16" t="inlineStr"/>
      <c r="K193" s="16" t="inlineStr">
        <is>
          <t>Not Run</t>
        </is>
      </c>
      <c r="L193" s="16" t="inlineStr">
        <is>
          <t>High</t>
        </is>
      </c>
      <c r="M193" s="16" t="inlineStr"/>
      <c r="N193" s="16" t="inlineStr"/>
      <c r="O193" s="16" t="inlineStr"/>
    </row>
    <row r="194" ht="72" customHeight="1">
      <c r="A194" s="16" t="inlineStr">
        <is>
          <t>TC-RP-0017</t>
        </is>
      </c>
      <c r="B194" s="16" t="inlineStr">
        <is>
          <t>Response Panel</t>
        </is>
      </c>
      <c r="C194" s="16" t="inlineStr">
        <is>
          <t>CORS</t>
        </is>
      </c>
      <c r="D194" s="16" t="inlineStr">
        <is>
          <t>Negative</t>
        </is>
      </c>
      <c r="E194" s="16" t="inlineStr">
        <is>
          <t>Cross-origin without CORS</t>
        </is>
      </c>
      <c r="F194" s="16" t="inlineStr">
        <is>
          <t>-</t>
        </is>
      </c>
      <c r="G194" s="16" t="inlineStr">
        <is>
          <t>1. Send to no-CORS endpoint.</t>
        </is>
      </c>
      <c r="H194" s="16" t="inlineStr">
        <is>
          <t>-</t>
        </is>
      </c>
      <c r="I194" s="16" t="inlineStr">
        <is>
          <t>Browser blocks; clear actionable error.</t>
        </is>
      </c>
      <c r="J194" s="16" t="inlineStr"/>
      <c r="K194" s="16" t="inlineStr">
        <is>
          <t>Not Run</t>
        </is>
      </c>
      <c r="L194" s="16" t="inlineStr">
        <is>
          <t>High</t>
        </is>
      </c>
      <c r="M194" s="16" t="inlineStr"/>
      <c r="N194" s="16" t="inlineStr"/>
      <c r="O194" s="16" t="inlineStr"/>
    </row>
    <row r="195" ht="72" customHeight="1">
      <c r="A195" s="16" t="inlineStr">
        <is>
          <t>TC-RP-0018</t>
        </is>
      </c>
      <c r="B195" s="16" t="inlineStr">
        <is>
          <t>Response Panel</t>
        </is>
      </c>
      <c r="C195" s="16" t="inlineStr">
        <is>
          <t>Mixed Content</t>
        </is>
      </c>
      <c r="D195" s="16" t="inlineStr">
        <is>
          <t>Negative</t>
        </is>
      </c>
      <c r="E195" s="16" t="inlineStr">
        <is>
          <t>http from https app</t>
        </is>
      </c>
      <c r="F195" s="16" t="inlineStr">
        <is>
          <t>-</t>
        </is>
      </c>
      <c r="G195" s="16" t="inlineStr">
        <is>
          <t>1. Send http endpoint.</t>
        </is>
      </c>
      <c r="H195" s="16" t="inlineStr">
        <is>
          <t>-</t>
        </is>
      </c>
      <c r="I195" s="16" t="inlineStr">
        <is>
          <t>Browser blocks; clear message.</t>
        </is>
      </c>
      <c r="J195" s="16" t="inlineStr"/>
      <c r="K195" s="16" t="inlineStr">
        <is>
          <t>Not Run</t>
        </is>
      </c>
      <c r="L195" s="16" t="inlineStr">
        <is>
          <t>High</t>
        </is>
      </c>
      <c r="M195" s="16" t="inlineStr"/>
      <c r="N195" s="16" t="inlineStr"/>
      <c r="O195" s="16" t="inlineStr"/>
    </row>
    <row r="196" ht="72" customHeight="1">
      <c r="A196" s="16" t="inlineStr">
        <is>
          <t>TC-SC-0001</t>
        </is>
      </c>
      <c r="B196" s="16" t="inlineStr">
        <is>
          <t>Pre-request Scripts &amp; Tests</t>
        </is>
      </c>
      <c r="C196" s="16" t="inlineStr">
        <is>
          <t>Pre-request</t>
        </is>
      </c>
      <c r="D196" s="16" t="inlineStr">
        <is>
          <t>Functional</t>
        </is>
      </c>
      <c r="E196" s="16" t="inlineStr">
        <is>
          <t>pm.variables.set persists</t>
        </is>
      </c>
      <c r="F196" s="16" t="inlineStr">
        <is>
          <t>-</t>
        </is>
      </c>
      <c r="G196" s="16" t="inlineStr">
        <is>
          <t>1. Body uses {{token}}; Send.</t>
        </is>
      </c>
      <c r="H196" s="16" t="inlineStr">
        <is>
          <t>-</t>
        </is>
      </c>
      <c r="I196" s="16" t="inlineStr">
        <is>
          <t>'xyz' in body.</t>
        </is>
      </c>
      <c r="J196" s="16" t="inlineStr"/>
      <c r="K196" s="16" t="inlineStr">
        <is>
          <t>Not Run</t>
        </is>
      </c>
      <c r="L196" s="16" t="inlineStr">
        <is>
          <t>High</t>
        </is>
      </c>
      <c r="M196" s="16" t="inlineStr"/>
      <c r="N196" s="16" t="inlineStr"/>
      <c r="O196" s="16" t="inlineStr"/>
    </row>
    <row r="197" ht="72" customHeight="1">
      <c r="A197" s="16" t="inlineStr">
        <is>
          <t>TC-SC-0002</t>
        </is>
      </c>
      <c r="B197" s="16" t="inlineStr">
        <is>
          <t>Pre-request Scripts &amp; Tests</t>
        </is>
      </c>
      <c r="C197" s="16" t="inlineStr">
        <is>
          <t>Pre-request</t>
        </is>
      </c>
      <c r="D197" s="16" t="inlineStr">
        <is>
          <t>Negative</t>
        </is>
      </c>
      <c r="E197" s="16" t="inlineStr">
        <is>
          <t>Runtime error aborts send</t>
        </is>
      </c>
      <c r="F197" s="16" t="inlineStr">
        <is>
          <t>-</t>
        </is>
      </c>
      <c r="G197" s="16" t="inlineStr">
        <is>
          <t>1. Script throws.</t>
        </is>
      </c>
      <c r="H197" s="16" t="inlineStr">
        <is>
          <t>-</t>
        </is>
      </c>
      <c r="I197" s="16" t="inlineStr">
        <is>
          <t>Error surfaces; HTTP not sent.</t>
        </is>
      </c>
      <c r="J197" s="16" t="inlineStr"/>
      <c r="K197" s="16" t="inlineStr">
        <is>
          <t>Not Run</t>
        </is>
      </c>
      <c r="L197" s="16" t="inlineStr">
        <is>
          <t>High</t>
        </is>
      </c>
      <c r="M197" s="16" t="inlineStr"/>
      <c r="N197" s="16" t="inlineStr"/>
      <c r="O197" s="16" t="inlineStr"/>
    </row>
    <row r="198" ht="72" customHeight="1">
      <c r="A198" s="16" t="inlineStr">
        <is>
          <t>TC-SC-0003</t>
        </is>
      </c>
      <c r="B198" s="16" t="inlineStr">
        <is>
          <t>Pre-request Scripts &amp; Tests</t>
        </is>
      </c>
      <c r="C198" s="16" t="inlineStr">
        <is>
          <t>Console</t>
        </is>
      </c>
      <c r="D198" s="16" t="inlineStr">
        <is>
          <t>Functional</t>
        </is>
      </c>
      <c r="E198" s="16" t="inlineStr">
        <is>
          <t>console.log appears</t>
        </is>
      </c>
      <c r="F198" s="16" t="inlineStr">
        <is>
          <t>-</t>
        </is>
      </c>
      <c r="G198" s="16" t="inlineStr">
        <is>
          <t>1. Send.</t>
        </is>
      </c>
      <c r="H198" s="16" t="inlineStr">
        <is>
          <t>-</t>
        </is>
      </c>
      <c r="I198" s="16" t="inlineStr">
        <is>
          <t>Line in console with timestamp.</t>
        </is>
      </c>
      <c r="J198" s="16" t="inlineStr"/>
      <c r="K198" s="16" t="inlineStr">
        <is>
          <t>Not Run</t>
        </is>
      </c>
      <c r="L198" s="16" t="inlineStr">
        <is>
          <t>Medium</t>
        </is>
      </c>
      <c r="M198" s="16" t="inlineStr"/>
      <c r="N198" s="16" t="inlineStr"/>
      <c r="O198" s="16" t="inlineStr"/>
    </row>
    <row r="199" ht="72" customHeight="1">
      <c r="A199" s="16" t="inlineStr">
        <is>
          <t>TC-SC-0004</t>
        </is>
      </c>
      <c r="B199" s="16" t="inlineStr">
        <is>
          <t>Pre-request Scripts &amp; Tests</t>
        </is>
      </c>
      <c r="C199" s="16" t="inlineStr">
        <is>
          <t>Sandbox</t>
        </is>
      </c>
      <c r="D199" s="16" t="inlineStr">
        <is>
          <t>Security</t>
        </is>
      </c>
      <c r="E199" s="16" t="inlineStr">
        <is>
          <t>No access to window</t>
        </is>
      </c>
      <c r="F199" s="16" t="inlineStr">
        <is>
          <t>-</t>
        </is>
      </c>
      <c r="G199" s="16" t="inlineStr">
        <is>
          <t>1. Try window.foo=1.</t>
        </is>
      </c>
      <c r="H199" s="16" t="inlineStr">
        <is>
          <t>-</t>
        </is>
      </c>
      <c r="I199" s="16" t="inlineStr">
        <is>
          <t>Isolated; no global pollution.</t>
        </is>
      </c>
      <c r="J199" s="16" t="inlineStr"/>
      <c r="K199" s="16" t="inlineStr">
        <is>
          <t>Not Run</t>
        </is>
      </c>
      <c r="L199" s="16" t="inlineStr">
        <is>
          <t>High</t>
        </is>
      </c>
      <c r="M199" s="16" t="inlineStr"/>
      <c r="N199" s="16" t="inlineStr"/>
      <c r="O199" s="16" t="inlineStr"/>
    </row>
    <row r="200" ht="72" customHeight="1">
      <c r="A200" s="16" t="inlineStr">
        <is>
          <t>TC-SC-0005</t>
        </is>
      </c>
      <c r="B200" s="16" t="inlineStr">
        <is>
          <t>Pre-request Scripts &amp; Tests</t>
        </is>
      </c>
      <c r="C200" s="16" t="inlineStr">
        <is>
          <t>Tests</t>
        </is>
      </c>
      <c r="D200" s="16" t="inlineStr">
        <is>
          <t>Functional</t>
        </is>
      </c>
      <c r="E200" s="16" t="inlineStr">
        <is>
          <t>Status==200</t>
        </is>
      </c>
      <c r="F200" s="16" t="inlineStr">
        <is>
          <t>-</t>
        </is>
      </c>
      <c r="G200" s="16" t="inlineStr">
        <is>
          <t>1. Add assertion; Send 200.</t>
        </is>
      </c>
      <c r="H200" s="16" t="inlineStr">
        <is>
          <t>-</t>
        </is>
      </c>
      <c r="I200" s="16" t="inlineStr">
        <is>
          <t>Pass; 1/1.</t>
        </is>
      </c>
      <c r="J200" s="16" t="inlineStr"/>
      <c r="K200" s="16" t="inlineStr">
        <is>
          <t>Not Run</t>
        </is>
      </c>
      <c r="L200" s="16" t="inlineStr">
        <is>
          <t>High</t>
        </is>
      </c>
      <c r="M200" s="16" t="inlineStr"/>
      <c r="N200" s="16" t="inlineStr"/>
      <c r="O200" s="16" t="inlineStr"/>
    </row>
    <row r="201" ht="72" customHeight="1">
      <c r="A201" s="16" t="inlineStr">
        <is>
          <t>TC-SC-0006</t>
        </is>
      </c>
      <c r="B201" s="16" t="inlineStr">
        <is>
          <t>Pre-request Scripts &amp; Tests</t>
        </is>
      </c>
      <c r="C201" s="16" t="inlineStr">
        <is>
          <t>Tests</t>
        </is>
      </c>
      <c r="D201" s="16" t="inlineStr">
        <is>
          <t>Functional</t>
        </is>
      </c>
      <c r="E201" s="16" t="inlineStr">
        <is>
          <t>JSON path</t>
        </is>
      </c>
      <c r="F201" s="16" t="inlineStr">
        <is>
          <t>-</t>
        </is>
      </c>
      <c r="G201" s="16" t="inlineStr">
        <is>
          <t>1. body.id==42; Send.</t>
        </is>
      </c>
      <c r="H201" s="16" t="inlineStr">
        <is>
          <t>-</t>
        </is>
      </c>
      <c r="I201" s="16" t="inlineStr">
        <is>
          <t>Pass.</t>
        </is>
      </c>
      <c r="J201" s="16" t="inlineStr"/>
      <c r="K201" s="16" t="inlineStr">
        <is>
          <t>Not Run</t>
        </is>
      </c>
      <c r="L201" s="16" t="inlineStr">
        <is>
          <t>High</t>
        </is>
      </c>
      <c r="M201" s="16" t="inlineStr"/>
      <c r="N201" s="16" t="inlineStr"/>
      <c r="O201" s="16" t="inlineStr"/>
    </row>
    <row r="202" ht="72" customHeight="1">
      <c r="A202" s="16" t="inlineStr">
        <is>
          <t>TC-SC-0007</t>
        </is>
      </c>
      <c r="B202" s="16" t="inlineStr">
        <is>
          <t>Pre-request Scripts &amp; Tests</t>
        </is>
      </c>
      <c r="C202" s="16" t="inlineStr">
        <is>
          <t>Tests</t>
        </is>
      </c>
      <c r="D202" s="16" t="inlineStr">
        <is>
          <t>Negative</t>
        </is>
      </c>
      <c r="E202" s="16" t="inlineStr">
        <is>
          <t>Failing assertion red</t>
        </is>
      </c>
      <c r="F202" s="16" t="inlineStr">
        <is>
          <t>-</t>
        </is>
      </c>
      <c r="G202" s="16" t="inlineStr">
        <is>
          <t>1. status==200; Send 404.</t>
        </is>
      </c>
      <c r="H202" s="16" t="inlineStr">
        <is>
          <t>-</t>
        </is>
      </c>
      <c r="I202" s="16" t="inlineStr">
        <is>
          <t>Fail; 0/1.</t>
        </is>
      </c>
      <c r="J202" s="16" t="inlineStr"/>
      <c r="K202" s="16" t="inlineStr">
        <is>
          <t>Not Run</t>
        </is>
      </c>
      <c r="L202" s="16" t="inlineStr">
        <is>
          <t>Medium</t>
        </is>
      </c>
      <c r="M202" s="16" t="inlineStr"/>
      <c r="N202" s="16" t="inlineStr"/>
      <c r="O202" s="16" t="inlineStr"/>
    </row>
    <row r="203" ht="72" customHeight="1">
      <c r="A203" s="16" t="inlineStr">
        <is>
          <t>TC-SC-0008</t>
        </is>
      </c>
      <c r="B203" s="16" t="inlineStr">
        <is>
          <t>Pre-request Scripts &amp; Tests</t>
        </is>
      </c>
      <c r="C203" s="16" t="inlineStr">
        <is>
          <t>Tests</t>
        </is>
      </c>
      <c r="D203" s="16" t="inlineStr">
        <is>
          <t>Functional</t>
        </is>
      </c>
      <c r="E203" s="16" t="inlineStr">
        <is>
          <t>Regex matches</t>
        </is>
      </c>
      <c r="F203" s="16" t="inlineStr">
        <is>
          <t>-</t>
        </is>
      </c>
      <c r="G203" s="16" t="inlineStr">
        <is>
          <t>1. body.email matches.</t>
        </is>
      </c>
      <c r="H203" s="16" t="inlineStr">
        <is>
          <t>-</t>
        </is>
      </c>
      <c r="I203" s="16" t="inlineStr">
        <is>
          <t>Pass.</t>
        </is>
      </c>
      <c r="J203" s="16" t="inlineStr"/>
      <c r="K203" s="16" t="inlineStr">
        <is>
          <t>Not Run</t>
        </is>
      </c>
      <c r="L203" s="16" t="inlineStr">
        <is>
          <t>Medium</t>
        </is>
      </c>
      <c r="M203" s="16" t="inlineStr"/>
      <c r="N203" s="16" t="inlineStr"/>
      <c r="O203" s="16" t="inlineStr"/>
    </row>
    <row r="204" ht="72" customHeight="1">
      <c r="A204" s="16" t="inlineStr">
        <is>
          <t>TC-SC-0009</t>
        </is>
      </c>
      <c r="B204" s="16" t="inlineStr">
        <is>
          <t>Pre-request Scripts &amp; Tests</t>
        </is>
      </c>
      <c r="C204" s="16" t="inlineStr">
        <is>
          <t>Tests</t>
        </is>
      </c>
      <c r="D204" s="16" t="inlineStr">
        <is>
          <t>Edge Case</t>
        </is>
      </c>
      <c r="E204" s="16" t="inlineStr">
        <is>
          <t>Missing JSON path</t>
        </is>
      </c>
      <c r="F204" s="16" t="inlineStr">
        <is>
          <t>-</t>
        </is>
      </c>
      <c r="G204" s="16" t="inlineStr">
        <is>
          <t>1. body.b==2 against {a:1}.</t>
        </is>
      </c>
      <c r="H204" s="16" t="inlineStr">
        <is>
          <t>-</t>
        </is>
      </c>
      <c r="I204" s="16" t="inlineStr">
        <is>
          <t>Fails gracefully; actual undefined.</t>
        </is>
      </c>
      <c r="J204" s="16" t="inlineStr"/>
      <c r="K204" s="16" t="inlineStr">
        <is>
          <t>Not Run</t>
        </is>
      </c>
      <c r="L204" s="16" t="inlineStr">
        <is>
          <t>Medium</t>
        </is>
      </c>
      <c r="M204" s="16" t="inlineStr"/>
      <c r="N204" s="16" t="inlineStr"/>
      <c r="O204" s="16" t="inlineStr"/>
    </row>
    <row r="205" ht="72" customHeight="1">
      <c r="A205" s="16" t="inlineStr">
        <is>
          <t>TC-SC-0010</t>
        </is>
      </c>
      <c r="B205" s="16" t="inlineStr">
        <is>
          <t>Pre-request Scripts &amp; Tests</t>
        </is>
      </c>
      <c r="C205" s="16" t="inlineStr">
        <is>
          <t>Tests</t>
        </is>
      </c>
      <c r="D205" s="16" t="inlineStr">
        <is>
          <t>Edge Case</t>
        </is>
      </c>
      <c r="E205" s="16" t="inlineStr">
        <is>
          <t>Duration assertion</t>
        </is>
      </c>
      <c r="F205" s="16" t="inlineStr">
        <is>
          <t>-</t>
        </is>
      </c>
      <c r="G205" s="16" t="inlineStr">
        <is>
          <t>1. responseTime lt 1000.</t>
        </is>
      </c>
      <c r="H205" s="16" t="inlineStr">
        <is>
          <t>-</t>
        </is>
      </c>
      <c r="I205" s="16" t="inlineStr">
        <is>
          <t>Passes if within 1s; reports ms.</t>
        </is>
      </c>
      <c r="J205" s="16" t="inlineStr"/>
      <c r="K205" s="16" t="inlineStr">
        <is>
          <t>Not Run</t>
        </is>
      </c>
      <c r="L205" s="16" t="inlineStr">
        <is>
          <t>Low</t>
        </is>
      </c>
      <c r="M205" s="16" t="inlineStr"/>
      <c r="N205" s="16" t="inlineStr"/>
      <c r="O205" s="16" t="inlineStr"/>
    </row>
    <row r="206" ht="72" customHeight="1">
      <c r="A206" s="16" t="inlineStr">
        <is>
          <t>TC-SC-0011</t>
        </is>
      </c>
      <c r="B206" s="16" t="inlineStr">
        <is>
          <t>Pre-request Scripts &amp; Tests</t>
        </is>
      </c>
      <c r="C206" s="16" t="inlineStr">
        <is>
          <t>Tests</t>
        </is>
      </c>
      <c r="D206" s="16" t="inlineStr">
        <is>
          <t>Edge Case</t>
        </is>
      </c>
      <c r="E206" s="16" t="inlineStr">
        <is>
          <t>Header presence/value</t>
        </is>
      </c>
      <c r="F206" s="16" t="inlineStr">
        <is>
          <t>-</t>
        </is>
      </c>
      <c r="G206" s="16" t="inlineStr">
        <is>
          <t>1. Header contains 'json'.</t>
        </is>
      </c>
      <c r="H206" s="16" t="inlineStr">
        <is>
          <t>-</t>
        </is>
      </c>
      <c r="I206" s="16" t="inlineStr">
        <is>
          <t>Passes if matches.</t>
        </is>
      </c>
      <c r="J206" s="16" t="inlineStr"/>
      <c r="K206" s="16" t="inlineStr">
        <is>
          <t>Not Run</t>
        </is>
      </c>
      <c r="L206" s="16" t="inlineStr">
        <is>
          <t>Medium</t>
        </is>
      </c>
      <c r="M206" s="16" t="inlineStr"/>
      <c r="N206" s="16" t="inlineStr"/>
      <c r="O206" s="16" t="inlineStr"/>
    </row>
    <row r="207" ht="72" customHeight="1">
      <c r="A207" s="16" t="inlineStr">
        <is>
          <t>TC-HS-0001</t>
        </is>
      </c>
      <c r="B207" s="16" t="inlineStr">
        <is>
          <t>History</t>
        </is>
      </c>
      <c r="C207" s="16" t="inlineStr">
        <is>
          <t>Log</t>
        </is>
      </c>
      <c r="D207" s="16" t="inlineStr">
        <is>
          <t>Functional</t>
        </is>
      </c>
      <c r="E207" s="16" t="inlineStr">
        <is>
          <t>Each send -&gt; entry</t>
        </is>
      </c>
      <c r="F207" s="16" t="inlineStr">
        <is>
          <t>-</t>
        </is>
      </c>
      <c r="G207" s="16" t="inlineStr">
        <is>
          <t>1. Send 3.</t>
        </is>
      </c>
      <c r="H207" s="16" t="inlineStr">
        <is>
          <t>-</t>
        </is>
      </c>
      <c r="I207" s="16" t="inlineStr">
        <is>
          <t>3 entries newest first.</t>
        </is>
      </c>
      <c r="J207" s="16" t="inlineStr"/>
      <c r="K207" s="16" t="inlineStr">
        <is>
          <t>Not Run</t>
        </is>
      </c>
      <c r="L207" s="16" t="inlineStr">
        <is>
          <t>High</t>
        </is>
      </c>
      <c r="M207" s="16" t="inlineStr"/>
      <c r="N207" s="16" t="inlineStr"/>
      <c r="O207" s="16" t="inlineStr"/>
    </row>
    <row r="208" ht="72" customHeight="1">
      <c r="A208" s="16" t="inlineStr">
        <is>
          <t>TC-HS-0002</t>
        </is>
      </c>
      <c r="B208" s="16" t="inlineStr">
        <is>
          <t>History</t>
        </is>
      </c>
      <c r="C208" s="16" t="inlineStr">
        <is>
          <t>Buckets</t>
        </is>
      </c>
      <c r="D208" s="16" t="inlineStr">
        <is>
          <t>UX/UI</t>
        </is>
      </c>
      <c r="E208" s="16" t="inlineStr">
        <is>
          <t>Date buckets</t>
        </is>
      </c>
      <c r="F208" s="16" t="inlineStr">
        <is>
          <t>-</t>
        </is>
      </c>
      <c r="G208" s="16" t="inlineStr">
        <is>
          <t>1. Open.</t>
        </is>
      </c>
      <c r="H208" s="16" t="inlineStr">
        <is>
          <t>-</t>
        </is>
      </c>
      <c r="I208" s="16" t="inlineStr">
        <is>
          <t>Today/Yesterday/Last 7 days groupings.</t>
        </is>
      </c>
      <c r="J208" s="16" t="inlineStr"/>
      <c r="K208" s="16" t="inlineStr">
        <is>
          <t>Not Run</t>
        </is>
      </c>
      <c r="L208" s="16" t="inlineStr">
        <is>
          <t>Medium</t>
        </is>
      </c>
      <c r="M208" s="16" t="inlineStr"/>
      <c r="N208" s="16" t="inlineStr"/>
      <c r="O208" s="16" t="inlineStr"/>
    </row>
    <row r="209" ht="72" customHeight="1">
      <c r="A209" s="16" t="inlineStr">
        <is>
          <t>TC-HS-0003</t>
        </is>
      </c>
      <c r="B209" s="16" t="inlineStr">
        <is>
          <t>History</t>
        </is>
      </c>
      <c r="C209" s="16" t="inlineStr">
        <is>
          <t>Filter</t>
        </is>
      </c>
      <c r="D209" s="16" t="inlineStr">
        <is>
          <t>Functional</t>
        </is>
      </c>
      <c r="E209" s="16" t="inlineStr">
        <is>
          <t>Filter status range</t>
        </is>
      </c>
      <c r="F209" s="16" t="inlineStr">
        <is>
          <t>-</t>
        </is>
      </c>
      <c r="G209" s="16" t="inlineStr">
        <is>
          <t>1. Filter 4xx.</t>
        </is>
      </c>
      <c r="H209" s="16" t="inlineStr">
        <is>
          <t>-</t>
        </is>
      </c>
      <c r="I209" s="16" t="inlineStr">
        <is>
          <t>Only 4xx; counts update.</t>
        </is>
      </c>
      <c r="J209" s="16" t="inlineStr"/>
      <c r="K209" s="16" t="inlineStr">
        <is>
          <t>Not Run</t>
        </is>
      </c>
      <c r="L209" s="16" t="inlineStr">
        <is>
          <t>Medium</t>
        </is>
      </c>
      <c r="M209" s="16" t="inlineStr"/>
      <c r="N209" s="16" t="inlineStr"/>
      <c r="O209" s="16" t="inlineStr"/>
    </row>
    <row r="210" ht="72" customHeight="1">
      <c r="A210" s="16" t="inlineStr">
        <is>
          <t>TC-HS-0004</t>
        </is>
      </c>
      <c r="B210" s="16" t="inlineStr">
        <is>
          <t>History</t>
        </is>
      </c>
      <c r="C210" s="16" t="inlineStr">
        <is>
          <t>Filter</t>
        </is>
      </c>
      <c r="D210" s="16" t="inlineStr">
        <is>
          <t>Functional</t>
        </is>
      </c>
      <c r="E210" s="16" t="inlineStr">
        <is>
          <t>Filter by method</t>
        </is>
      </c>
      <c r="F210" s="16" t="inlineStr">
        <is>
          <t>-</t>
        </is>
      </c>
      <c r="G210" s="16" t="inlineStr">
        <is>
          <t>1. POST.</t>
        </is>
      </c>
      <c r="H210" s="16" t="inlineStr">
        <is>
          <t>-</t>
        </is>
      </c>
      <c r="I210" s="16" t="inlineStr">
        <is>
          <t>Only POST.</t>
        </is>
      </c>
      <c r="J210" s="16" t="inlineStr"/>
      <c r="K210" s="16" t="inlineStr">
        <is>
          <t>Not Run</t>
        </is>
      </c>
      <c r="L210" s="16" t="inlineStr">
        <is>
          <t>Low</t>
        </is>
      </c>
      <c r="M210" s="16" t="inlineStr"/>
      <c r="N210" s="16" t="inlineStr"/>
      <c r="O210" s="16" t="inlineStr"/>
    </row>
    <row r="211" ht="72" customHeight="1">
      <c r="A211" s="16" t="inlineStr">
        <is>
          <t>TC-HS-0005</t>
        </is>
      </c>
      <c r="B211" s="16" t="inlineStr">
        <is>
          <t>History</t>
        </is>
      </c>
      <c r="C211" s="16" t="inlineStr">
        <is>
          <t>Filter</t>
        </is>
      </c>
      <c r="D211" s="16" t="inlineStr">
        <is>
          <t>Functional</t>
        </is>
      </c>
      <c r="E211" s="16" t="inlineStr">
        <is>
          <t>Filter URL substring</t>
        </is>
      </c>
      <c r="F211" s="16" t="inlineStr">
        <is>
          <t>-</t>
        </is>
      </c>
      <c r="G211" s="16" t="inlineStr">
        <is>
          <t>1. Search 'users'.</t>
        </is>
      </c>
      <c r="H211" s="16" t="inlineStr">
        <is>
          <t>-</t>
        </is>
      </c>
      <c r="I211" s="16" t="inlineStr">
        <is>
          <t>Only matching.</t>
        </is>
      </c>
      <c r="J211" s="16" t="inlineStr"/>
      <c r="K211" s="16" t="inlineStr">
        <is>
          <t>Not Run</t>
        </is>
      </c>
      <c r="L211" s="16" t="inlineStr">
        <is>
          <t>Low</t>
        </is>
      </c>
      <c r="M211" s="16" t="inlineStr"/>
      <c r="N211" s="16" t="inlineStr"/>
      <c r="O211" s="16" t="inlineStr"/>
    </row>
    <row r="212" ht="72" customHeight="1">
      <c r="A212" s="16" t="inlineStr">
        <is>
          <t>TC-HS-0006</t>
        </is>
      </c>
      <c r="B212" s="16" t="inlineStr">
        <is>
          <t>History</t>
        </is>
      </c>
      <c r="C212" s="16" t="inlineStr">
        <is>
          <t>Filter</t>
        </is>
      </c>
      <c r="D212" s="16" t="inlineStr">
        <is>
          <t>Functional</t>
        </is>
      </c>
      <c r="E212" s="16" t="inlineStr">
        <is>
          <t>Date-range filter</t>
        </is>
      </c>
      <c r="F212" s="16" t="inlineStr">
        <is>
          <t>-</t>
        </is>
      </c>
      <c r="G212" s="16" t="inlineStr">
        <is>
          <t>1. From-to picker.</t>
        </is>
      </c>
      <c r="H212" s="16" t="inlineStr">
        <is>
          <t>-</t>
        </is>
      </c>
      <c r="I212" s="16" t="inlineStr">
        <is>
          <t>Only entries in range.</t>
        </is>
      </c>
      <c r="J212" s="16" t="inlineStr"/>
      <c r="K212" s="16" t="inlineStr">
        <is>
          <t>Not Run</t>
        </is>
      </c>
      <c r="L212" s="16" t="inlineStr">
        <is>
          <t>Medium</t>
        </is>
      </c>
      <c r="M212" s="16" t="inlineStr"/>
      <c r="N212" s="16" t="inlineStr"/>
      <c r="O212" s="16" t="inlineStr"/>
    </row>
    <row r="213" ht="72" customHeight="1">
      <c r="A213" s="16" t="inlineStr">
        <is>
          <t>TC-HS-0007</t>
        </is>
      </c>
      <c r="B213" s="16" t="inlineStr">
        <is>
          <t>History</t>
        </is>
      </c>
      <c r="C213" s="16" t="inlineStr">
        <is>
          <t>Replay</t>
        </is>
      </c>
      <c r="D213" s="16" t="inlineStr">
        <is>
          <t>Functional</t>
        </is>
      </c>
      <c r="E213" s="16" t="inlineStr">
        <is>
          <t>Replay restores state</t>
        </is>
      </c>
      <c r="F213" s="16" t="inlineStr">
        <is>
          <t>-</t>
        </is>
      </c>
      <c r="G213" s="16" t="inlineStr">
        <is>
          <t>1. Click Replay.</t>
        </is>
      </c>
      <c r="H213" s="16" t="inlineStr">
        <is>
          <t>-</t>
        </is>
      </c>
      <c r="I213" s="16" t="inlineStr">
        <is>
          <t>Editor restores state; can re-send.</t>
        </is>
      </c>
      <c r="J213" s="16" t="inlineStr"/>
      <c r="K213" s="16" t="inlineStr">
        <is>
          <t>Not Run</t>
        </is>
      </c>
      <c r="L213" s="16" t="inlineStr">
        <is>
          <t>Medium</t>
        </is>
      </c>
      <c r="M213" s="16" t="inlineStr"/>
      <c r="N213" s="16" t="inlineStr"/>
      <c r="O213" s="16" t="inlineStr"/>
    </row>
    <row r="214" ht="72" customHeight="1">
      <c r="A214" s="16" t="inlineStr">
        <is>
          <t>TC-HS-0008</t>
        </is>
      </c>
      <c r="B214" s="16" t="inlineStr">
        <is>
          <t>History</t>
        </is>
      </c>
      <c r="C214" s="16" t="inlineStr">
        <is>
          <t>Delete</t>
        </is>
      </c>
      <c r="D214" s="16" t="inlineStr">
        <is>
          <t>Functional</t>
        </is>
      </c>
      <c r="E214" s="16" t="inlineStr">
        <is>
          <t>Delete one run</t>
        </is>
      </c>
      <c r="F214" s="16" t="inlineStr">
        <is>
          <t>-</t>
        </is>
      </c>
      <c r="G214" s="16" t="inlineStr">
        <is>
          <t>1. Delete -&gt; Confirm.</t>
        </is>
      </c>
      <c r="H214" s="16" t="inlineStr">
        <is>
          <t>-</t>
        </is>
      </c>
      <c r="I214" s="16" t="inlineStr">
        <is>
          <t>Removed.</t>
        </is>
      </c>
      <c r="J214" s="16" t="inlineStr"/>
      <c r="K214" s="16" t="inlineStr">
        <is>
          <t>Not Run</t>
        </is>
      </c>
      <c r="L214" s="16" t="inlineStr">
        <is>
          <t>Low</t>
        </is>
      </c>
      <c r="M214" s="16" t="inlineStr"/>
      <c r="N214" s="16" t="inlineStr"/>
      <c r="O214" s="16" t="inlineStr"/>
    </row>
    <row r="215" ht="72" customHeight="1">
      <c r="A215" s="16" t="inlineStr">
        <is>
          <t>TC-HS-0009</t>
        </is>
      </c>
      <c r="B215" s="16" t="inlineStr">
        <is>
          <t>History</t>
        </is>
      </c>
      <c r="C215" s="16" t="inlineStr">
        <is>
          <t>Clear</t>
        </is>
      </c>
      <c r="D215" s="16" t="inlineStr">
        <is>
          <t>Functional</t>
        </is>
      </c>
      <c r="E215" s="16" t="inlineStr">
        <is>
          <t>Clear all</t>
        </is>
      </c>
      <c r="F215" s="16" t="inlineStr">
        <is>
          <t>-</t>
        </is>
      </c>
      <c r="G215" s="16" t="inlineStr">
        <is>
          <t>1. Clear -&gt; Confirm.</t>
        </is>
      </c>
      <c r="H215" s="16" t="inlineStr">
        <is>
          <t>-</t>
        </is>
      </c>
      <c r="I215" s="16" t="inlineStr">
        <is>
          <t>Empty state.</t>
        </is>
      </c>
      <c r="J215" s="16" t="inlineStr"/>
      <c r="K215" s="16" t="inlineStr">
        <is>
          <t>Not Run</t>
        </is>
      </c>
      <c r="L215" s="16" t="inlineStr">
        <is>
          <t>Medium</t>
        </is>
      </c>
      <c r="M215" s="16" t="inlineStr"/>
      <c r="N215" s="16" t="inlineStr"/>
      <c r="O215" s="16" t="inlineStr"/>
    </row>
    <row r="216" ht="72" customHeight="1">
      <c r="A216" s="16" t="inlineStr">
        <is>
          <t>TC-HS-0010</t>
        </is>
      </c>
      <c r="B216" s="16" t="inlineStr">
        <is>
          <t>History</t>
        </is>
      </c>
      <c r="C216" s="16" t="inlineStr">
        <is>
          <t>Persistence</t>
        </is>
      </c>
      <c r="D216" s="16" t="inlineStr">
        <is>
          <t>Functional</t>
        </is>
      </c>
      <c r="E216" s="16" t="inlineStr">
        <is>
          <t>Survives reload</t>
        </is>
      </c>
      <c r="F216" s="16" t="inlineStr">
        <is>
          <t>-</t>
        </is>
      </c>
      <c r="G216" s="16" t="inlineStr">
        <is>
          <t>1. Reload.</t>
        </is>
      </c>
      <c r="H216" s="16" t="inlineStr">
        <is>
          <t>-</t>
        </is>
      </c>
      <c r="I216" s="16" t="inlineStr">
        <is>
          <t>Entries intact.</t>
        </is>
      </c>
      <c r="J216" s="16" t="inlineStr"/>
      <c r="K216" s="16" t="inlineStr">
        <is>
          <t>Not Run</t>
        </is>
      </c>
      <c r="L216" s="16" t="inlineStr">
        <is>
          <t>Medium</t>
        </is>
      </c>
      <c r="M216" s="16" t="inlineStr"/>
      <c r="N216" s="16" t="inlineStr"/>
      <c r="O216" s="16" t="inlineStr"/>
    </row>
    <row r="217" ht="72" customHeight="1">
      <c r="A217" s="16" t="inlineStr">
        <is>
          <t>TC-HS-0011</t>
        </is>
      </c>
      <c r="B217" s="16" t="inlineStr">
        <is>
          <t>History</t>
        </is>
      </c>
      <c r="C217" s="16" t="inlineStr">
        <is>
          <t>Performance</t>
        </is>
      </c>
      <c r="D217" s="16" t="inlineStr">
        <is>
          <t>Performance</t>
        </is>
      </c>
      <c r="E217" s="16" t="inlineStr">
        <is>
          <t>1000 entries navigable</t>
        </is>
      </c>
      <c r="F217" s="16" t="inlineStr">
        <is>
          <t>-</t>
        </is>
      </c>
      <c r="G217" s="16" t="inlineStr">
        <is>
          <t>1. Open.</t>
        </is>
      </c>
      <c r="H217" s="16" t="inlineStr">
        <is>
          <t>-</t>
        </is>
      </c>
      <c r="I217" s="16" t="inlineStr">
        <is>
          <t>Smooth scroll; virtualization or pagination.</t>
        </is>
      </c>
      <c r="J217" s="16" t="inlineStr"/>
      <c r="K217" s="16" t="inlineStr">
        <is>
          <t>Not Run</t>
        </is>
      </c>
      <c r="L217" s="16" t="inlineStr">
        <is>
          <t>Medium</t>
        </is>
      </c>
      <c r="M217" s="16" t="inlineStr"/>
      <c r="N217" s="16" t="inlineStr"/>
      <c r="O217" s="16" t="inlineStr"/>
    </row>
    <row r="218" ht="72" customHeight="1">
      <c r="A218" s="16" t="inlineStr">
        <is>
          <t>TC-CO-0001</t>
        </is>
      </c>
      <c r="B218" s="16" t="inlineStr">
        <is>
          <t>Cookies</t>
        </is>
      </c>
      <c r="C218" s="16" t="inlineStr">
        <is>
          <t>Auto-populate</t>
        </is>
      </c>
      <c r="D218" s="16" t="inlineStr">
        <is>
          <t>Functional</t>
        </is>
      </c>
      <c r="E218" s="16" t="inlineStr">
        <is>
          <t>Set-Cookie stored</t>
        </is>
      </c>
      <c r="F218" s="16" t="inlineStr">
        <is>
          <t>-</t>
        </is>
      </c>
      <c r="G218" s="16" t="inlineStr">
        <is>
          <t>1. Send Set-Cookie.</t>
        </is>
      </c>
      <c r="H218" s="16" t="inlineStr">
        <is>
          <t>-</t>
        </is>
      </c>
      <c r="I218" s="16" t="inlineStr">
        <is>
          <t>Cookie listed under domain.</t>
        </is>
      </c>
      <c r="J218" s="16" t="inlineStr"/>
      <c r="K218" s="16" t="inlineStr">
        <is>
          <t>Not Run</t>
        </is>
      </c>
      <c r="L218" s="16" t="inlineStr">
        <is>
          <t>High</t>
        </is>
      </c>
      <c r="M218" s="16" t="inlineStr"/>
      <c r="N218" s="16" t="inlineStr"/>
      <c r="O218" s="16" t="inlineStr"/>
    </row>
    <row r="219" ht="72" customHeight="1">
      <c r="A219" s="16" t="inlineStr">
        <is>
          <t>TC-CO-0002</t>
        </is>
      </c>
      <c r="B219" s="16" t="inlineStr">
        <is>
          <t>Cookies</t>
        </is>
      </c>
      <c r="C219" s="16" t="inlineStr">
        <is>
          <t>Auto-send</t>
        </is>
      </c>
      <c r="D219" s="16" t="inlineStr">
        <is>
          <t>Functional</t>
        </is>
      </c>
      <c r="E219" s="16" t="inlineStr">
        <is>
          <t>Cookies sent on next</t>
        </is>
      </c>
      <c r="F219" s="16" t="inlineStr">
        <is>
          <t>-</t>
        </is>
      </c>
      <c r="G219" s="16" t="inlineStr">
        <is>
          <t>1. Send same domain.</t>
        </is>
      </c>
      <c r="H219" s="16" t="inlineStr">
        <is>
          <t>-</t>
        </is>
      </c>
      <c r="I219" s="16" t="inlineStr">
        <is>
          <t>Cookie header included.</t>
        </is>
      </c>
      <c r="J219" s="16" t="inlineStr"/>
      <c r="K219" s="16" t="inlineStr">
        <is>
          <t>Not Run</t>
        </is>
      </c>
      <c r="L219" s="16" t="inlineStr">
        <is>
          <t>High</t>
        </is>
      </c>
      <c r="M219" s="16" t="inlineStr"/>
      <c r="N219" s="16" t="inlineStr"/>
      <c r="O219" s="16" t="inlineStr"/>
    </row>
    <row r="220" ht="72" customHeight="1">
      <c r="A220" s="16" t="inlineStr">
        <is>
          <t>TC-CO-0003</t>
        </is>
      </c>
      <c r="B220" s="16" t="inlineStr">
        <is>
          <t>Cookies</t>
        </is>
      </c>
      <c r="C220" s="16" t="inlineStr">
        <is>
          <t>Expiry</t>
        </is>
      </c>
      <c r="D220" s="16" t="inlineStr">
        <is>
          <t>Edge Case</t>
        </is>
      </c>
      <c r="E220" s="16" t="inlineStr">
        <is>
          <t>Expired not sent</t>
        </is>
      </c>
      <c r="F220" s="16" t="inlineStr">
        <is>
          <t>-</t>
        </is>
      </c>
      <c r="G220" s="16" t="inlineStr">
        <is>
          <t>1. Send.</t>
        </is>
      </c>
      <c r="H220" s="16" t="inlineStr">
        <is>
          <t>-</t>
        </is>
      </c>
      <c r="I220" s="16" t="inlineStr">
        <is>
          <t>Not included; UI shows expired.</t>
        </is>
      </c>
      <c r="J220" s="16" t="inlineStr"/>
      <c r="K220" s="16" t="inlineStr">
        <is>
          <t>Not Run</t>
        </is>
      </c>
      <c r="L220" s="16" t="inlineStr">
        <is>
          <t>Medium</t>
        </is>
      </c>
      <c r="M220" s="16" t="inlineStr"/>
      <c r="N220" s="16" t="inlineStr"/>
      <c r="O220" s="16" t="inlineStr"/>
    </row>
    <row r="221" ht="72" customHeight="1">
      <c r="A221" s="16" t="inlineStr">
        <is>
          <t>TC-CO-0004</t>
        </is>
      </c>
      <c r="B221" s="16" t="inlineStr">
        <is>
          <t>Cookies</t>
        </is>
      </c>
      <c r="C221" s="16" t="inlineStr">
        <is>
          <t>Manual</t>
        </is>
      </c>
      <c r="D221" s="16" t="inlineStr">
        <is>
          <t>Functional</t>
        </is>
      </c>
      <c r="E221" s="16" t="inlineStr">
        <is>
          <t>Add manually</t>
        </is>
      </c>
      <c r="F221" s="16" t="inlineStr">
        <is>
          <t>-</t>
        </is>
      </c>
      <c r="G221" s="16" t="inlineStr">
        <is>
          <t>1. Add example.com tk=abc.</t>
        </is>
      </c>
      <c r="H221" s="16" t="inlineStr">
        <is>
          <t>-</t>
        </is>
      </c>
      <c r="I221" s="16" t="inlineStr">
        <is>
          <t>Persists; sent.</t>
        </is>
      </c>
      <c r="J221" s="16" t="inlineStr"/>
      <c r="K221" s="16" t="inlineStr">
        <is>
          <t>Not Run</t>
        </is>
      </c>
      <c r="L221" s="16" t="inlineStr">
        <is>
          <t>Medium</t>
        </is>
      </c>
      <c r="M221" s="16" t="inlineStr"/>
      <c r="N221" s="16" t="inlineStr"/>
      <c r="O221" s="16" t="inlineStr"/>
    </row>
    <row r="222" ht="72" customHeight="1">
      <c r="A222" s="16" t="inlineStr">
        <is>
          <t>TC-CO-0005</t>
        </is>
      </c>
      <c r="B222" s="16" t="inlineStr">
        <is>
          <t>Cookies</t>
        </is>
      </c>
      <c r="C222" s="16" t="inlineStr">
        <is>
          <t>Manual</t>
        </is>
      </c>
      <c r="D222" s="16" t="inlineStr">
        <is>
          <t>Functional</t>
        </is>
      </c>
      <c r="E222" s="16" t="inlineStr">
        <is>
          <t>Edit value</t>
        </is>
      </c>
      <c r="F222" s="16" t="inlineStr">
        <is>
          <t>-</t>
        </is>
      </c>
      <c r="G222" s="16" t="inlineStr">
        <is>
          <t>1. Change tk to xyz.</t>
        </is>
      </c>
      <c r="H222" s="16" t="inlineStr">
        <is>
          <t>-</t>
        </is>
      </c>
      <c r="I222" s="16" t="inlineStr">
        <is>
          <t>Next send uses xyz.</t>
        </is>
      </c>
      <c r="J222" s="16" t="inlineStr"/>
      <c r="K222" s="16" t="inlineStr">
        <is>
          <t>Not Run</t>
        </is>
      </c>
      <c r="L222" s="16" t="inlineStr">
        <is>
          <t>Low</t>
        </is>
      </c>
      <c r="M222" s="16" t="inlineStr"/>
      <c r="N222" s="16" t="inlineStr"/>
      <c r="O222" s="16" t="inlineStr"/>
    </row>
    <row r="223" ht="72" customHeight="1">
      <c r="A223" s="16" t="inlineStr">
        <is>
          <t>TC-CO-0006</t>
        </is>
      </c>
      <c r="B223" s="16" t="inlineStr">
        <is>
          <t>Cookies</t>
        </is>
      </c>
      <c r="C223" s="16" t="inlineStr">
        <is>
          <t>Manual</t>
        </is>
      </c>
      <c r="D223" s="16" t="inlineStr">
        <is>
          <t>Functional</t>
        </is>
      </c>
      <c r="E223" s="16" t="inlineStr">
        <is>
          <t>Toggle enable/disable</t>
        </is>
      </c>
      <c r="F223" s="16" t="inlineStr">
        <is>
          <t>-</t>
        </is>
      </c>
      <c r="G223" s="16" t="inlineStr">
        <is>
          <t>1. Disable cookie.</t>
        </is>
      </c>
      <c r="H223" s="16" t="inlineStr">
        <is>
          <t>-</t>
        </is>
      </c>
      <c r="I223" s="16" t="inlineStr">
        <is>
          <t>Not sent until re-enabled.</t>
        </is>
      </c>
      <c r="J223" s="16" t="inlineStr"/>
      <c r="K223" s="16" t="inlineStr">
        <is>
          <t>Not Run</t>
        </is>
      </c>
      <c r="L223" s="16" t="inlineStr">
        <is>
          <t>Low</t>
        </is>
      </c>
      <c r="M223" s="16" t="inlineStr"/>
      <c r="N223" s="16" t="inlineStr"/>
      <c r="O223" s="16" t="inlineStr"/>
    </row>
    <row r="224" ht="72" customHeight="1">
      <c r="A224" s="16" t="inlineStr">
        <is>
          <t>TC-CO-0007</t>
        </is>
      </c>
      <c r="B224" s="16" t="inlineStr">
        <is>
          <t>Cookies</t>
        </is>
      </c>
      <c r="C224" s="16" t="inlineStr">
        <is>
          <t>Clear</t>
        </is>
      </c>
      <c r="D224" s="16" t="inlineStr">
        <is>
          <t>Functional</t>
        </is>
      </c>
      <c r="E224" s="16" t="inlineStr">
        <is>
          <t>Clear domain cookies</t>
        </is>
      </c>
      <c r="F224" s="16" t="inlineStr">
        <is>
          <t>-</t>
        </is>
      </c>
      <c r="G224" s="16" t="inlineStr">
        <is>
          <t>1. Clear example.com.</t>
        </is>
      </c>
      <c r="H224" s="16" t="inlineStr">
        <is>
          <t>-</t>
        </is>
      </c>
      <c r="I224" s="16" t="inlineStr">
        <is>
          <t>Only that domain cleared.</t>
        </is>
      </c>
      <c r="J224" s="16" t="inlineStr"/>
      <c r="K224" s="16" t="inlineStr">
        <is>
          <t>Not Run</t>
        </is>
      </c>
      <c r="L224" s="16" t="inlineStr">
        <is>
          <t>Medium</t>
        </is>
      </c>
      <c r="M224" s="16" t="inlineStr"/>
      <c r="N224" s="16" t="inlineStr"/>
      <c r="O224" s="16" t="inlineStr"/>
    </row>
    <row r="225" ht="72" customHeight="1">
      <c r="A225" s="16" t="inlineStr">
        <is>
          <t>TC-CO-0008</t>
        </is>
      </c>
      <c r="B225" s="16" t="inlineStr">
        <is>
          <t>Cookies</t>
        </is>
      </c>
      <c r="C225" s="16" t="inlineStr">
        <is>
          <t>Path</t>
        </is>
      </c>
      <c r="D225" s="16" t="inlineStr">
        <is>
          <t>Edge Case</t>
        </is>
      </c>
      <c r="E225" s="16" t="inlineStr">
        <is>
          <t>Path matching</t>
        </is>
      </c>
      <c r="F225" s="16" t="inlineStr">
        <is>
          <t>-</t>
        </is>
      </c>
      <c r="G225" s="16" t="inlineStr">
        <is>
          <t>1. Cookie path=/api; send /api/v1.</t>
        </is>
      </c>
      <c r="H225" s="16" t="inlineStr">
        <is>
          <t>-</t>
        </is>
      </c>
      <c r="I225" s="16" t="inlineStr">
        <is>
          <t>Cookie included.</t>
        </is>
      </c>
      <c r="J225" s="16" t="inlineStr"/>
      <c r="K225" s="16" t="inlineStr">
        <is>
          <t>Not Run</t>
        </is>
      </c>
      <c r="L225" s="16" t="inlineStr">
        <is>
          <t>Low</t>
        </is>
      </c>
      <c r="M225" s="16" t="inlineStr"/>
      <c r="N225" s="16" t="inlineStr"/>
      <c r="O225" s="16" t="inlineStr"/>
    </row>
    <row r="226" ht="72" customHeight="1">
      <c r="A226" s="16" t="inlineStr">
        <is>
          <t>TC-CO-0009</t>
        </is>
      </c>
      <c r="B226" s="16" t="inlineStr">
        <is>
          <t>Cookies</t>
        </is>
      </c>
      <c r="C226" s="16" t="inlineStr">
        <is>
          <t>Secure</t>
        </is>
      </c>
      <c r="D226" s="16" t="inlineStr">
        <is>
          <t>Edge Case</t>
        </is>
      </c>
      <c r="E226" s="16" t="inlineStr">
        <is>
          <t>Secure cookies only over https</t>
        </is>
      </c>
      <c r="F226" s="16" t="inlineStr">
        <is>
          <t>-</t>
        </is>
      </c>
      <c r="G226" s="16" t="inlineStr">
        <is>
          <t>1. Secure cookie; send http.</t>
        </is>
      </c>
      <c r="H226" s="16" t="inlineStr">
        <is>
          <t>-</t>
        </is>
      </c>
      <c r="I226" s="16" t="inlineStr">
        <is>
          <t>Cookie NOT sent over http.</t>
        </is>
      </c>
      <c r="J226" s="16" t="inlineStr"/>
      <c r="K226" s="16" t="inlineStr">
        <is>
          <t>Not Run</t>
        </is>
      </c>
      <c r="L226" s="16" t="inlineStr">
        <is>
          <t>Low</t>
        </is>
      </c>
      <c r="M226" s="16" t="inlineStr"/>
      <c r="N226" s="16" t="inlineStr"/>
      <c r="O226" s="16" t="inlineStr"/>
    </row>
    <row r="227" ht="72" customHeight="1">
      <c r="A227" s="16" t="inlineStr">
        <is>
          <t>TC-CO-0010</t>
        </is>
      </c>
      <c r="B227" s="16" t="inlineStr">
        <is>
          <t>Cookies</t>
        </is>
      </c>
      <c r="C227" s="16" t="inlineStr">
        <is>
          <t>Third-Party</t>
        </is>
      </c>
      <c r="D227" s="16" t="inlineStr">
        <is>
          <t>Compatibility</t>
        </is>
      </c>
      <c r="E227" s="16" t="inlineStr">
        <is>
          <t>Browser may block third-party</t>
        </is>
      </c>
      <c r="F227" s="16" t="inlineStr">
        <is>
          <t>-</t>
        </is>
      </c>
      <c r="G227" s="16" t="inlineStr">
        <is>
          <t>1. Cross-origin.</t>
        </is>
      </c>
      <c r="H227" s="16" t="inlineStr">
        <is>
          <t>-</t>
        </is>
      </c>
      <c r="I227" s="16" t="inlineStr">
        <is>
          <t>App does not assume; handles gracefully.</t>
        </is>
      </c>
      <c r="J227" s="16" t="inlineStr"/>
      <c r="K227" s="16" t="inlineStr">
        <is>
          <t>Not Run</t>
        </is>
      </c>
      <c r="L227" s="16" t="inlineStr">
        <is>
          <t>Medium</t>
        </is>
      </c>
      <c r="M227" s="16" t="inlineStr"/>
      <c r="N227" s="16" t="inlineStr"/>
      <c r="O227" s="16" t="inlineStr"/>
    </row>
    <row r="228" ht="72" customHeight="1">
      <c r="A228" s="16" t="inlineStr">
        <is>
          <t>TC-MK-0001</t>
        </is>
      </c>
      <c r="B228" s="16" t="inlineStr">
        <is>
          <t>Mock Servers</t>
        </is>
      </c>
      <c r="C228" s="16" t="inlineStr">
        <is>
          <t>Definition</t>
        </is>
      </c>
      <c r="D228" s="16" t="inlineStr">
        <is>
          <t>Functional</t>
        </is>
      </c>
      <c r="E228" s="16" t="inlineStr">
        <is>
          <t>Create mock server</t>
        </is>
      </c>
      <c r="F228" s="16" t="inlineStr">
        <is>
          <t>-</t>
        </is>
      </c>
      <c r="G228" s="16" t="inlineStr">
        <is>
          <t>1. Create -&gt; name 'Users API'.</t>
        </is>
      </c>
      <c r="H228" s="16" t="inlineStr">
        <is>
          <t>-</t>
        </is>
      </c>
      <c r="I228" s="16" t="inlineStr">
        <is>
          <t>Entry in list.</t>
        </is>
      </c>
      <c r="J228" s="16" t="inlineStr"/>
      <c r="K228" s="16" t="inlineStr">
        <is>
          <t>Not Run</t>
        </is>
      </c>
      <c r="L228" s="16" t="inlineStr">
        <is>
          <t>High</t>
        </is>
      </c>
      <c r="M228" s="16" t="inlineStr"/>
      <c r="N228" s="16" t="inlineStr"/>
      <c r="O228" s="16" t="inlineStr"/>
    </row>
    <row r="229" ht="72" customHeight="1">
      <c r="A229" s="16" t="inlineStr">
        <is>
          <t>TC-MK-0002</t>
        </is>
      </c>
      <c r="B229" s="16" t="inlineStr">
        <is>
          <t>Mock Servers</t>
        </is>
      </c>
      <c r="C229" s="16" t="inlineStr">
        <is>
          <t>Endpoint</t>
        </is>
      </c>
      <c r="D229" s="16" t="inlineStr">
        <is>
          <t>Functional</t>
        </is>
      </c>
      <c r="E229" s="16" t="inlineStr">
        <is>
          <t>Add GET /users/:id</t>
        </is>
      </c>
      <c r="F229" s="16" t="inlineStr">
        <is>
          <t>-</t>
        </is>
      </c>
      <c r="G229" s="16" t="inlineStr">
        <is>
          <t>1. Add endpoint; 200 JSON.</t>
        </is>
      </c>
      <c r="H229" s="16" t="inlineStr">
        <is>
          <t>-</t>
        </is>
      </c>
      <c r="I229" s="16" t="inlineStr">
        <is>
          <t>Saved; visible.</t>
        </is>
      </c>
      <c r="J229" s="16" t="inlineStr"/>
      <c r="K229" s="16" t="inlineStr">
        <is>
          <t>Not Run</t>
        </is>
      </c>
      <c r="L229" s="16" t="inlineStr">
        <is>
          <t>High</t>
        </is>
      </c>
      <c r="M229" s="16" t="inlineStr"/>
      <c r="N229" s="16" t="inlineStr"/>
      <c r="O229" s="16" t="inlineStr"/>
    </row>
    <row r="230" ht="72" customHeight="1">
      <c r="A230" s="16" t="inlineStr">
        <is>
          <t>TC-MK-0003</t>
        </is>
      </c>
      <c r="B230" s="16" t="inlineStr">
        <is>
          <t>Mock Servers</t>
        </is>
      </c>
      <c r="C230" s="16" t="inlineStr">
        <is>
          <t>Endpoint</t>
        </is>
      </c>
      <c r="D230" s="16" t="inlineStr">
        <is>
          <t>Edge Case</t>
        </is>
      </c>
      <c r="E230" s="16" t="inlineStr">
        <is>
          <t>:id and {id} both supported</t>
        </is>
      </c>
      <c r="F230" s="16" t="inlineStr">
        <is>
          <t>-</t>
        </is>
      </c>
      <c r="G230" s="16" t="inlineStr">
        <is>
          <t>1. Add both styles.</t>
        </is>
      </c>
      <c r="H230" s="16" t="inlineStr">
        <is>
          <t>-</t>
        </is>
      </c>
      <c r="I230" s="16" t="inlineStr">
        <is>
          <t>Both accepted; runtime matches.</t>
        </is>
      </c>
      <c r="J230" s="16" t="inlineStr"/>
      <c r="K230" s="16" t="inlineStr">
        <is>
          <t>Not Run</t>
        </is>
      </c>
      <c r="L230" s="16" t="inlineStr">
        <is>
          <t>Low</t>
        </is>
      </c>
      <c r="M230" s="16" t="inlineStr"/>
      <c r="N230" s="16" t="inlineStr"/>
      <c r="O230" s="16" t="inlineStr"/>
    </row>
    <row r="231" ht="72" customHeight="1">
      <c r="A231" s="16" t="inlineStr">
        <is>
          <t>TC-MK-0004</t>
        </is>
      </c>
      <c r="B231" s="16" t="inlineStr">
        <is>
          <t>Mock Servers</t>
        </is>
      </c>
      <c r="C231" s="16" t="inlineStr">
        <is>
          <t>Response</t>
        </is>
      </c>
      <c r="D231" s="16" t="inlineStr">
        <is>
          <t>Functional</t>
        </is>
      </c>
      <c r="E231" s="16" t="inlineStr">
        <is>
          <t>Multiple responses with selector</t>
        </is>
      </c>
      <c r="F231" s="16" t="inlineStr">
        <is>
          <t>-</t>
        </is>
      </c>
      <c r="G231" s="16" t="inlineStr">
        <is>
          <t>1. 200 for X=A; 400 for X=B.</t>
        </is>
      </c>
      <c r="H231" s="16" t="inlineStr">
        <is>
          <t>-</t>
        </is>
      </c>
      <c r="I231" s="16" t="inlineStr">
        <is>
          <t>Both saved; runtime picks by rule.</t>
        </is>
      </c>
      <c r="J231" s="16" t="inlineStr"/>
      <c r="K231" s="16" t="inlineStr">
        <is>
          <t>Not Run</t>
        </is>
      </c>
      <c r="L231" s="16" t="inlineStr">
        <is>
          <t>Medium</t>
        </is>
      </c>
      <c r="M231" s="16" t="inlineStr"/>
      <c r="N231" s="16" t="inlineStr"/>
      <c r="O231" s="16" t="inlineStr"/>
    </row>
    <row r="232" ht="72" customHeight="1">
      <c r="A232" s="16" t="inlineStr">
        <is>
          <t>TC-MK-0005</t>
        </is>
      </c>
      <c r="B232" s="16" t="inlineStr">
        <is>
          <t>Mock Servers</t>
        </is>
      </c>
      <c r="C232" s="16" t="inlineStr">
        <is>
          <t>Spec Import</t>
        </is>
      </c>
      <c r="D232" s="16" t="inlineStr">
        <is>
          <t>Functional</t>
        </is>
      </c>
      <c r="E232" s="16" t="inlineStr">
        <is>
          <t>OpenAPI generates endpoints</t>
        </is>
      </c>
      <c r="F232" s="16" t="inlineStr">
        <is>
          <t>-</t>
        </is>
      </c>
      <c r="G232" s="16" t="inlineStr">
        <is>
          <t>1. Import spec.</t>
        </is>
      </c>
      <c r="H232" s="16" t="inlineStr">
        <is>
          <t>-</t>
        </is>
      </c>
      <c r="I232" s="16" t="inlineStr">
        <is>
          <t>Endpoints + stubs created.</t>
        </is>
      </c>
      <c r="J232" s="16" t="inlineStr"/>
      <c r="K232" s="16" t="inlineStr">
        <is>
          <t>Not Run</t>
        </is>
      </c>
      <c r="L232" s="16" t="inlineStr">
        <is>
          <t>Medium</t>
        </is>
      </c>
      <c r="M232" s="16" t="inlineStr"/>
      <c r="N232" s="16" t="inlineStr"/>
      <c r="O232" s="16" t="inlineStr"/>
    </row>
    <row r="233" ht="72" customHeight="1">
      <c r="A233" s="16" t="inlineStr">
        <is>
          <t>TC-MK-0006</t>
        </is>
      </c>
      <c r="B233" s="16" t="inlineStr">
        <is>
          <t>Mock Servers</t>
        </is>
      </c>
      <c r="C233" s="16" t="inlineStr">
        <is>
          <t>Delete</t>
        </is>
      </c>
      <c r="D233" s="16" t="inlineStr">
        <is>
          <t>Functional</t>
        </is>
      </c>
      <c r="E233" s="16" t="inlineStr">
        <is>
          <t>Delete mock</t>
        </is>
      </c>
      <c r="F233" s="16" t="inlineStr">
        <is>
          <t>-</t>
        </is>
      </c>
      <c r="G233" s="16" t="inlineStr">
        <is>
          <t>1. Delete -&gt; Confirm.</t>
        </is>
      </c>
      <c r="H233" s="16" t="inlineStr">
        <is>
          <t>-</t>
        </is>
      </c>
      <c r="I233" s="16" t="inlineStr">
        <is>
          <t>Removed.</t>
        </is>
      </c>
      <c r="J233" s="16" t="inlineStr"/>
      <c r="K233" s="16" t="inlineStr">
        <is>
          <t>Not Run</t>
        </is>
      </c>
      <c r="L233" s="16" t="inlineStr">
        <is>
          <t>Medium</t>
        </is>
      </c>
      <c r="M233" s="16" t="inlineStr"/>
      <c r="N233" s="16" t="inlineStr"/>
      <c r="O233" s="16" t="inlineStr"/>
    </row>
    <row r="234" ht="72" customHeight="1">
      <c r="A234" s="16" t="inlineStr">
        <is>
          <t>TC-MK-0007</t>
        </is>
      </c>
      <c r="B234" s="16" t="inlineStr">
        <is>
          <t>Mock Servers</t>
        </is>
      </c>
      <c r="C234" s="16" t="inlineStr">
        <is>
          <t>Duplicate</t>
        </is>
      </c>
      <c r="D234" s="16" t="inlineStr">
        <is>
          <t>Functional</t>
        </is>
      </c>
      <c r="E234" s="16" t="inlineStr">
        <is>
          <t>Duplicate mock</t>
        </is>
      </c>
      <c r="F234" s="16" t="inlineStr">
        <is>
          <t>-</t>
        </is>
      </c>
      <c r="G234" s="16" t="inlineStr">
        <is>
          <t>1. Duplicate.</t>
        </is>
      </c>
      <c r="H234" s="16" t="inlineStr">
        <is>
          <t>-</t>
        </is>
      </c>
      <c r="I234" s="16" t="inlineStr">
        <is>
          <t>Copy independent of original.</t>
        </is>
      </c>
      <c r="J234" s="16" t="inlineStr"/>
      <c r="K234" s="16" t="inlineStr">
        <is>
          <t>Not Run</t>
        </is>
      </c>
      <c r="L234" s="16" t="inlineStr">
        <is>
          <t>Low</t>
        </is>
      </c>
      <c r="M234" s="16" t="inlineStr"/>
      <c r="N234" s="16" t="inlineStr"/>
      <c r="O234" s="16" t="inlineStr"/>
    </row>
    <row r="235" ht="72" customHeight="1">
      <c r="A235" s="16" t="inlineStr">
        <is>
          <t>TC-MK-0008</t>
        </is>
      </c>
      <c r="B235" s="16" t="inlineStr">
        <is>
          <t>Mock Servers</t>
        </is>
      </c>
      <c r="C235" s="16" t="inlineStr">
        <is>
          <t>Rename</t>
        </is>
      </c>
      <c r="D235" s="16" t="inlineStr">
        <is>
          <t>Functional</t>
        </is>
      </c>
      <c r="E235" s="16" t="inlineStr">
        <is>
          <t>Rename mock</t>
        </is>
      </c>
      <c r="F235" s="16" t="inlineStr">
        <is>
          <t>-</t>
        </is>
      </c>
      <c r="G235" s="16" t="inlineStr">
        <is>
          <t>1. Rename.</t>
        </is>
      </c>
      <c r="H235" s="16" t="inlineStr">
        <is>
          <t>-</t>
        </is>
      </c>
      <c r="I235" s="16" t="inlineStr">
        <is>
          <t>Name updates; references updated.</t>
        </is>
      </c>
      <c r="J235" s="16" t="inlineStr"/>
      <c r="K235" s="16" t="inlineStr">
        <is>
          <t>Not Run</t>
        </is>
      </c>
      <c r="L235" s="16" t="inlineStr">
        <is>
          <t>Low</t>
        </is>
      </c>
      <c r="M235" s="16" t="inlineStr"/>
      <c r="N235" s="16" t="inlineStr"/>
      <c r="O235" s="16" t="inlineStr"/>
    </row>
    <row r="236" ht="72" customHeight="1">
      <c r="A236" s="16" t="inlineStr">
        <is>
          <t>TC-MK-0009</t>
        </is>
      </c>
      <c r="B236" s="16" t="inlineStr">
        <is>
          <t>Mock Servers</t>
        </is>
      </c>
      <c r="C236" s="16" t="inlineStr">
        <is>
          <t>Runtime</t>
        </is>
      </c>
      <c r="D236" s="16" t="inlineStr">
        <is>
          <t>Negative</t>
        </is>
      </c>
      <c r="E236" s="16" t="inlineStr">
        <is>
          <t>Start disabled on web</t>
        </is>
      </c>
      <c r="F236" s="16" t="inlineStr">
        <is>
          <t>-</t>
        </is>
      </c>
      <c r="G236" s="16" t="inlineStr">
        <is>
          <t>1. Inspect Start button.</t>
        </is>
      </c>
      <c r="H236" s="16" t="inlineStr">
        <is>
          <t>-</t>
        </is>
      </c>
      <c r="I236" s="16" t="inlineStr">
        <is>
          <t>Disabled with tooltip 'Available in desktop app'.</t>
        </is>
      </c>
      <c r="J236" s="16" t="inlineStr"/>
      <c r="K236" s="16" t="inlineStr">
        <is>
          <t>Not Run</t>
        </is>
      </c>
      <c r="L236" s="16" t="inlineStr">
        <is>
          <t>High</t>
        </is>
      </c>
      <c r="M236" s="16" t="inlineStr"/>
      <c r="N236" s="16" t="inlineStr"/>
      <c r="O236" s="16" t="inlineStr"/>
    </row>
    <row r="237" ht="72" customHeight="1">
      <c r="A237" s="16" t="inlineStr">
        <is>
          <t>TC-MK-0010</t>
        </is>
      </c>
      <c r="B237" s="16" t="inlineStr">
        <is>
          <t>Mock Servers</t>
        </is>
      </c>
      <c r="C237" s="16" t="inlineStr">
        <is>
          <t>Runtime</t>
        </is>
      </c>
      <c r="D237" s="16" t="inlineStr">
        <is>
          <t>Edge Case</t>
        </is>
      </c>
      <c r="E237" s="16" t="inlineStr">
        <is>
          <t>Export CLI command</t>
        </is>
      </c>
      <c r="F237" s="16" t="inlineStr">
        <is>
          <t>-</t>
        </is>
      </c>
      <c r="G237" s="16" t="inlineStr">
        <is>
          <t>1. 'Copy CLI command'.</t>
        </is>
      </c>
      <c r="H237" s="16" t="inlineStr">
        <is>
          <t>-</t>
        </is>
      </c>
      <c r="I237" s="16" t="inlineStr">
        <is>
          <t>Clipboard has 'apicircle mock &lt;ws&gt;'.</t>
        </is>
      </c>
      <c r="J237" s="16" t="inlineStr"/>
      <c r="K237" s="16" t="inlineStr">
        <is>
          <t>Not Run</t>
        </is>
      </c>
      <c r="L237" s="16" t="inlineStr">
        <is>
          <t>Low</t>
        </is>
      </c>
      <c r="M237" s="16" t="inlineStr"/>
      <c r="N237" s="16" t="inlineStr"/>
      <c r="O237" s="16" t="inlineStr"/>
    </row>
    <row r="238" ht="72" customHeight="1">
      <c r="A238" s="16" t="inlineStr">
        <is>
          <t>TC-ST-0001</t>
        </is>
      </c>
      <c r="B238" s="16" t="inlineStr">
        <is>
          <t>Settings &amp; Theming</t>
        </is>
      </c>
      <c r="C238" s="16" t="inlineStr">
        <is>
          <t>Theme</t>
        </is>
      </c>
      <c r="D238" s="16" t="inlineStr">
        <is>
          <t>Functional</t>
        </is>
      </c>
      <c r="E238" s="16" t="inlineStr">
        <is>
          <t>Dark to light</t>
        </is>
      </c>
      <c r="F238" s="16" t="inlineStr">
        <is>
          <t>-</t>
        </is>
      </c>
      <c r="G238" s="16" t="inlineStr">
        <is>
          <t>1. Pick light theme.</t>
        </is>
      </c>
      <c r="H238" s="16" t="inlineStr">
        <is>
          <t>-</t>
        </is>
      </c>
      <c r="I238" s="16" t="inlineStr">
        <is>
          <t>UI re-themes; Monaco follows.</t>
        </is>
      </c>
      <c r="J238" s="16" t="inlineStr"/>
      <c r="K238" s="16" t="inlineStr">
        <is>
          <t>Not Run</t>
        </is>
      </c>
      <c r="L238" s="16" t="inlineStr">
        <is>
          <t>High</t>
        </is>
      </c>
      <c r="M238" s="16" t="inlineStr"/>
      <c r="N238" s="16" t="inlineStr"/>
      <c r="O238" s="16" t="inlineStr"/>
    </row>
    <row r="239" ht="72" customHeight="1">
      <c r="A239" s="16" t="inlineStr">
        <is>
          <t>TC-ST-0002</t>
        </is>
      </c>
      <c r="B239" s="16" t="inlineStr">
        <is>
          <t>Settings &amp; Theming</t>
        </is>
      </c>
      <c r="C239" s="16" t="inlineStr">
        <is>
          <t>Theme</t>
        </is>
      </c>
      <c r="D239" s="16" t="inlineStr">
        <is>
          <t>A11y</t>
        </is>
      </c>
      <c r="E239" s="16" t="inlineStr">
        <is>
          <t>High-contrast WCAG 2.1</t>
        </is>
      </c>
      <c r="F239" s="16" t="inlineStr">
        <is>
          <t>-</t>
        </is>
      </c>
      <c r="G239" s="16" t="inlineStr">
        <is>
          <t>1. Pick high-contrast.</t>
        </is>
      </c>
      <c r="H239" s="16" t="inlineStr">
        <is>
          <t>-</t>
        </is>
      </c>
      <c r="I239" s="16" t="inlineStr">
        <is>
          <t>Contrast &gt;=7:1.</t>
        </is>
      </c>
      <c r="J239" s="16" t="inlineStr"/>
      <c r="K239" s="16" t="inlineStr">
        <is>
          <t>Not Run</t>
        </is>
      </c>
      <c r="L239" s="16" t="inlineStr">
        <is>
          <t>Medium</t>
        </is>
      </c>
      <c r="M239" s="16" t="inlineStr"/>
      <c r="N239" s="16" t="inlineStr"/>
      <c r="O239" s="16" t="inlineStr"/>
    </row>
    <row r="240" ht="72" customHeight="1">
      <c r="A240" s="16" t="inlineStr">
        <is>
          <t>TC-ST-0003</t>
        </is>
      </c>
      <c r="B240" s="16" t="inlineStr">
        <is>
          <t>Settings &amp; Theming</t>
        </is>
      </c>
      <c r="C240" s="16" t="inlineStr">
        <is>
          <t>Font</t>
        </is>
      </c>
      <c r="D240" s="16" t="inlineStr">
        <is>
          <t>Functional</t>
        </is>
      </c>
      <c r="E240" s="16" t="inlineStr">
        <is>
          <t>Change code font</t>
        </is>
      </c>
      <c r="F240" s="16" t="inlineStr">
        <is>
          <t>-</t>
        </is>
      </c>
      <c r="G240" s="16" t="inlineStr">
        <is>
          <t>1. Pick JetBrains Mono.</t>
        </is>
      </c>
      <c r="H240" s="16" t="inlineStr">
        <is>
          <t>-</t>
        </is>
      </c>
      <c r="I240" s="16" t="inlineStr">
        <is>
          <t>Monaco updates immediately.</t>
        </is>
      </c>
      <c r="J240" s="16" t="inlineStr"/>
      <c r="K240" s="16" t="inlineStr">
        <is>
          <t>Not Run</t>
        </is>
      </c>
      <c r="L240" s="16" t="inlineStr">
        <is>
          <t>Low</t>
        </is>
      </c>
      <c r="M240" s="16" t="inlineStr"/>
      <c r="N240" s="16" t="inlineStr"/>
      <c r="O240" s="16" t="inlineStr"/>
    </row>
    <row r="241" ht="72" customHeight="1">
      <c r="A241" s="16" t="inlineStr">
        <is>
          <t>TC-ST-0004</t>
        </is>
      </c>
      <c r="B241" s="16" t="inlineStr">
        <is>
          <t>Settings &amp; Theming</t>
        </is>
      </c>
      <c r="C241" s="16" t="inlineStr">
        <is>
          <t>Font Size</t>
        </is>
      </c>
      <c r="D241" s="16" t="inlineStr">
        <is>
          <t>Functional</t>
        </is>
      </c>
      <c r="E241" s="16" t="inlineStr">
        <is>
          <t>Increase UI text</t>
        </is>
      </c>
      <c r="F241" s="16" t="inlineStr">
        <is>
          <t>-</t>
        </is>
      </c>
      <c r="G241" s="16" t="inlineStr">
        <is>
          <t>1. Ctrl/Cmd+Shift+= x3.</t>
        </is>
      </c>
      <c r="H241" s="16" t="inlineStr">
        <is>
          <t>-</t>
        </is>
      </c>
      <c r="I241" s="16" t="inlineStr">
        <is>
          <t>Scales; persists.</t>
        </is>
      </c>
      <c r="J241" s="16" t="inlineStr"/>
      <c r="K241" s="16" t="inlineStr">
        <is>
          <t>Not Run</t>
        </is>
      </c>
      <c r="L241" s="16" t="inlineStr">
        <is>
          <t>Medium</t>
        </is>
      </c>
      <c r="M241" s="16" t="inlineStr"/>
      <c r="N241" s="16" t="inlineStr"/>
      <c r="O241" s="16" t="inlineStr"/>
    </row>
    <row r="242" ht="72" customHeight="1">
      <c r="A242" s="16" t="inlineStr">
        <is>
          <t>TC-ST-0005</t>
        </is>
      </c>
      <c r="B242" s="16" t="inlineStr">
        <is>
          <t>Settings &amp; Theming</t>
        </is>
      </c>
      <c r="C242" s="16" t="inlineStr">
        <is>
          <t>Font Size</t>
        </is>
      </c>
      <c r="D242" s="16" t="inlineStr">
        <is>
          <t>Functional</t>
        </is>
      </c>
      <c r="E242" s="16" t="inlineStr">
        <is>
          <t>Reset</t>
        </is>
      </c>
      <c r="F242" s="16" t="inlineStr">
        <is>
          <t>-</t>
        </is>
      </c>
      <c r="G242" s="16" t="inlineStr">
        <is>
          <t>1. Ctrl/Cmd+Shift+0.</t>
        </is>
      </c>
      <c r="H242" s="16" t="inlineStr">
        <is>
          <t>-</t>
        </is>
      </c>
      <c r="I242" s="16" t="inlineStr">
        <is>
          <t>100%.</t>
        </is>
      </c>
      <c r="J242" s="16" t="inlineStr"/>
      <c r="K242" s="16" t="inlineStr">
        <is>
          <t>Not Run</t>
        </is>
      </c>
      <c r="L242" s="16" t="inlineStr">
        <is>
          <t>Low</t>
        </is>
      </c>
      <c r="M242" s="16" t="inlineStr"/>
      <c r="N242" s="16" t="inlineStr"/>
      <c r="O242" s="16" t="inlineStr"/>
    </row>
    <row r="243" ht="72" customHeight="1">
      <c r="A243" s="16" t="inlineStr">
        <is>
          <t>TC-ST-0006</t>
        </is>
      </c>
      <c r="B243" s="16" t="inlineStr">
        <is>
          <t>Settings &amp; Theming</t>
        </is>
      </c>
      <c r="C243" s="16" t="inlineStr">
        <is>
          <t>Workspace Scoped</t>
        </is>
      </c>
      <c r="D243" s="16" t="inlineStr">
        <is>
          <t>Functional</t>
        </is>
      </c>
      <c r="E243" s="16" t="inlineStr">
        <is>
          <t>Theme per workspace</t>
        </is>
      </c>
      <c r="F243" s="16" t="inlineStr">
        <is>
          <t>-</t>
        </is>
      </c>
      <c r="G243" s="16" t="inlineStr">
        <is>
          <t>1. Set in A, B differently.</t>
        </is>
      </c>
      <c r="H243" s="16" t="inlineStr">
        <is>
          <t>-</t>
        </is>
      </c>
      <c r="I243" s="16" t="inlineStr">
        <is>
          <t>Each remembers theme.</t>
        </is>
      </c>
      <c r="J243" s="16" t="inlineStr"/>
      <c r="K243" s="16" t="inlineStr">
        <is>
          <t>Not Run</t>
        </is>
      </c>
      <c r="L243" s="16" t="inlineStr">
        <is>
          <t>Medium</t>
        </is>
      </c>
      <c r="M243" s="16" t="inlineStr"/>
      <c r="N243" s="16" t="inlineStr"/>
      <c r="O243" s="16" t="inlineStr"/>
    </row>
    <row r="244" ht="72" customHeight="1">
      <c r="A244" s="16" t="inlineStr">
        <is>
          <t>TC-ST-0007</t>
        </is>
      </c>
      <c r="B244" s="16" t="inlineStr">
        <is>
          <t>Settings &amp; Theming</t>
        </is>
      </c>
      <c r="C244" s="16" t="inlineStr">
        <is>
          <t>Browser Zoom</t>
        </is>
      </c>
      <c r="D244" s="16" t="inlineStr">
        <is>
          <t>Compatibility</t>
        </is>
      </c>
      <c r="E244" s="16" t="inlineStr">
        <is>
          <t>Cumulative scale OK</t>
        </is>
      </c>
      <c r="F244" s="16" t="inlineStr">
        <is>
          <t>-</t>
        </is>
      </c>
      <c r="G244" s="16" t="inlineStr">
        <is>
          <t>1. Zoom 125% + size 110%.</t>
        </is>
      </c>
      <c r="H244" s="16" t="inlineStr">
        <is>
          <t>-</t>
        </is>
      </c>
      <c r="I244" s="16" t="inlineStr">
        <is>
          <t>Usable layout.</t>
        </is>
      </c>
      <c r="J244" s="16" t="inlineStr"/>
      <c r="K244" s="16" t="inlineStr">
        <is>
          <t>Not Run</t>
        </is>
      </c>
      <c r="L244" s="16" t="inlineStr">
        <is>
          <t>Low</t>
        </is>
      </c>
      <c r="M244" s="16" t="inlineStr"/>
      <c r="N244" s="16" t="inlineStr"/>
      <c r="O244" s="16" t="inlineStr"/>
    </row>
    <row r="245" ht="72" customHeight="1">
      <c r="A245" s="16" t="inlineStr">
        <is>
          <t>TC-IE-0001</t>
        </is>
      </c>
      <c r="B245" s="16" t="inlineStr">
        <is>
          <t>Import / Export</t>
        </is>
      </c>
      <c r="C245" s="16" t="inlineStr">
        <is>
          <t>Postman</t>
        </is>
      </c>
      <c r="D245" s="16" t="inlineStr">
        <is>
          <t>Functional</t>
        </is>
      </c>
      <c r="E245" s="16" t="inlineStr">
        <is>
          <t>Postman v2.1 import</t>
        </is>
      </c>
      <c r="F245" s="16" t="inlineStr">
        <is>
          <t>-</t>
        </is>
      </c>
      <c r="G245" s="16" t="inlineStr">
        <is>
          <t>1. Import file.</t>
        </is>
      </c>
      <c r="H245" s="16" t="inlineStr">
        <is>
          <t>-</t>
        </is>
      </c>
      <c r="I245" s="16" t="inlineStr">
        <is>
          <t>Folders/requests imported; summary lists counts + warnings.</t>
        </is>
      </c>
      <c r="J245" s="16" t="inlineStr"/>
      <c r="K245" s="16" t="inlineStr">
        <is>
          <t>Not Run</t>
        </is>
      </c>
      <c r="L245" s="16" t="inlineStr">
        <is>
          <t>High</t>
        </is>
      </c>
      <c r="M245" s="16" t="inlineStr"/>
      <c r="N245" s="16" t="inlineStr"/>
      <c r="O245" s="16" t="inlineStr"/>
    </row>
    <row r="246" ht="72" customHeight="1">
      <c r="A246" s="16" t="inlineStr">
        <is>
          <t>TC-IE-0002</t>
        </is>
      </c>
      <c r="B246" s="16" t="inlineStr">
        <is>
          <t>Import / Export</t>
        </is>
      </c>
      <c r="C246" s="16" t="inlineStr">
        <is>
          <t>Postman</t>
        </is>
      </c>
      <c r="D246" s="16" t="inlineStr">
        <is>
          <t>Edge Case</t>
        </is>
      </c>
      <c r="E246" s="16" t="inlineStr">
        <is>
          <t>Unsupported auth fallback</t>
        </is>
      </c>
      <c r="F246" s="16" t="inlineStr">
        <is>
          <t>-</t>
        </is>
      </c>
      <c r="G246" s="16" t="inlineStr">
        <is>
          <t>1. Import.</t>
        </is>
      </c>
      <c r="H246" s="16" t="inlineStr">
        <is>
          <t>-</t>
        </is>
      </c>
      <c r="I246" s="16" t="inlineStr">
        <is>
          <t>Auth downgraded with warning.</t>
        </is>
      </c>
      <c r="J246" s="16" t="inlineStr"/>
      <c r="K246" s="16" t="inlineStr">
        <is>
          <t>Not Run</t>
        </is>
      </c>
      <c r="L246" s="16" t="inlineStr">
        <is>
          <t>Medium</t>
        </is>
      </c>
      <c r="M246" s="16" t="inlineStr"/>
      <c r="N246" s="16" t="inlineStr"/>
      <c r="O246" s="16" t="inlineStr"/>
    </row>
    <row r="247" ht="72" customHeight="1">
      <c r="A247" s="16" t="inlineStr">
        <is>
          <t>TC-IE-0003</t>
        </is>
      </c>
      <c r="B247" s="16" t="inlineStr">
        <is>
          <t>Import / Export</t>
        </is>
      </c>
      <c r="C247" s="16" t="inlineStr">
        <is>
          <t>cURL</t>
        </is>
      </c>
      <c r="D247" s="16" t="inlineStr">
        <is>
          <t>Functional</t>
        </is>
      </c>
      <c r="E247" s="16" t="inlineStr">
        <is>
          <t>Paste cURL</t>
        </is>
      </c>
      <c r="F247" s="16" t="inlineStr">
        <is>
          <t>-</t>
        </is>
      </c>
      <c r="G247" s="16" t="inlineStr">
        <is>
          <t>1. Paste curl.</t>
        </is>
      </c>
      <c r="H247" s="16" t="inlineStr">
        <is>
          <t>-</t>
        </is>
      </c>
      <c r="I247" s="16" t="inlineStr">
        <is>
          <t>Request created with all fields.</t>
        </is>
      </c>
      <c r="J247" s="16" t="inlineStr"/>
      <c r="K247" s="16" t="inlineStr">
        <is>
          <t>Not Run</t>
        </is>
      </c>
      <c r="L247" s="16" t="inlineStr">
        <is>
          <t>High</t>
        </is>
      </c>
      <c r="M247" s="16" t="inlineStr"/>
      <c r="N247" s="16" t="inlineStr"/>
      <c r="O247" s="16" t="inlineStr"/>
    </row>
    <row r="248" ht="72" customHeight="1">
      <c r="A248" s="16" t="inlineStr">
        <is>
          <t>TC-IE-0004</t>
        </is>
      </c>
      <c r="B248" s="16" t="inlineStr">
        <is>
          <t>Import / Export</t>
        </is>
      </c>
      <c r="C248" s="16" t="inlineStr">
        <is>
          <t>cURL</t>
        </is>
      </c>
      <c r="D248" s="16" t="inlineStr">
        <is>
          <t>Edge Case</t>
        </is>
      </c>
      <c r="E248" s="16" t="inlineStr">
        <is>
          <t>Multi-line cURL with continuations</t>
        </is>
      </c>
      <c r="F248" s="16" t="inlineStr">
        <is>
          <t>-</t>
        </is>
      </c>
      <c r="G248" s="16" t="inlineStr">
        <is>
          <t>1. Paste.</t>
        </is>
      </c>
      <c r="H248" s="16" t="inlineStr">
        <is>
          <t>-</t>
        </is>
      </c>
      <c r="I248" s="16" t="inlineStr">
        <is>
          <t>Parsed correctly.</t>
        </is>
      </c>
      <c r="J248" s="16" t="inlineStr"/>
      <c r="K248" s="16" t="inlineStr">
        <is>
          <t>Not Run</t>
        </is>
      </c>
      <c r="L248" s="16" t="inlineStr">
        <is>
          <t>Low</t>
        </is>
      </c>
      <c r="M248" s="16" t="inlineStr"/>
      <c r="N248" s="16" t="inlineStr"/>
      <c r="O248" s="16" t="inlineStr"/>
    </row>
    <row r="249" ht="72" customHeight="1">
      <c r="A249" s="16" t="inlineStr">
        <is>
          <t>TC-IE-0005</t>
        </is>
      </c>
      <c r="B249" s="16" t="inlineStr">
        <is>
          <t>Import / Export</t>
        </is>
      </c>
      <c r="C249" s="16" t="inlineStr">
        <is>
          <t>cURL</t>
        </is>
      </c>
      <c r="D249" s="16" t="inlineStr">
        <is>
          <t>Edge Case</t>
        </is>
      </c>
      <c r="E249" s="16" t="inlineStr">
        <is>
          <t>cURL with --data-urlencode</t>
        </is>
      </c>
      <c r="F249" s="16" t="inlineStr">
        <is>
          <t>-</t>
        </is>
      </c>
      <c r="G249" s="16" t="inlineStr">
        <is>
          <t>1. Paste.</t>
        </is>
      </c>
      <c r="H249" s="16" t="inlineStr">
        <is>
          <t>-</t>
        </is>
      </c>
      <c r="I249" s="16" t="inlineStr">
        <is>
          <t>Body type x-www-form-urlencoded.</t>
        </is>
      </c>
      <c r="J249" s="16" t="inlineStr"/>
      <c r="K249" s="16" t="inlineStr">
        <is>
          <t>Not Run</t>
        </is>
      </c>
      <c r="L249" s="16" t="inlineStr">
        <is>
          <t>Low</t>
        </is>
      </c>
      <c r="M249" s="16" t="inlineStr"/>
      <c r="N249" s="16" t="inlineStr"/>
      <c r="O249" s="16" t="inlineStr"/>
    </row>
    <row r="250" ht="72" customHeight="1">
      <c r="A250" s="16" t="inlineStr">
        <is>
          <t>TC-IE-0006</t>
        </is>
      </c>
      <c r="B250" s="16" t="inlineStr">
        <is>
          <t>Import / Export</t>
        </is>
      </c>
      <c r="C250" s="16" t="inlineStr">
        <is>
          <t>cURL</t>
        </is>
      </c>
      <c r="D250" s="16" t="inlineStr">
        <is>
          <t>Edge Case</t>
        </is>
      </c>
      <c r="E250" s="16" t="inlineStr">
        <is>
          <t>cURL with -F multipart</t>
        </is>
      </c>
      <c r="F250" s="16" t="inlineStr">
        <is>
          <t>-</t>
        </is>
      </c>
      <c r="G250" s="16" t="inlineStr">
        <is>
          <t>1. Paste.</t>
        </is>
      </c>
      <c r="H250" s="16" t="inlineStr">
        <is>
          <t>-</t>
        </is>
      </c>
      <c r="I250" s="16" t="inlineStr">
        <is>
          <t>Body type form-data with fields.</t>
        </is>
      </c>
      <c r="J250" s="16" t="inlineStr"/>
      <c r="K250" s="16" t="inlineStr">
        <is>
          <t>Not Run</t>
        </is>
      </c>
      <c r="L250" s="16" t="inlineStr">
        <is>
          <t>Low</t>
        </is>
      </c>
      <c r="M250" s="16" t="inlineStr"/>
      <c r="N250" s="16" t="inlineStr"/>
      <c r="O250" s="16" t="inlineStr"/>
    </row>
    <row r="251" ht="72" customHeight="1">
      <c r="A251" s="16" t="inlineStr">
        <is>
          <t>TC-IE-0007</t>
        </is>
      </c>
      <c r="B251" s="16" t="inlineStr">
        <is>
          <t>Import / Export</t>
        </is>
      </c>
      <c r="C251" s="16" t="inlineStr">
        <is>
          <t>Insomnia</t>
        </is>
      </c>
      <c r="D251" s="16" t="inlineStr">
        <is>
          <t>Functional</t>
        </is>
      </c>
      <c r="E251" s="16" t="inlineStr">
        <is>
          <t>Import Insomnia</t>
        </is>
      </c>
      <c r="F251" s="16" t="inlineStr">
        <is>
          <t>-</t>
        </is>
      </c>
      <c r="G251" s="16" t="inlineStr">
        <is>
          <t>1. Import.</t>
        </is>
      </c>
      <c r="H251" s="16" t="inlineStr">
        <is>
          <t>-</t>
        </is>
      </c>
      <c r="I251" s="16" t="inlineStr">
        <is>
          <t>Requests/envs imported.</t>
        </is>
      </c>
      <c r="J251" s="16" t="inlineStr"/>
      <c r="K251" s="16" t="inlineStr">
        <is>
          <t>Not Run</t>
        </is>
      </c>
      <c r="L251" s="16" t="inlineStr">
        <is>
          <t>Medium</t>
        </is>
      </c>
      <c r="M251" s="16" t="inlineStr"/>
      <c r="N251" s="16" t="inlineStr"/>
      <c r="O251" s="16" t="inlineStr"/>
    </row>
    <row r="252" ht="72" customHeight="1">
      <c r="A252" s="16" t="inlineStr">
        <is>
          <t>TC-IE-0008</t>
        </is>
      </c>
      <c r="B252" s="16" t="inlineStr">
        <is>
          <t>Import / Export</t>
        </is>
      </c>
      <c r="C252" s="16" t="inlineStr">
        <is>
          <t>OpenAPI</t>
        </is>
      </c>
      <c r="D252" s="16" t="inlineStr">
        <is>
          <t>Functional</t>
        </is>
      </c>
      <c r="E252" s="16" t="inlineStr">
        <is>
          <t>Import OpenAPI 3.0 spec</t>
        </is>
      </c>
      <c r="F252" s="16" t="inlineStr">
        <is>
          <t>-</t>
        </is>
      </c>
      <c r="G252" s="16" t="inlineStr">
        <is>
          <t>1. Import YAML.</t>
        </is>
      </c>
      <c r="H252" s="16" t="inlineStr">
        <is>
          <t>-</t>
        </is>
      </c>
      <c r="I252" s="16" t="inlineStr">
        <is>
          <t>Endpoints + example bodies imported.</t>
        </is>
      </c>
      <c r="J252" s="16" t="inlineStr"/>
      <c r="K252" s="16" t="inlineStr">
        <is>
          <t>Not Run</t>
        </is>
      </c>
      <c r="L252" s="16" t="inlineStr">
        <is>
          <t>Medium</t>
        </is>
      </c>
      <c r="M252" s="16" t="inlineStr"/>
      <c r="N252" s="16" t="inlineStr"/>
      <c r="O252" s="16" t="inlineStr"/>
    </row>
    <row r="253" ht="72" customHeight="1">
      <c r="A253" s="16" t="inlineStr">
        <is>
          <t>TC-IE-0009</t>
        </is>
      </c>
      <c r="B253" s="16" t="inlineStr">
        <is>
          <t>Import / Export</t>
        </is>
      </c>
      <c r="C253" s="16" t="inlineStr">
        <is>
          <t>HAR</t>
        </is>
      </c>
      <c r="D253" s="16" t="inlineStr">
        <is>
          <t>Functional</t>
        </is>
      </c>
      <c r="E253" s="16" t="inlineStr">
        <is>
          <t>Import HAR file</t>
        </is>
      </c>
      <c r="F253" s="16" t="inlineStr">
        <is>
          <t>-</t>
        </is>
      </c>
      <c r="G253" s="16" t="inlineStr">
        <is>
          <t>1. Import HAR.</t>
        </is>
      </c>
      <c r="H253" s="16" t="inlineStr">
        <is>
          <t>-</t>
        </is>
      </c>
      <c r="I253" s="16" t="inlineStr">
        <is>
          <t>Requests imported with method/URL/body.</t>
        </is>
      </c>
      <c r="J253" s="16" t="inlineStr"/>
      <c r="K253" s="16" t="inlineStr">
        <is>
          <t>Not Run</t>
        </is>
      </c>
      <c r="L253" s="16" t="inlineStr">
        <is>
          <t>Low</t>
        </is>
      </c>
      <c r="M253" s="16" t="inlineStr"/>
      <c r="N253" s="16" t="inlineStr"/>
      <c r="O253" s="16" t="inlineStr"/>
    </row>
    <row r="254" ht="72" customHeight="1">
      <c r="A254" s="16" t="inlineStr">
        <is>
          <t>TC-IE-0010</t>
        </is>
      </c>
      <c r="B254" s="16" t="inlineStr">
        <is>
          <t>Import / Export</t>
        </is>
      </c>
      <c r="C254" s="16" t="inlineStr">
        <is>
          <t>Export</t>
        </is>
      </c>
      <c r="D254" s="16" t="inlineStr">
        <is>
          <t>Functional</t>
        </is>
      </c>
      <c r="E254" s="16" t="inlineStr">
        <is>
          <t>Export workspace JSON</t>
        </is>
      </c>
      <c r="F254" s="16" t="inlineStr">
        <is>
          <t>-</t>
        </is>
      </c>
      <c r="G254" s="16" t="inlineStr">
        <is>
          <t>1. Export.</t>
        </is>
      </c>
      <c r="H254" s="16" t="inlineStr">
        <is>
          <t>-</t>
        </is>
      </c>
      <c r="I254" s="16" t="inlineStr">
        <is>
          <t>Valid WorkspaceSynced JSON; secrets excluded.</t>
        </is>
      </c>
      <c r="J254" s="16" t="inlineStr"/>
      <c r="K254" s="16" t="inlineStr">
        <is>
          <t>Not Run</t>
        </is>
      </c>
      <c r="L254" s="16" t="inlineStr">
        <is>
          <t>Medium</t>
        </is>
      </c>
      <c r="M254" s="16" t="inlineStr"/>
      <c r="N254" s="16" t="inlineStr"/>
      <c r="O254" s="16" t="inlineStr"/>
    </row>
    <row r="255" ht="72" customHeight="1">
      <c r="A255" s="16" t="inlineStr">
        <is>
          <t>TC-IE-0011</t>
        </is>
      </c>
      <c r="B255" s="16" t="inlineStr">
        <is>
          <t>Import / Export</t>
        </is>
      </c>
      <c r="C255" s="16" t="inlineStr">
        <is>
          <t>Copy cURL</t>
        </is>
      </c>
      <c r="D255" s="16" t="inlineStr">
        <is>
          <t>Functional</t>
        </is>
      </c>
      <c r="E255" s="16" t="inlineStr">
        <is>
          <t>Copy request as cURL</t>
        </is>
      </c>
      <c r="F255" s="16" t="inlineStr">
        <is>
          <t>-</t>
        </is>
      </c>
      <c r="G255" s="16" t="inlineStr">
        <is>
          <t>1. Copy as cURL.</t>
        </is>
      </c>
      <c r="H255" s="16" t="inlineStr">
        <is>
          <t>-</t>
        </is>
      </c>
      <c r="I255" s="16" t="inlineStr">
        <is>
          <t>Clipboard cURL works in terminal.</t>
        </is>
      </c>
      <c r="J255" s="16" t="inlineStr"/>
      <c r="K255" s="16" t="inlineStr">
        <is>
          <t>Not Run</t>
        </is>
      </c>
      <c r="L255" s="16" t="inlineStr">
        <is>
          <t>Medium</t>
        </is>
      </c>
      <c r="M255" s="16" t="inlineStr"/>
      <c r="N255" s="16" t="inlineStr"/>
      <c r="O255" s="16" t="inlineStr"/>
    </row>
    <row r="256" ht="72" customHeight="1">
      <c r="A256" s="16" t="inlineStr">
        <is>
          <t>TC-IE-0012</t>
        </is>
      </c>
      <c r="B256" s="16" t="inlineStr">
        <is>
          <t>Import / Export</t>
        </is>
      </c>
      <c r="C256" s="16" t="inlineStr">
        <is>
          <t>Export</t>
        </is>
      </c>
      <c r="D256" s="16" t="inlineStr">
        <is>
          <t>Security</t>
        </is>
      </c>
      <c r="E256" s="16" t="inlineStr">
        <is>
          <t>Export omits secrets</t>
        </is>
      </c>
      <c r="F256" s="16" t="inlineStr">
        <is>
          <t>-</t>
        </is>
      </c>
      <c r="G256" s="16" t="inlineStr">
        <is>
          <t>1. Export.</t>
        </is>
      </c>
      <c r="H256" s="16" t="inlineStr">
        <is>
          <t>-</t>
        </is>
      </c>
      <c r="I256" s="16" t="inlineStr">
        <is>
          <t>Secret values empty or [SECRET].</t>
        </is>
      </c>
      <c r="J256" s="16" t="inlineStr"/>
      <c r="K256" s="16" t="inlineStr">
        <is>
          <t>Not Run</t>
        </is>
      </c>
      <c r="L256" s="16" t="inlineStr">
        <is>
          <t>High</t>
        </is>
      </c>
      <c r="M256" s="16" t="inlineStr"/>
      <c r="N256" s="16" t="inlineStr"/>
      <c r="O256" s="16" t="inlineStr"/>
    </row>
    <row r="257" ht="72" customHeight="1">
      <c r="A257" s="16" t="inlineStr">
        <is>
          <t>TC-IE-0013</t>
        </is>
      </c>
      <c r="B257" s="16" t="inlineStr">
        <is>
          <t>Import / Export</t>
        </is>
      </c>
      <c r="C257" s="16" t="inlineStr">
        <is>
          <t>Download</t>
        </is>
      </c>
      <c r="D257" s="16" t="inlineStr">
        <is>
          <t>Functional</t>
        </is>
      </c>
      <c r="E257" s="16" t="inlineStr">
        <is>
          <t>Browser download</t>
        </is>
      </c>
      <c r="F257" s="16" t="inlineStr">
        <is>
          <t>-</t>
        </is>
      </c>
      <c r="G257" s="16" t="inlineStr">
        <is>
          <t>1. Export.</t>
        </is>
      </c>
      <c r="H257" s="16" t="inlineStr">
        <is>
          <t>-</t>
        </is>
      </c>
      <c r="I257" s="16" t="inlineStr">
        <is>
          <t>Download bar shows file.</t>
        </is>
      </c>
      <c r="J257" s="16" t="inlineStr"/>
      <c r="K257" s="16" t="inlineStr">
        <is>
          <t>Not Run</t>
        </is>
      </c>
      <c r="L257" s="16" t="inlineStr">
        <is>
          <t>Medium</t>
        </is>
      </c>
      <c r="M257" s="16" t="inlineStr"/>
      <c r="N257" s="16" t="inlineStr"/>
      <c r="O257" s="16" t="inlineStr"/>
    </row>
    <row r="258" ht="72" customHeight="1">
      <c r="A258" s="16" t="inlineStr">
        <is>
          <t>TC-IE-0014</t>
        </is>
      </c>
      <c r="B258" s="16" t="inlineStr">
        <is>
          <t>Import / Export</t>
        </is>
      </c>
      <c r="C258" s="16" t="inlineStr">
        <is>
          <t>Upload</t>
        </is>
      </c>
      <c r="D258" s="16" t="inlineStr">
        <is>
          <t>Functional</t>
        </is>
      </c>
      <c r="E258" s="16" t="inlineStr">
        <is>
          <t>Browser file picker</t>
        </is>
      </c>
      <c r="F258" s="16" t="inlineStr">
        <is>
          <t>-</t>
        </is>
      </c>
      <c r="G258" s="16" t="inlineStr">
        <is>
          <t>1. Import.</t>
        </is>
      </c>
      <c r="H258" s="16" t="inlineStr">
        <is>
          <t>-</t>
        </is>
      </c>
      <c r="I258" s="16" t="inlineStr">
        <is>
          <t>Picker opens.</t>
        </is>
      </c>
      <c r="J258" s="16" t="inlineStr"/>
      <c r="K258" s="16" t="inlineStr">
        <is>
          <t>Not Run</t>
        </is>
      </c>
      <c r="L258" s="16" t="inlineStr">
        <is>
          <t>Medium</t>
        </is>
      </c>
      <c r="M258" s="16" t="inlineStr"/>
      <c r="N258" s="16" t="inlineStr"/>
      <c r="O258" s="16" t="inlineStr"/>
    </row>
    <row r="259" ht="72" customHeight="1">
      <c r="A259" s="16" t="inlineStr">
        <is>
          <t>TC-GT-0001</t>
        </is>
      </c>
      <c r="B259" s="16" t="inlineStr">
        <is>
          <t>Git Integration</t>
        </is>
      </c>
      <c r="C259" s="16" t="inlineStr">
        <is>
          <t>Push</t>
        </is>
      </c>
      <c r="D259" s="16" t="inlineStr">
        <is>
          <t>Functional</t>
        </is>
      </c>
      <c r="E259" s="16" t="inlineStr">
        <is>
          <t>Push to working branch</t>
        </is>
      </c>
      <c r="F259" s="16" t="inlineStr">
        <is>
          <t>-</t>
        </is>
      </c>
      <c r="G259" s="16" t="inlineStr">
        <is>
          <t>1. Push.</t>
        </is>
      </c>
      <c r="H259" s="16" t="inlineStr">
        <is>
          <t>-</t>
        </is>
      </c>
      <c r="I259" s="16" t="inlineStr">
        <is>
          <t>Commit metadata correct; sync snapshot updates.</t>
        </is>
      </c>
      <c r="J259" s="16" t="inlineStr"/>
      <c r="K259" s="16" t="inlineStr">
        <is>
          <t>Not Run</t>
        </is>
      </c>
      <c r="L259" s="16" t="inlineStr">
        <is>
          <t>High</t>
        </is>
      </c>
      <c r="M259" s="16" t="inlineStr"/>
      <c r="N259" s="16" t="inlineStr"/>
      <c r="O259" s="16" t="inlineStr"/>
    </row>
    <row r="260" ht="72" customHeight="1">
      <c r="A260" s="16" t="inlineStr">
        <is>
          <t>TC-GT-0002</t>
        </is>
      </c>
      <c r="B260" s="16" t="inlineStr">
        <is>
          <t>Git Integration</t>
        </is>
      </c>
      <c r="C260" s="16" t="inlineStr">
        <is>
          <t>Push Conflict</t>
        </is>
      </c>
      <c r="D260" s="16" t="inlineStr">
        <is>
          <t>Negative</t>
        </is>
      </c>
      <c r="E260" s="16" t="inlineStr">
        <is>
          <t>Concurrent push second fails</t>
        </is>
      </c>
      <c r="F260" s="16" t="inlineStr">
        <is>
          <t>-</t>
        </is>
      </c>
      <c r="G260" s="16" t="inlineStr">
        <is>
          <t>1. Device A push; B push without pull.</t>
        </is>
      </c>
      <c r="H260" s="16" t="inlineStr">
        <is>
          <t>-</t>
        </is>
      </c>
      <c r="I260" s="16" t="inlineStr">
        <is>
          <t>B fails; prompted to pull.</t>
        </is>
      </c>
      <c r="J260" s="16" t="inlineStr"/>
      <c r="K260" s="16" t="inlineStr">
        <is>
          <t>Not Run</t>
        </is>
      </c>
      <c r="L260" s="16" t="inlineStr">
        <is>
          <t>High</t>
        </is>
      </c>
      <c r="M260" s="16" t="inlineStr"/>
      <c r="N260" s="16" t="inlineStr"/>
      <c r="O260" s="16" t="inlineStr"/>
    </row>
    <row r="261" ht="72" customHeight="1">
      <c r="A261" s="16" t="inlineStr">
        <is>
          <t>TC-GT-0003</t>
        </is>
      </c>
      <c r="B261" s="16" t="inlineStr">
        <is>
          <t>Git Integration</t>
        </is>
      </c>
      <c r="C261" s="16" t="inlineStr">
        <is>
          <t>Three-way</t>
        </is>
      </c>
      <c r="D261" s="16" t="inlineStr">
        <is>
          <t>Functional</t>
        </is>
      </c>
      <c r="E261" s="16" t="inlineStr">
        <is>
          <t>Auto-merge non-conflicting</t>
        </is>
      </c>
      <c r="F261" s="16" t="inlineStr">
        <is>
          <t>-</t>
        </is>
      </c>
      <c r="G261" s="16" t="inlineStr">
        <is>
          <t>1. Pull with disjoint edits.</t>
        </is>
      </c>
      <c r="H261" s="16" t="inlineStr">
        <is>
          <t>-</t>
        </is>
      </c>
      <c r="I261" s="16" t="inlineStr">
        <is>
          <t>Both merged automatically.</t>
        </is>
      </c>
      <c r="J261" s="16" t="inlineStr"/>
      <c r="K261" s="16" t="inlineStr">
        <is>
          <t>Not Run</t>
        </is>
      </c>
      <c r="L261" s="16" t="inlineStr">
        <is>
          <t>High</t>
        </is>
      </c>
      <c r="M261" s="16" t="inlineStr"/>
      <c r="N261" s="16" t="inlineStr"/>
      <c r="O261" s="16" t="inlineStr"/>
    </row>
    <row r="262" ht="72" customHeight="1">
      <c r="A262" s="16" t="inlineStr">
        <is>
          <t>TC-GT-0004</t>
        </is>
      </c>
      <c r="B262" s="16" t="inlineStr">
        <is>
          <t>Git Integration</t>
        </is>
      </c>
      <c r="C262" s="16" t="inlineStr">
        <is>
          <t>Three-way</t>
        </is>
      </c>
      <c r="D262" s="16" t="inlineStr">
        <is>
          <t>Functional</t>
        </is>
      </c>
      <c r="E262" s="16" t="inlineStr">
        <is>
          <t>Conflict surfaces resolution UI</t>
        </is>
      </c>
      <c r="F262" s="16" t="inlineStr">
        <is>
          <t>-</t>
        </is>
      </c>
      <c r="G262" s="16" t="inlineStr">
        <is>
          <t>1. Pull with same-field conflict.</t>
        </is>
      </c>
      <c r="H262" s="16" t="inlineStr">
        <is>
          <t>-</t>
        </is>
      </c>
      <c r="I262" s="16" t="inlineStr">
        <is>
          <t>Modal lists conflicts; mine/theirs/manual.</t>
        </is>
      </c>
      <c r="J262" s="16" t="inlineStr"/>
      <c r="K262" s="16" t="inlineStr">
        <is>
          <t>Not Run</t>
        </is>
      </c>
      <c r="L262" s="16" t="inlineStr">
        <is>
          <t>High</t>
        </is>
      </c>
      <c r="M262" s="16" t="inlineStr"/>
      <c r="N262" s="16" t="inlineStr"/>
      <c r="O262" s="16" t="inlineStr"/>
    </row>
    <row r="263" ht="72" customHeight="1">
      <c r="A263" s="16" t="inlineStr">
        <is>
          <t>TC-GT-0005</t>
        </is>
      </c>
      <c r="B263" s="16" t="inlineStr">
        <is>
          <t>Git Integration</t>
        </is>
      </c>
      <c r="C263" s="16" t="inlineStr">
        <is>
          <t>Branch</t>
        </is>
      </c>
      <c r="D263" s="16" t="inlineStr">
        <is>
          <t>Functional</t>
        </is>
      </c>
      <c r="E263" s="16" t="inlineStr">
        <is>
          <t>Switch working branch</t>
        </is>
      </c>
      <c r="F263" s="16" t="inlineStr">
        <is>
          <t>-</t>
        </is>
      </c>
      <c r="G263" s="16" t="inlineStr">
        <is>
          <t>1. Switch.</t>
        </is>
      </c>
      <c r="H263" s="16" t="inlineStr">
        <is>
          <t>-</t>
        </is>
      </c>
      <c r="I263" s="16" t="inlineStr">
        <is>
          <t>Local synced replaced; local edits warned about.</t>
        </is>
      </c>
      <c r="J263" s="16" t="inlineStr"/>
      <c r="K263" s="16" t="inlineStr">
        <is>
          <t>Not Run</t>
        </is>
      </c>
      <c r="L263" s="16" t="inlineStr">
        <is>
          <t>Medium</t>
        </is>
      </c>
      <c r="M263" s="16" t="inlineStr"/>
      <c r="N263" s="16" t="inlineStr"/>
      <c r="O263" s="16" t="inlineStr"/>
    </row>
    <row r="264" ht="72" customHeight="1">
      <c r="A264" s="16" t="inlineStr">
        <is>
          <t>TC-GT-0006</t>
        </is>
      </c>
      <c r="B264" s="16" t="inlineStr">
        <is>
          <t>Git Integration</t>
        </is>
      </c>
      <c r="C264" s="16" t="inlineStr">
        <is>
          <t>Branch</t>
        </is>
      </c>
      <c r="D264" s="16" t="inlineStr">
        <is>
          <t>Edge Case</t>
        </is>
      </c>
      <c r="E264" s="16" t="inlineStr">
        <is>
          <t>Switch with unsaved warns</t>
        </is>
      </c>
      <c r="F264" s="16" t="inlineStr">
        <is>
          <t>-</t>
        </is>
      </c>
      <c r="G264" s="16" t="inlineStr">
        <is>
          <t>1. Local edits + Switch branch.</t>
        </is>
      </c>
      <c r="H264" s="16" t="inlineStr">
        <is>
          <t>-</t>
        </is>
      </c>
      <c r="I264" s="16" t="inlineStr">
        <is>
          <t>Confirm dialog; stash/discard options.</t>
        </is>
      </c>
      <c r="J264" s="16" t="inlineStr"/>
      <c r="K264" s="16" t="inlineStr">
        <is>
          <t>Not Run</t>
        </is>
      </c>
      <c r="L264" s="16" t="inlineStr">
        <is>
          <t>Medium</t>
        </is>
      </c>
      <c r="M264" s="16" t="inlineStr"/>
      <c r="N264" s="16" t="inlineStr"/>
      <c r="O264" s="16" t="inlineStr"/>
    </row>
    <row r="265" ht="72" customHeight="1">
      <c r="A265" s="16" t="inlineStr">
        <is>
          <t>TC-GT-0007</t>
        </is>
      </c>
      <c r="B265" s="16" t="inlineStr">
        <is>
          <t>Git Integration</t>
        </is>
      </c>
      <c r="C265" s="16" t="inlineStr">
        <is>
          <t>Retired</t>
        </is>
      </c>
      <c r="D265" s="16" t="inlineStr">
        <is>
          <t>Functional</t>
        </is>
      </c>
      <c r="E265" s="16" t="inlineStr">
        <is>
          <t>PR-merged cleanup prompt</t>
        </is>
      </c>
      <c r="F265" s="16" t="inlineStr">
        <is>
          <t>-</t>
        </is>
      </c>
      <c r="G265" s="16" t="inlineStr">
        <is>
          <t>1. Refresh.</t>
        </is>
      </c>
      <c r="H265" s="16" t="inlineStr">
        <is>
          <t>-</t>
        </is>
      </c>
      <c r="I265" s="16" t="inlineStr">
        <is>
          <t>Prompt: new branch or abandon.</t>
        </is>
      </c>
      <c r="J265" s="16" t="inlineStr"/>
      <c r="K265" s="16" t="inlineStr">
        <is>
          <t>Not Run</t>
        </is>
      </c>
      <c r="L265" s="16" t="inlineStr">
        <is>
          <t>Medium</t>
        </is>
      </c>
      <c r="M265" s="16" t="inlineStr"/>
      <c r="N265" s="16" t="inlineStr"/>
      <c r="O265" s="16" t="inlineStr"/>
    </row>
    <row r="266" ht="72" customHeight="1">
      <c r="A266" s="16" t="inlineStr">
        <is>
          <t>TC-GT-0008</t>
        </is>
      </c>
      <c r="B266" s="16" t="inlineStr">
        <is>
          <t>Git Integration</t>
        </is>
      </c>
      <c r="C266" s="16" t="inlineStr">
        <is>
          <t>Commit Author</t>
        </is>
      </c>
      <c r="D266" s="16" t="inlineStr">
        <is>
          <t>Functional</t>
        </is>
      </c>
      <c r="E266" s="16" t="inlineStr">
        <is>
          <t>Author matches OAuth identity</t>
        </is>
      </c>
      <c r="F266" s="16" t="inlineStr">
        <is>
          <t>-</t>
        </is>
      </c>
      <c r="G266" s="16" t="inlineStr">
        <is>
          <t>1. Inspect commit on GitHub.</t>
        </is>
      </c>
      <c r="H266" s="16" t="inlineStr">
        <is>
          <t>-</t>
        </is>
      </c>
      <c r="I266" s="16" t="inlineStr">
        <is>
          <t>Author email/name match.</t>
        </is>
      </c>
      <c r="J266" s="16" t="inlineStr"/>
      <c r="K266" s="16" t="inlineStr">
        <is>
          <t>Not Run</t>
        </is>
      </c>
      <c r="L266" s="16" t="inlineStr">
        <is>
          <t>Low</t>
        </is>
      </c>
      <c r="M266" s="16" t="inlineStr"/>
      <c r="N266" s="16" t="inlineStr"/>
      <c r="O266" s="16" t="inlineStr"/>
    </row>
    <row r="267" ht="72" customHeight="1">
      <c r="A267" s="16" t="inlineStr">
        <is>
          <t>TC-GT-0009</t>
        </is>
      </c>
      <c r="B267" s="16" t="inlineStr">
        <is>
          <t>Git Integration</t>
        </is>
      </c>
      <c r="C267" s="16" t="inlineStr">
        <is>
          <t>Network</t>
        </is>
      </c>
      <c r="D267" s="16" t="inlineStr">
        <is>
          <t>Negative</t>
        </is>
      </c>
      <c r="E267" s="16" t="inlineStr">
        <is>
          <t>Push offline</t>
        </is>
      </c>
      <c r="F267" s="16" t="inlineStr">
        <is>
          <t>-</t>
        </is>
      </c>
      <c r="G267" s="16" t="inlineStr">
        <is>
          <t>1. Network off; Push.</t>
        </is>
      </c>
      <c r="H267" s="16" t="inlineStr">
        <is>
          <t>-</t>
        </is>
      </c>
      <c r="I267" s="16" t="inlineStr">
        <is>
          <t>Toast; local edits preserved.</t>
        </is>
      </c>
      <c r="J267" s="16" t="inlineStr"/>
      <c r="K267" s="16" t="inlineStr">
        <is>
          <t>Not Run</t>
        </is>
      </c>
      <c r="L267" s="16" t="inlineStr">
        <is>
          <t>High</t>
        </is>
      </c>
      <c r="M267" s="16" t="inlineStr"/>
      <c r="N267" s="16" t="inlineStr"/>
      <c r="O267" s="16" t="inlineStr"/>
    </row>
    <row r="268" ht="72" customHeight="1">
      <c r="A268" s="16" t="inlineStr">
        <is>
          <t>TC-GT-0010</t>
        </is>
      </c>
      <c r="B268" s="16" t="inlineStr">
        <is>
          <t>Git Integration</t>
        </is>
      </c>
      <c r="C268" s="16" t="inlineStr">
        <is>
          <t>PR Capability</t>
        </is>
      </c>
      <c r="D268" s="16" t="inlineStr">
        <is>
          <t>Functional</t>
        </is>
      </c>
      <c r="E268" s="16" t="inlineStr">
        <is>
          <t>Create PR button when capable</t>
        </is>
      </c>
      <c r="F268" s="16" t="inlineStr">
        <is>
          <t>-</t>
        </is>
      </c>
      <c r="G268" s="16" t="inlineStr">
        <is>
          <t>1. Push; look for button.</t>
        </is>
      </c>
      <c r="H268" s="16" t="inlineStr">
        <is>
          <t>-</t>
        </is>
      </c>
      <c r="I268" s="16" t="inlineStr">
        <is>
          <t>Opens GitHub compose page.</t>
        </is>
      </c>
      <c r="J268" s="16" t="inlineStr"/>
      <c r="K268" s="16" t="inlineStr">
        <is>
          <t>Not Run</t>
        </is>
      </c>
      <c r="L268" s="16" t="inlineStr">
        <is>
          <t>Medium</t>
        </is>
      </c>
      <c r="M268" s="16" t="inlineStr"/>
      <c r="N268" s="16" t="inlineStr"/>
      <c r="O268" s="16" t="inlineStr"/>
    </row>
    <row r="269" ht="72" customHeight="1">
      <c r="A269" s="16" t="inlineStr">
        <is>
          <t>TC-GT-0011</t>
        </is>
      </c>
      <c r="B269" s="16" t="inlineStr">
        <is>
          <t>Git Integration</t>
        </is>
      </c>
      <c r="C269" s="16" t="inlineStr">
        <is>
          <t>Pull Race</t>
        </is>
      </c>
      <c r="D269" s="16" t="inlineStr">
        <is>
          <t>Edge Case</t>
        </is>
      </c>
      <c r="E269" s="16" t="inlineStr">
        <is>
          <t>Pull while typing</t>
        </is>
      </c>
      <c r="F269" s="16" t="inlineStr">
        <is>
          <t>-</t>
        </is>
      </c>
      <c r="G269" s="16" t="inlineStr">
        <is>
          <t>1. Click Pull mid-typing.</t>
        </is>
      </c>
      <c r="H269" s="16" t="inlineStr">
        <is>
          <t>-</t>
        </is>
      </c>
      <c r="I269" s="16" t="inlineStr">
        <is>
          <t>Pull pauses or warns; no data loss.</t>
        </is>
      </c>
      <c r="J269" s="16" t="inlineStr"/>
      <c r="K269" s="16" t="inlineStr">
        <is>
          <t>Not Run</t>
        </is>
      </c>
      <c r="L269" s="16" t="inlineStr">
        <is>
          <t>Medium</t>
        </is>
      </c>
      <c r="M269" s="16" t="inlineStr"/>
      <c r="N269" s="16" t="inlineStr"/>
      <c r="O269" s="16" t="inlineStr"/>
    </row>
    <row r="270" ht="72" customHeight="1">
      <c r="A270" s="16" t="inlineStr">
        <is>
          <t>TC-GT-0012</t>
        </is>
      </c>
      <c r="B270" s="16" t="inlineStr">
        <is>
          <t>Git Integration</t>
        </is>
      </c>
      <c r="C270" s="16" t="inlineStr">
        <is>
          <t>Commit Msg</t>
        </is>
      </c>
      <c r="D270" s="16" t="inlineStr">
        <is>
          <t>UX/UI</t>
        </is>
      </c>
      <c r="E270" s="16" t="inlineStr">
        <is>
          <t>Auto-generated commit message</t>
        </is>
      </c>
      <c r="F270" s="16" t="inlineStr">
        <is>
          <t>-</t>
        </is>
      </c>
      <c r="G270" s="16" t="inlineStr">
        <is>
          <t>1. Push edits.</t>
        </is>
      </c>
      <c r="H270" s="16" t="inlineStr">
        <is>
          <t>-</t>
        </is>
      </c>
      <c r="I270" s="16" t="inlineStr">
        <is>
          <t>Message summarizes changes ('Modified 3 requests, added 1 env').</t>
        </is>
      </c>
      <c r="J270" s="16" t="inlineStr"/>
      <c r="K270" s="16" t="inlineStr">
        <is>
          <t>Not Run</t>
        </is>
      </c>
      <c r="L270" s="16" t="inlineStr">
        <is>
          <t>Low</t>
        </is>
      </c>
      <c r="M270" s="16" t="inlineStr"/>
      <c r="N270" s="16" t="inlineStr"/>
      <c r="O270" s="16" t="inlineStr"/>
    </row>
    <row r="271" ht="72" customHeight="1">
      <c r="A271" s="16" t="inlineStr">
        <is>
          <t>TC-GT-0013</t>
        </is>
      </c>
      <c r="B271" s="16" t="inlineStr">
        <is>
          <t>Git Integration</t>
        </is>
      </c>
      <c r="C271" s="16" t="inlineStr">
        <is>
          <t>Rebase</t>
        </is>
      </c>
      <c r="D271" s="16" t="inlineStr">
        <is>
          <t>Edge Case</t>
        </is>
      </c>
      <c r="E271" s="16" t="inlineStr">
        <is>
          <t>Force-push detection on remote</t>
        </is>
      </c>
      <c r="F271" s="16" t="inlineStr">
        <is>
          <t>-</t>
        </is>
      </c>
      <c r="G271" s="16" t="inlineStr">
        <is>
          <t>1. Someone force-pushed; Pull.</t>
        </is>
      </c>
      <c r="H271" s="16" t="inlineStr">
        <is>
          <t>-</t>
        </is>
      </c>
      <c r="I271" s="16" t="inlineStr">
        <is>
          <t>App detects history rewrite; warns; offers reset.</t>
        </is>
      </c>
      <c r="J271" s="16" t="inlineStr"/>
      <c r="K271" s="16" t="inlineStr">
        <is>
          <t>Not Run</t>
        </is>
      </c>
      <c r="L271" s="16" t="inlineStr">
        <is>
          <t>Medium</t>
        </is>
      </c>
      <c r="M271" s="16" t="inlineStr"/>
      <c r="N271" s="16" t="inlineStr"/>
      <c r="O271" s="16" t="inlineStr"/>
    </row>
    <row r="272" ht="72" customHeight="1">
      <c r="A272" s="16" t="inlineStr">
        <is>
          <t>TC-GQ-0001</t>
        </is>
      </c>
      <c r="B272" s="16" t="inlineStr">
        <is>
          <t>GraphQL</t>
        </is>
      </c>
      <c r="C272" s="16" t="inlineStr">
        <is>
          <t>Introspect</t>
        </is>
      </c>
      <c r="D272" s="16" t="inlineStr">
        <is>
          <t>Functional</t>
        </is>
      </c>
      <c r="E272" s="16" t="inlineStr">
        <is>
          <t>Fetch schema</t>
        </is>
      </c>
      <c r="F272" s="16" t="inlineStr">
        <is>
          <t>-</t>
        </is>
      </c>
      <c r="G272" s="16" t="inlineStr">
        <is>
          <t>1. Body -&gt; GraphQL; Fetch Schema.</t>
        </is>
      </c>
      <c r="H272" s="16" t="inlineStr">
        <is>
          <t>-</t>
        </is>
      </c>
      <c r="I272" s="16" t="inlineStr">
        <is>
          <t>Schema saved to globalAssets.</t>
        </is>
      </c>
      <c r="J272" s="16" t="inlineStr"/>
      <c r="K272" s="16" t="inlineStr">
        <is>
          <t>Not Run</t>
        </is>
      </c>
      <c r="L272" s="16" t="inlineStr">
        <is>
          <t>High</t>
        </is>
      </c>
      <c r="M272" s="16" t="inlineStr"/>
      <c r="N272" s="16" t="inlineStr"/>
      <c r="O272" s="16" t="inlineStr"/>
    </row>
    <row r="273" ht="72" customHeight="1">
      <c r="A273" s="16" t="inlineStr">
        <is>
          <t>TC-GQ-0002</t>
        </is>
      </c>
      <c r="B273" s="16" t="inlineStr">
        <is>
          <t>GraphQL</t>
        </is>
      </c>
      <c r="C273" s="16" t="inlineStr">
        <is>
          <t>Completions</t>
        </is>
      </c>
      <c r="D273" s="16" t="inlineStr">
        <is>
          <t>Functional</t>
        </is>
      </c>
      <c r="E273" s="16" t="inlineStr">
        <is>
          <t>Field autocomplete</t>
        </is>
      </c>
      <c r="F273" s="16" t="inlineStr">
        <is>
          <t>-</t>
        </is>
      </c>
      <c r="G273" s="16" t="inlineStr">
        <is>
          <t>1. Type 'query { us'.</t>
        </is>
      </c>
      <c r="H273" s="16" t="inlineStr">
        <is>
          <t>-</t>
        </is>
      </c>
      <c r="I273" s="16" t="inlineStr">
        <is>
          <t>Suggestions include schema fields.</t>
        </is>
      </c>
      <c r="J273" s="16" t="inlineStr"/>
      <c r="K273" s="16" t="inlineStr">
        <is>
          <t>Not Run</t>
        </is>
      </c>
      <c r="L273" s="16" t="inlineStr">
        <is>
          <t>Medium</t>
        </is>
      </c>
      <c r="M273" s="16" t="inlineStr"/>
      <c r="N273" s="16" t="inlineStr"/>
      <c r="O273" s="16" t="inlineStr"/>
    </row>
    <row r="274" ht="72" customHeight="1">
      <c r="A274" s="16" t="inlineStr">
        <is>
          <t>TC-GQ-0003</t>
        </is>
      </c>
      <c r="B274" s="16" t="inlineStr">
        <is>
          <t>GraphQL</t>
        </is>
      </c>
      <c r="C274" s="16" t="inlineStr">
        <is>
          <t>Variables</t>
        </is>
      </c>
      <c r="D274" s="16" t="inlineStr">
        <is>
          <t>Functional</t>
        </is>
      </c>
      <c r="E274" s="16" t="inlineStr">
        <is>
          <t>Variables sent</t>
        </is>
      </c>
      <c r="F274" s="16" t="inlineStr">
        <is>
          <t>-</t>
        </is>
      </c>
      <c r="G274" s="16" t="inlineStr">
        <is>
          <t>1. Variables JSON; Send.</t>
        </is>
      </c>
      <c r="H274" s="16" t="inlineStr">
        <is>
          <t>-</t>
        </is>
      </c>
      <c r="I274" s="16" t="inlineStr">
        <is>
          <t>Body has query+variables; resolved.</t>
        </is>
      </c>
      <c r="J274" s="16" t="inlineStr"/>
      <c r="K274" s="16" t="inlineStr">
        <is>
          <t>Not Run</t>
        </is>
      </c>
      <c r="L274" s="16" t="inlineStr">
        <is>
          <t>Medium</t>
        </is>
      </c>
      <c r="M274" s="16" t="inlineStr"/>
      <c r="N274" s="16" t="inlineStr"/>
      <c r="O274" s="16" t="inlineStr"/>
    </row>
    <row r="275" ht="72" customHeight="1">
      <c r="A275" s="16" t="inlineStr">
        <is>
          <t>TC-GQ-0004</t>
        </is>
      </c>
      <c r="B275" s="16" t="inlineStr">
        <is>
          <t>GraphQL</t>
        </is>
      </c>
      <c r="C275" s="16" t="inlineStr">
        <is>
          <t>Schema Reuse</t>
        </is>
      </c>
      <c r="D275" s="16" t="inlineStr">
        <is>
          <t>Functional</t>
        </is>
      </c>
      <c r="E275" s="16" t="inlineStr">
        <is>
          <t>Persisted across reload</t>
        </is>
      </c>
      <c r="F275" s="16" t="inlineStr">
        <is>
          <t>-</t>
        </is>
      </c>
      <c r="G275" s="16" t="inlineStr">
        <is>
          <t>1. Reload workspace.</t>
        </is>
      </c>
      <c r="H275" s="16" t="inlineStr">
        <is>
          <t>-</t>
        </is>
      </c>
      <c r="I275" s="16" t="inlineStr">
        <is>
          <t>Completions work without re-fetch.</t>
        </is>
      </c>
      <c r="J275" s="16" t="inlineStr"/>
      <c r="K275" s="16" t="inlineStr">
        <is>
          <t>Not Run</t>
        </is>
      </c>
      <c r="L275" s="16" t="inlineStr">
        <is>
          <t>Low</t>
        </is>
      </c>
      <c r="M275" s="16" t="inlineStr"/>
      <c r="N275" s="16" t="inlineStr"/>
      <c r="O275" s="16" t="inlineStr"/>
    </row>
    <row r="276" ht="72" customHeight="1">
      <c r="A276" s="16" t="inlineStr">
        <is>
          <t>TC-GQ-0005</t>
        </is>
      </c>
      <c r="B276" s="16" t="inlineStr">
        <is>
          <t>GraphQL</t>
        </is>
      </c>
      <c r="C276" s="16" t="inlineStr">
        <is>
          <t>Introspect</t>
        </is>
      </c>
      <c r="D276" s="16" t="inlineStr">
        <is>
          <t>Negative</t>
        </is>
      </c>
      <c r="E276" s="16" t="inlineStr">
        <is>
          <t>Introspection disabled</t>
        </is>
      </c>
      <c r="F276" s="16" t="inlineStr">
        <is>
          <t>-</t>
        </is>
      </c>
      <c r="G276" s="16" t="inlineStr">
        <is>
          <t>1. Fetch Schema.</t>
        </is>
      </c>
      <c r="H276" s="16" t="inlineStr">
        <is>
          <t>-</t>
        </is>
      </c>
      <c r="I276" s="16" t="inlineStr">
        <is>
          <t>Clear error; manual upload option.</t>
        </is>
      </c>
      <c r="J276" s="16" t="inlineStr"/>
      <c r="K276" s="16" t="inlineStr">
        <is>
          <t>Not Run</t>
        </is>
      </c>
      <c r="L276" s="16" t="inlineStr">
        <is>
          <t>Medium</t>
        </is>
      </c>
      <c r="M276" s="16" t="inlineStr"/>
      <c r="N276" s="16" t="inlineStr"/>
      <c r="O276" s="16" t="inlineStr"/>
    </row>
    <row r="277" ht="72" customHeight="1">
      <c r="A277" s="16" t="inlineStr">
        <is>
          <t>TC-GQ-0006</t>
        </is>
      </c>
      <c r="B277" s="16" t="inlineStr">
        <is>
          <t>GraphQL</t>
        </is>
      </c>
      <c r="C277" s="16" t="inlineStr">
        <is>
          <t>Multi-Operation</t>
        </is>
      </c>
      <c r="D277" s="16" t="inlineStr">
        <is>
          <t>Edge Case</t>
        </is>
      </c>
      <c r="E277" s="16" t="inlineStr">
        <is>
          <t>Operation name picker</t>
        </is>
      </c>
      <c r="F277" s="16" t="inlineStr">
        <is>
          <t>-</t>
        </is>
      </c>
      <c r="G277" s="16" t="inlineStr">
        <is>
          <t>1. Doc with 2 ops.</t>
        </is>
      </c>
      <c r="H277" s="16" t="inlineStr">
        <is>
          <t>-</t>
        </is>
      </c>
      <c r="I277" s="16" t="inlineStr">
        <is>
          <t>Picker shown; correct op sent.</t>
        </is>
      </c>
      <c r="J277" s="16" t="inlineStr"/>
      <c r="K277" s="16" t="inlineStr">
        <is>
          <t>Not Run</t>
        </is>
      </c>
      <c r="L277" s="16" t="inlineStr">
        <is>
          <t>Low</t>
        </is>
      </c>
      <c r="M277" s="16" t="inlineStr"/>
      <c r="N277" s="16" t="inlineStr"/>
      <c r="O277" s="16" t="inlineStr"/>
    </row>
    <row r="278" ht="72" customHeight="1">
      <c r="A278" s="16" t="inlineStr">
        <is>
          <t>TC-GQ-0007</t>
        </is>
      </c>
      <c r="B278" s="16" t="inlineStr">
        <is>
          <t>GraphQL</t>
        </is>
      </c>
      <c r="C278" s="16" t="inlineStr">
        <is>
          <t>Errors</t>
        </is>
      </c>
      <c r="D278" s="16" t="inlineStr">
        <is>
          <t>Negative</t>
        </is>
      </c>
      <c r="E278" s="16" t="inlineStr">
        <is>
          <t>GraphQL errors rendered</t>
        </is>
      </c>
      <c r="F278" s="16" t="inlineStr">
        <is>
          <t>-</t>
        </is>
      </c>
      <c r="G278" s="16" t="inlineStr">
        <is>
          <t>1. Send malformed query.</t>
        </is>
      </c>
      <c r="H278" s="16" t="inlineStr">
        <is>
          <t>-</t>
        </is>
      </c>
      <c r="I278" s="16" t="inlineStr">
        <is>
          <t>errors[] surfaced clearly in response.</t>
        </is>
      </c>
      <c r="J278" s="16" t="inlineStr"/>
      <c r="K278" s="16" t="inlineStr">
        <is>
          <t>Not Run</t>
        </is>
      </c>
      <c r="L278" s="16" t="inlineStr">
        <is>
          <t>Medium</t>
        </is>
      </c>
      <c r="M278" s="16" t="inlineStr"/>
      <c r="N278" s="16" t="inlineStr"/>
      <c r="O278" s="16" t="inlineStr"/>
    </row>
    <row r="279" ht="72" customHeight="1">
      <c r="A279" s="16" t="inlineStr">
        <is>
          <t>TC-AS-0001</t>
        </is>
      </c>
      <c r="B279" s="16" t="inlineStr">
        <is>
          <t>Assertions &amp; Execution Plans</t>
        </is>
      </c>
      <c r="C279" s="16" t="inlineStr">
        <is>
          <t>Plan Create</t>
        </is>
      </c>
      <c r="D279" s="16" t="inlineStr">
        <is>
          <t>Functional</t>
        </is>
      </c>
      <c r="E279" s="16" t="inlineStr">
        <is>
          <t>Create plan with 3 steps</t>
        </is>
      </c>
      <c r="F279" s="16" t="inlineStr">
        <is>
          <t>-</t>
        </is>
      </c>
      <c r="G279" s="16" t="inlineStr">
        <is>
          <t>1. New plan; add 3 steps.</t>
        </is>
      </c>
      <c r="H279" s="16" t="inlineStr">
        <is>
          <t>-</t>
        </is>
      </c>
      <c r="I279" s="16" t="inlineStr">
        <is>
          <t>Saved; order; each step shows source request.</t>
        </is>
      </c>
      <c r="J279" s="16" t="inlineStr"/>
      <c r="K279" s="16" t="inlineStr">
        <is>
          <t>Not Run</t>
        </is>
      </c>
      <c r="L279" s="16" t="inlineStr">
        <is>
          <t>High</t>
        </is>
      </c>
      <c r="M279" s="16" t="inlineStr"/>
      <c r="N279" s="16" t="inlineStr"/>
      <c r="O279" s="16" t="inlineStr"/>
    </row>
    <row r="280" ht="72" customHeight="1">
      <c r="A280" s="16" t="inlineStr">
        <is>
          <t>TC-AS-0002</t>
        </is>
      </c>
      <c r="B280" s="16" t="inlineStr">
        <is>
          <t>Assertions &amp; Execution Plans</t>
        </is>
      </c>
      <c r="C280" s="16" t="inlineStr">
        <is>
          <t>Plan Run</t>
        </is>
      </c>
      <c r="D280" s="16" t="inlineStr">
        <is>
          <t>Functional</t>
        </is>
      </c>
      <c r="E280" s="16" t="inlineStr">
        <is>
          <t>Run sequentially</t>
        </is>
      </c>
      <c r="F280" s="16" t="inlineStr">
        <is>
          <t>-</t>
        </is>
      </c>
      <c r="G280" s="16" t="inlineStr">
        <is>
          <t>1. Run.</t>
        </is>
      </c>
      <c r="H280" s="16" t="inlineStr">
        <is>
          <t>-</t>
        </is>
      </c>
      <c r="I280" s="16" t="inlineStr">
        <is>
          <t>Each step runs in order; aggregate visible.</t>
        </is>
      </c>
      <c r="J280" s="16" t="inlineStr"/>
      <c r="K280" s="16" t="inlineStr">
        <is>
          <t>Not Run</t>
        </is>
      </c>
      <c r="L280" s="16" t="inlineStr">
        <is>
          <t>High</t>
        </is>
      </c>
      <c r="M280" s="16" t="inlineStr"/>
      <c r="N280" s="16" t="inlineStr"/>
      <c r="O280" s="16" t="inlineStr"/>
    </row>
    <row r="281" ht="72" customHeight="1">
      <c r="A281" s="16" t="inlineStr">
        <is>
          <t>TC-AS-0003</t>
        </is>
      </c>
      <c r="B281" s="16" t="inlineStr">
        <is>
          <t>Assertions &amp; Execution Plans</t>
        </is>
      </c>
      <c r="C281" s="16" t="inlineStr">
        <is>
          <t>Plan Run</t>
        </is>
      </c>
      <c r="D281" s="16" t="inlineStr">
        <is>
          <t>Functional</t>
        </is>
      </c>
      <c r="E281" s="16" t="inlineStr">
        <is>
          <t>Disabled step skipped</t>
        </is>
      </c>
      <c r="F281" s="16" t="inlineStr">
        <is>
          <t>-</t>
        </is>
      </c>
      <c r="G281" s="16" t="inlineStr">
        <is>
          <t>1. Run.</t>
        </is>
      </c>
      <c r="H281" s="16" t="inlineStr">
        <is>
          <t>-</t>
        </is>
      </c>
      <c r="I281" s="16" t="inlineStr">
        <is>
          <t>Skipped count separated.</t>
        </is>
      </c>
      <c r="J281" s="16" t="inlineStr"/>
      <c r="K281" s="16" t="inlineStr">
        <is>
          <t>Not Run</t>
        </is>
      </c>
      <c r="L281" s="16" t="inlineStr">
        <is>
          <t>Medium</t>
        </is>
      </c>
      <c r="M281" s="16" t="inlineStr"/>
      <c r="N281" s="16" t="inlineStr"/>
      <c r="O281" s="16" t="inlineStr"/>
    </row>
    <row r="282" ht="72" customHeight="1">
      <c r="A282" s="16" t="inlineStr">
        <is>
          <t>TC-AS-0004</t>
        </is>
      </c>
      <c r="B282" s="16" t="inlineStr">
        <is>
          <t>Assertions &amp; Execution Plans</t>
        </is>
      </c>
      <c r="C282" s="16" t="inlineStr">
        <is>
          <t>Plan Run</t>
        </is>
      </c>
      <c r="D282" s="16" t="inlineStr">
        <is>
          <t>Functional</t>
        </is>
      </c>
      <c r="E282" s="16" t="inlineStr">
        <is>
          <t>Stop on failure</t>
        </is>
      </c>
      <c r="F282" s="16" t="inlineStr">
        <is>
          <t>-</t>
        </is>
      </c>
      <c r="G282" s="16" t="inlineStr">
        <is>
          <t>1. Run.</t>
        </is>
      </c>
      <c r="H282" s="16" t="inlineStr">
        <is>
          <t>-</t>
        </is>
      </c>
      <c r="I282" s="16" t="inlineStr">
        <is>
          <t>Subsequent steps 'not run'.</t>
        </is>
      </c>
      <c r="J282" s="16" t="inlineStr"/>
      <c r="K282" s="16" t="inlineStr">
        <is>
          <t>Not Run</t>
        </is>
      </c>
      <c r="L282" s="16" t="inlineStr">
        <is>
          <t>Medium</t>
        </is>
      </c>
      <c r="M282" s="16" t="inlineStr"/>
      <c r="N282" s="16" t="inlineStr"/>
      <c r="O282" s="16" t="inlineStr"/>
    </row>
    <row r="283" ht="72" customHeight="1">
      <c r="A283" s="16" t="inlineStr">
        <is>
          <t>TC-AS-0005</t>
        </is>
      </c>
      <c r="B283" s="16" t="inlineStr">
        <is>
          <t>Assertions &amp; Execution Plans</t>
        </is>
      </c>
      <c r="C283" s="16" t="inlineStr">
        <is>
          <t>Plan Report</t>
        </is>
      </c>
      <c r="D283" s="16" t="inlineStr">
        <is>
          <t>Functional</t>
        </is>
      </c>
      <c r="E283" s="16" t="inlineStr">
        <is>
          <t>Per-step results</t>
        </is>
      </c>
      <c r="F283" s="16" t="inlineStr">
        <is>
          <t>-</t>
        </is>
      </c>
      <c r="G283" s="16" t="inlineStr">
        <is>
          <t>1. Expand step.</t>
        </is>
      </c>
      <c r="H283" s="16" t="inlineStr">
        <is>
          <t>-</t>
        </is>
      </c>
      <c r="I283" s="16" t="inlineStr">
        <is>
          <t>Request, response, assertions.</t>
        </is>
      </c>
      <c r="J283" s="16" t="inlineStr"/>
      <c r="K283" s="16" t="inlineStr">
        <is>
          <t>Not Run</t>
        </is>
      </c>
      <c r="L283" s="16" t="inlineStr">
        <is>
          <t>Medium</t>
        </is>
      </c>
      <c r="M283" s="16" t="inlineStr"/>
      <c r="N283" s="16" t="inlineStr"/>
      <c r="O283" s="16" t="inlineStr"/>
    </row>
    <row r="284" ht="72" customHeight="1">
      <c r="A284" s="16" t="inlineStr">
        <is>
          <t>TC-AS-0006</t>
        </is>
      </c>
      <c r="B284" s="16" t="inlineStr">
        <is>
          <t>Assertions &amp; Execution Plans</t>
        </is>
      </c>
      <c r="C284" s="16" t="inlineStr">
        <is>
          <t>Plan Reorder</t>
        </is>
      </c>
      <c r="D284" s="16" t="inlineStr">
        <is>
          <t>Functional</t>
        </is>
      </c>
      <c r="E284" s="16" t="inlineStr">
        <is>
          <t>Drag reorder</t>
        </is>
      </c>
      <c r="F284" s="16" t="inlineStr">
        <is>
          <t>-</t>
        </is>
      </c>
      <c r="G284" s="16" t="inlineStr">
        <is>
          <t>1. Drag step 4 to 1.</t>
        </is>
      </c>
      <c r="H284" s="16" t="inlineStr">
        <is>
          <t>-</t>
        </is>
      </c>
      <c r="I284" s="16" t="inlineStr">
        <is>
          <t>Persists.</t>
        </is>
      </c>
      <c r="J284" s="16" t="inlineStr"/>
      <c r="K284" s="16" t="inlineStr">
        <is>
          <t>Not Run</t>
        </is>
      </c>
      <c r="L284" s="16" t="inlineStr">
        <is>
          <t>Medium</t>
        </is>
      </c>
      <c r="M284" s="16" t="inlineStr"/>
      <c r="N284" s="16" t="inlineStr"/>
      <c r="O284" s="16" t="inlineStr"/>
    </row>
    <row r="285" ht="72" customHeight="1">
      <c r="A285" s="16" t="inlineStr">
        <is>
          <t>TC-AS-0007</t>
        </is>
      </c>
      <c r="B285" s="16" t="inlineStr">
        <is>
          <t>Assertions &amp; Execution Plans</t>
        </is>
      </c>
      <c r="C285" s="16" t="inlineStr">
        <is>
          <t>Plan Env</t>
        </is>
      </c>
      <c r="D285" s="16" t="inlineStr">
        <is>
          <t>Functional</t>
        </is>
      </c>
      <c r="E285" s="16" t="inlineStr">
        <is>
          <t>Plan-level env priority</t>
        </is>
      </c>
      <c r="F285" s="16" t="inlineStr">
        <is>
          <t>-</t>
        </is>
      </c>
      <c r="G285" s="16" t="inlineStr">
        <is>
          <t>1. Run.</t>
        </is>
      </c>
      <c r="H285" s="16" t="inlineStr">
        <is>
          <t>-</t>
        </is>
      </c>
      <c r="I285" s="16" t="inlineStr">
        <is>
          <t>Honors plan priority.</t>
        </is>
      </c>
      <c r="J285" s="16" t="inlineStr"/>
      <c r="K285" s="16" t="inlineStr">
        <is>
          <t>Not Run</t>
        </is>
      </c>
      <c r="L285" s="16" t="inlineStr">
        <is>
          <t>Medium</t>
        </is>
      </c>
      <c r="M285" s="16" t="inlineStr"/>
      <c r="N285" s="16" t="inlineStr"/>
      <c r="O285" s="16" t="inlineStr"/>
    </row>
    <row r="286" ht="72" customHeight="1">
      <c r="A286" s="16" t="inlineStr">
        <is>
          <t>TC-AS-0008</t>
        </is>
      </c>
      <c r="B286" s="16" t="inlineStr">
        <is>
          <t>Assertions &amp; Execution Plans</t>
        </is>
      </c>
      <c r="C286" s="16" t="inlineStr">
        <is>
          <t>Plan Loop</t>
        </is>
      </c>
      <c r="D286" s="16" t="inlineStr">
        <is>
          <t>Edge Case</t>
        </is>
      </c>
      <c r="E286" s="16" t="inlineStr">
        <is>
          <t>Same step twice</t>
        </is>
      </c>
      <c r="F286" s="16" t="inlineStr">
        <is>
          <t>-</t>
        </is>
      </c>
      <c r="G286" s="16" t="inlineStr">
        <is>
          <t>1. R as steps 1 and 3.</t>
        </is>
      </c>
      <c r="H286" s="16" t="inlineStr">
        <is>
          <t>-</t>
        </is>
      </c>
      <c r="I286" s="16" t="inlineStr">
        <is>
          <t>Both tracked separately.</t>
        </is>
      </c>
      <c r="J286" s="16" t="inlineStr"/>
      <c r="K286" s="16" t="inlineStr">
        <is>
          <t>Not Run</t>
        </is>
      </c>
      <c r="L286" s="16" t="inlineStr">
        <is>
          <t>Low</t>
        </is>
      </c>
      <c r="M286" s="16" t="inlineStr"/>
      <c r="N286" s="16" t="inlineStr"/>
      <c r="O286" s="16" t="inlineStr"/>
    </row>
    <row r="287" ht="72" customHeight="1">
      <c r="A287" s="16" t="inlineStr">
        <is>
          <t>TC-AS-0009</t>
        </is>
      </c>
      <c r="B287" s="16" t="inlineStr">
        <is>
          <t>Assertions &amp; Execution Plans</t>
        </is>
      </c>
      <c r="C287" s="16" t="inlineStr">
        <is>
          <t>Plan Data</t>
        </is>
      </c>
      <c r="D287" s="16" t="inlineStr">
        <is>
          <t>Edge Case</t>
        </is>
      </c>
      <c r="E287" s="16" t="inlineStr">
        <is>
          <t>Pass data step-&gt;step</t>
        </is>
      </c>
      <c r="F287" s="16" t="inlineStr">
        <is>
          <t>-</t>
        </is>
      </c>
      <c r="G287" s="16" t="inlineStr">
        <is>
          <t>1. Step 1 extracts token; step 2 uses {{token}}.</t>
        </is>
      </c>
      <c r="H287" s="16" t="inlineStr">
        <is>
          <t>-</t>
        </is>
      </c>
      <c r="I287" s="16" t="inlineStr">
        <is>
          <t>Step 2 uses extracted value.</t>
        </is>
      </c>
      <c r="J287" s="16" t="inlineStr"/>
      <c r="K287" s="16" t="inlineStr">
        <is>
          <t>Not Run</t>
        </is>
      </c>
      <c r="L287" s="16" t="inlineStr">
        <is>
          <t>Medium</t>
        </is>
      </c>
      <c r="M287" s="16" t="inlineStr"/>
      <c r="N287" s="16" t="inlineStr"/>
      <c r="O287" s="16" t="inlineStr"/>
    </row>
    <row r="288" ht="72" customHeight="1">
      <c r="A288" s="16" t="inlineStr">
        <is>
          <t>TC-DC-0001</t>
        </is>
      </c>
      <c r="B288" s="16" t="inlineStr">
        <is>
          <t>Documentation Viewer</t>
        </is>
      </c>
      <c r="C288" s="16" t="inlineStr">
        <is>
          <t>Help</t>
        </is>
      </c>
      <c r="D288" s="16" t="inlineStr">
        <is>
          <t>Functional</t>
        </is>
      </c>
      <c r="E288" s="16" t="inlineStr">
        <is>
          <t>Search topic</t>
        </is>
      </c>
      <c r="F288" s="16" t="inlineStr">
        <is>
          <t>-</t>
        </is>
      </c>
      <c r="G288" s="16" t="inlineStr">
        <is>
          <t>1. Search 'oauth'.</t>
        </is>
      </c>
      <c r="H288" s="16" t="inlineStr">
        <is>
          <t>-</t>
        </is>
      </c>
      <c r="I288" s="16" t="inlineStr">
        <is>
          <t>Matching topics surface; Markdown renders.</t>
        </is>
      </c>
      <c r="J288" s="16" t="inlineStr"/>
      <c r="K288" s="16" t="inlineStr">
        <is>
          <t>Not Run</t>
        </is>
      </c>
      <c r="L288" s="16" t="inlineStr">
        <is>
          <t>Medium</t>
        </is>
      </c>
      <c r="M288" s="16" t="inlineStr"/>
      <c r="N288" s="16" t="inlineStr"/>
      <c r="O288" s="16" t="inlineStr"/>
    </row>
    <row r="289" ht="72" customHeight="1">
      <c r="A289" s="16" t="inlineStr">
        <is>
          <t>TC-DC-0002</t>
        </is>
      </c>
      <c r="B289" s="16" t="inlineStr">
        <is>
          <t>Documentation Viewer</t>
        </is>
      </c>
      <c r="C289" s="16" t="inlineStr">
        <is>
          <t>Help</t>
        </is>
      </c>
      <c r="D289" s="16" t="inlineStr">
        <is>
          <t>Security</t>
        </is>
      </c>
      <c r="E289" s="16" t="inlineStr">
        <is>
          <t>Markdown XSS safe</t>
        </is>
      </c>
      <c r="F289" s="16" t="inlineStr">
        <is>
          <t>-</t>
        </is>
      </c>
      <c r="G289" s="16" t="inlineStr">
        <is>
          <t>1. Open crafted topic.</t>
        </is>
      </c>
      <c r="H289" s="16" t="inlineStr">
        <is>
          <t>-</t>
        </is>
      </c>
      <c r="I289" s="16" t="inlineStr">
        <is>
          <t>Script tags escaped; no execution.</t>
        </is>
      </c>
      <c r="J289" s="16" t="inlineStr"/>
      <c r="K289" s="16" t="inlineStr">
        <is>
          <t>Not Run</t>
        </is>
      </c>
      <c r="L289" s="16" t="inlineStr">
        <is>
          <t>High</t>
        </is>
      </c>
      <c r="M289" s="16" t="inlineStr"/>
      <c r="N289" s="16" t="inlineStr"/>
      <c r="O289" s="16" t="inlineStr"/>
    </row>
    <row r="290" ht="72" customHeight="1">
      <c r="A290" s="16" t="inlineStr">
        <is>
          <t>TC-DC-0003</t>
        </is>
      </c>
      <c r="B290" s="16" t="inlineStr">
        <is>
          <t>Documentation Viewer</t>
        </is>
      </c>
      <c r="C290" s="16" t="inlineStr">
        <is>
          <t>Request Docs</t>
        </is>
      </c>
      <c r="D290" s="16" t="inlineStr">
        <is>
          <t>Functional</t>
        </is>
      </c>
      <c r="E290" s="16" t="inlineStr">
        <is>
          <t>Markdown renders</t>
        </is>
      </c>
      <c r="F290" s="16" t="inlineStr">
        <is>
          <t>-</t>
        </is>
      </c>
      <c r="G290" s="16" t="inlineStr">
        <is>
          <t>1. Open Docs tab.</t>
        </is>
      </c>
      <c r="H290" s="16" t="inlineStr">
        <is>
          <t>-</t>
        </is>
      </c>
      <c r="I290" s="16" t="inlineStr">
        <is>
          <t>Heading and bullet render.</t>
        </is>
      </c>
      <c r="J290" s="16" t="inlineStr"/>
      <c r="K290" s="16" t="inlineStr">
        <is>
          <t>Not Run</t>
        </is>
      </c>
      <c r="L290" s="16" t="inlineStr">
        <is>
          <t>Medium</t>
        </is>
      </c>
      <c r="M290" s="16" t="inlineStr"/>
      <c r="N290" s="16" t="inlineStr"/>
      <c r="O290" s="16" t="inlineStr"/>
    </row>
    <row r="291" ht="72" customHeight="1">
      <c r="A291" s="16" t="inlineStr">
        <is>
          <t>TC-DC-0004</t>
        </is>
      </c>
      <c r="B291" s="16" t="inlineStr">
        <is>
          <t>Documentation Viewer</t>
        </is>
      </c>
      <c r="C291" s="16" t="inlineStr">
        <is>
          <t>External</t>
        </is>
      </c>
      <c r="D291" s="16" t="inlineStr">
        <is>
          <t>UX/UI</t>
        </is>
      </c>
      <c r="E291" s="16" t="inlineStr">
        <is>
          <t>External links open externally</t>
        </is>
      </c>
      <c r="F291" s="16" t="inlineStr">
        <is>
          <t>-</t>
        </is>
      </c>
      <c r="G291" s="16" t="inlineStr">
        <is>
          <t>1. Click external link.</t>
        </is>
      </c>
      <c r="H291" s="16" t="inlineStr">
        <is>
          <t>-</t>
        </is>
      </c>
      <c r="I291" s="16" t="inlineStr">
        <is>
          <t>Web: new tab. Desktop: OS browser.</t>
        </is>
      </c>
      <c r="J291" s="16" t="inlineStr"/>
      <c r="K291" s="16" t="inlineStr">
        <is>
          <t>Not Run</t>
        </is>
      </c>
      <c r="L291" s="16" t="inlineStr">
        <is>
          <t>Medium</t>
        </is>
      </c>
      <c r="M291" s="16" t="inlineStr"/>
      <c r="N291" s="16" t="inlineStr"/>
      <c r="O291" s="16" t="inlineStr"/>
    </row>
    <row r="292" ht="72" customHeight="1">
      <c r="A292" s="16" t="inlineStr">
        <is>
          <t>TC-SE-0001</t>
        </is>
      </c>
      <c r="B292" s="16" t="inlineStr">
        <is>
          <t>Search &amp; Marketplace</t>
        </is>
      </c>
      <c r="C292" s="16" t="inlineStr">
        <is>
          <t>Marketplace</t>
        </is>
      </c>
      <c r="D292" s="16" t="inlineStr">
        <is>
          <t>Functional</t>
        </is>
      </c>
      <c r="E292" s="16" t="inlineStr">
        <is>
          <t>Search public workspaces</t>
        </is>
      </c>
      <c r="F292" s="16" t="inlineStr">
        <is>
          <t>-</t>
        </is>
      </c>
      <c r="G292" s="16" t="inlineStr">
        <is>
          <t>1. Search 'stripe'.</t>
        </is>
      </c>
      <c r="H292" s="16" t="inlineStr">
        <is>
          <t>-</t>
        </is>
      </c>
      <c r="I292" s="16" t="inlineStr">
        <is>
          <t>Matching listed.</t>
        </is>
      </c>
      <c r="J292" s="16" t="inlineStr"/>
      <c r="K292" s="16" t="inlineStr">
        <is>
          <t>Not Run</t>
        </is>
      </c>
      <c r="L292" s="16" t="inlineStr">
        <is>
          <t>Low</t>
        </is>
      </c>
      <c r="M292" s="16" t="inlineStr"/>
      <c r="N292" s="16" t="inlineStr"/>
      <c r="O292" s="16" t="inlineStr"/>
    </row>
    <row r="293" ht="72" customHeight="1">
      <c r="A293" s="16" t="inlineStr">
        <is>
          <t>TC-SE-0002</t>
        </is>
      </c>
      <c r="B293" s="16" t="inlineStr">
        <is>
          <t>Search &amp; Marketplace</t>
        </is>
      </c>
      <c r="C293" s="16" t="inlineStr">
        <is>
          <t>Marketplace</t>
        </is>
      </c>
      <c r="D293" s="16" t="inlineStr">
        <is>
          <t>Functional</t>
        </is>
      </c>
      <c r="E293" s="16" t="inlineStr">
        <is>
          <t>Link public workspace</t>
        </is>
      </c>
      <c r="F293" s="16" t="inlineStr">
        <is>
          <t>-</t>
        </is>
      </c>
      <c r="G293" s="16" t="inlineStr">
        <is>
          <t>1. Add to workspace.</t>
        </is>
      </c>
      <c r="H293" s="16" t="inlineStr">
        <is>
          <t>-</t>
        </is>
      </c>
      <c r="I293" s="16" t="inlineStr">
        <is>
          <t>Linked WS appears; collections referenceable.</t>
        </is>
      </c>
      <c r="J293" s="16" t="inlineStr"/>
      <c r="K293" s="16" t="inlineStr">
        <is>
          <t>Not Run</t>
        </is>
      </c>
      <c r="L293" s="16" t="inlineStr">
        <is>
          <t>Medium</t>
        </is>
      </c>
      <c r="M293" s="16" t="inlineStr"/>
      <c r="N293" s="16" t="inlineStr"/>
      <c r="O293" s="16" t="inlineStr"/>
    </row>
    <row r="294" ht="72" customHeight="1">
      <c r="A294" s="16" t="inlineStr">
        <is>
          <t>TC-SE-0003</t>
        </is>
      </c>
      <c r="B294" s="16" t="inlineStr">
        <is>
          <t>Search &amp; Marketplace</t>
        </is>
      </c>
      <c r="C294" s="16" t="inlineStr">
        <is>
          <t>Marketplace</t>
        </is>
      </c>
      <c r="D294" s="16" t="inlineStr">
        <is>
          <t>Negative</t>
        </is>
      </c>
      <c r="E294" s="16" t="inlineStr">
        <is>
          <t>Empty results</t>
        </is>
      </c>
      <c r="F294" s="16" t="inlineStr">
        <is>
          <t>-</t>
        </is>
      </c>
      <c r="G294" s="16" t="inlineStr">
        <is>
          <t>1. Search 'xyzzy'.</t>
        </is>
      </c>
      <c r="H294" s="16" t="inlineStr">
        <is>
          <t>-</t>
        </is>
      </c>
      <c r="I294" s="16" t="inlineStr">
        <is>
          <t>Empty state message.</t>
        </is>
      </c>
      <c r="J294" s="16" t="inlineStr"/>
      <c r="K294" s="16" t="inlineStr">
        <is>
          <t>Not Run</t>
        </is>
      </c>
      <c r="L294" s="16" t="inlineStr">
        <is>
          <t>Low</t>
        </is>
      </c>
      <c r="M294" s="16" t="inlineStr"/>
      <c r="N294" s="16" t="inlineStr"/>
      <c r="O294" s="16" t="inlineStr"/>
    </row>
    <row r="295" ht="72" customHeight="1">
      <c r="A295" s="16" t="inlineStr">
        <is>
          <t>TC-KB-0001</t>
        </is>
      </c>
      <c r="B295" s="16" t="inlineStr">
        <is>
          <t>Keyboard Shortcuts</t>
        </is>
      </c>
      <c r="C295" s="16" t="inlineStr">
        <is>
          <t>Send</t>
        </is>
      </c>
      <c r="D295" s="16" t="inlineStr">
        <is>
          <t>Functional</t>
        </is>
      </c>
      <c r="E295" s="16" t="inlineStr">
        <is>
          <t>Ctrl/Cmd+Enter sends</t>
        </is>
      </c>
      <c r="F295" s="16" t="inlineStr">
        <is>
          <t>-</t>
        </is>
      </c>
      <c r="G295" s="16" t="inlineStr">
        <is>
          <t>1. Anywhere; shortcut.</t>
        </is>
      </c>
      <c r="H295" s="16" t="inlineStr">
        <is>
          <t>-</t>
        </is>
      </c>
      <c r="I295" s="16" t="inlineStr">
        <is>
          <t>Request sent.</t>
        </is>
      </c>
      <c r="J295" s="16" t="inlineStr"/>
      <c r="K295" s="16" t="inlineStr">
        <is>
          <t>Not Run</t>
        </is>
      </c>
      <c r="L295" s="16" t="inlineStr">
        <is>
          <t>High</t>
        </is>
      </c>
      <c r="M295" s="16" t="inlineStr"/>
      <c r="N295" s="16" t="inlineStr"/>
      <c r="O295" s="16" t="inlineStr"/>
    </row>
    <row r="296" ht="72" customHeight="1">
      <c r="A296" s="16" t="inlineStr">
        <is>
          <t>TC-KB-0002</t>
        </is>
      </c>
      <c r="B296" s="16" t="inlineStr">
        <is>
          <t>Keyboard Shortcuts</t>
        </is>
      </c>
      <c r="C296" s="16" t="inlineStr">
        <is>
          <t>Panels</t>
        </is>
      </c>
      <c r="D296" s="16" t="inlineStr">
        <is>
          <t>Functional</t>
        </is>
      </c>
      <c r="E296" s="16" t="inlineStr">
        <is>
          <t>Ctrl/Cmd+1..9 switches</t>
        </is>
      </c>
      <c r="F296" s="16" t="inlineStr">
        <is>
          <t>-</t>
        </is>
      </c>
      <c r="G296" s="16" t="inlineStr">
        <is>
          <t>1. 1, 3, 7.</t>
        </is>
      </c>
      <c r="H296" s="16" t="inlineStr">
        <is>
          <t>-</t>
        </is>
      </c>
      <c r="I296" s="16" t="inlineStr">
        <is>
          <t>Switches; suppressed while typing in inputs.</t>
        </is>
      </c>
      <c r="J296" s="16" t="inlineStr"/>
      <c r="K296" s="16" t="inlineStr">
        <is>
          <t>Not Run</t>
        </is>
      </c>
      <c r="L296" s="16" t="inlineStr">
        <is>
          <t>Medium</t>
        </is>
      </c>
      <c r="M296" s="16" t="inlineStr"/>
      <c r="N296" s="16" t="inlineStr"/>
      <c r="O296" s="16" t="inlineStr"/>
    </row>
    <row r="297" ht="72" customHeight="1">
      <c r="A297" s="16" t="inlineStr">
        <is>
          <t>TC-KB-0003</t>
        </is>
      </c>
      <c r="B297" s="16" t="inlineStr">
        <is>
          <t>Keyboard Shortcuts</t>
        </is>
      </c>
      <c r="C297" s="16" t="inlineStr">
        <is>
          <t>Vault</t>
        </is>
      </c>
      <c r="D297" s="16" t="inlineStr">
        <is>
          <t>Functional</t>
        </is>
      </c>
      <c r="E297" s="16" t="inlineStr">
        <is>
          <t>Ctrl/Cmd+K opens Vault</t>
        </is>
      </c>
      <c r="F297" s="16" t="inlineStr">
        <is>
          <t>-</t>
        </is>
      </c>
      <c r="G297" s="16" t="inlineStr">
        <is>
          <t>1. Shortcut.</t>
        </is>
      </c>
      <c r="H297" s="16" t="inlineStr">
        <is>
          <t>-</t>
        </is>
      </c>
      <c r="I297" s="16" t="inlineStr">
        <is>
          <t>Right dock Vault.</t>
        </is>
      </c>
      <c r="J297" s="16" t="inlineStr"/>
      <c r="K297" s="16" t="inlineStr">
        <is>
          <t>Not Run</t>
        </is>
      </c>
      <c r="L297" s="16" t="inlineStr">
        <is>
          <t>Low</t>
        </is>
      </c>
      <c r="M297" s="16" t="inlineStr"/>
      <c r="N297" s="16" t="inlineStr"/>
      <c r="O297" s="16" t="inlineStr"/>
    </row>
    <row r="298" ht="72" customHeight="1">
      <c r="A298" s="16" t="inlineStr">
        <is>
          <t>TC-KB-0004</t>
        </is>
      </c>
      <c r="B298" s="16" t="inlineStr">
        <is>
          <t>Keyboard Shortcuts</t>
        </is>
      </c>
      <c r="C298" s="16" t="inlineStr">
        <is>
          <t>Refresh</t>
        </is>
      </c>
      <c r="D298" s="16" t="inlineStr">
        <is>
          <t>Functional</t>
        </is>
      </c>
      <c r="E298" s="16" t="inlineStr">
        <is>
          <t>Ctrl/Cmd+Shift+R refresh</t>
        </is>
      </c>
      <c r="F298" s="16" t="inlineStr">
        <is>
          <t>-</t>
        </is>
      </c>
      <c r="G298" s="16" t="inlineStr">
        <is>
          <t>1. Shortcut.</t>
        </is>
      </c>
      <c r="H298" s="16" t="inlineStr">
        <is>
          <t>-</t>
        </is>
      </c>
      <c r="I298" s="16" t="inlineStr">
        <is>
          <t>Refresh; not page reload.</t>
        </is>
      </c>
      <c r="J298" s="16" t="inlineStr"/>
      <c r="K298" s="16" t="inlineStr">
        <is>
          <t>Not Run</t>
        </is>
      </c>
      <c r="L298" s="16" t="inlineStr">
        <is>
          <t>Medium</t>
        </is>
      </c>
      <c r="M298" s="16" t="inlineStr"/>
      <c r="N298" s="16" t="inlineStr"/>
      <c r="O298" s="16" t="inlineStr"/>
    </row>
    <row r="299" ht="72" customHeight="1">
      <c r="A299" s="16" t="inlineStr">
        <is>
          <t>TC-KB-0005</t>
        </is>
      </c>
      <c r="B299" s="16" t="inlineStr">
        <is>
          <t>Keyboard Shortcuts</t>
        </is>
      </c>
      <c r="C299" s="16" t="inlineStr">
        <is>
          <t>Font Size</t>
        </is>
      </c>
      <c r="D299" s="16" t="inlineStr">
        <is>
          <t>Functional</t>
        </is>
      </c>
      <c r="E299" s="16" t="inlineStr">
        <is>
          <t>Ctrl/Cmd+Shift+= increases</t>
        </is>
      </c>
      <c r="F299" s="16" t="inlineStr">
        <is>
          <t>-</t>
        </is>
      </c>
      <c r="G299" s="16" t="inlineStr">
        <is>
          <t>1. x3.</t>
        </is>
      </c>
      <c r="H299" s="16" t="inlineStr">
        <is>
          <t>-</t>
        </is>
      </c>
      <c r="I299" s="16" t="inlineStr">
        <is>
          <t>Scales up.</t>
        </is>
      </c>
      <c r="J299" s="16" t="inlineStr"/>
      <c r="K299" s="16" t="inlineStr">
        <is>
          <t>Not Run</t>
        </is>
      </c>
      <c r="L299" s="16" t="inlineStr">
        <is>
          <t>Low</t>
        </is>
      </c>
      <c r="M299" s="16" t="inlineStr"/>
      <c r="N299" s="16" t="inlineStr"/>
      <c r="O299" s="16" t="inlineStr"/>
    </row>
    <row r="300" ht="72" customHeight="1">
      <c r="A300" s="16" t="inlineStr">
        <is>
          <t>TC-KB-0006</t>
        </is>
      </c>
      <c r="B300" s="16" t="inlineStr">
        <is>
          <t>Keyboard Shortcuts</t>
        </is>
      </c>
      <c r="C300" s="16" t="inlineStr">
        <is>
          <t>New Request</t>
        </is>
      </c>
      <c r="D300" s="16" t="inlineStr">
        <is>
          <t>Functional</t>
        </is>
      </c>
      <c r="E300" s="16" t="inlineStr">
        <is>
          <t>Ctrl/Cmd+N</t>
        </is>
      </c>
      <c r="F300" s="16" t="inlineStr">
        <is>
          <t>-</t>
        </is>
      </c>
      <c r="G300" s="16" t="inlineStr">
        <is>
          <t>1. Shortcut in Editor.</t>
        </is>
      </c>
      <c r="H300" s="16" t="inlineStr">
        <is>
          <t>-</t>
        </is>
      </c>
      <c r="I300" s="16" t="inlineStr">
        <is>
          <t>New request.</t>
        </is>
      </c>
      <c r="J300" s="16" t="inlineStr"/>
      <c r="K300" s="16" t="inlineStr">
        <is>
          <t>Not Run</t>
        </is>
      </c>
      <c r="L300" s="16" t="inlineStr">
        <is>
          <t>Medium</t>
        </is>
      </c>
      <c r="M300" s="16" t="inlineStr"/>
      <c r="N300" s="16" t="inlineStr"/>
      <c r="O300" s="16" t="inlineStr"/>
    </row>
    <row r="301" ht="72" customHeight="1">
      <c r="A301" s="16" t="inlineStr">
        <is>
          <t>TC-KB-0007</t>
        </is>
      </c>
      <c r="B301" s="16" t="inlineStr">
        <is>
          <t>Keyboard Shortcuts</t>
        </is>
      </c>
      <c r="C301" s="16" t="inlineStr">
        <is>
          <t>Conflict</t>
        </is>
      </c>
      <c r="D301" s="16" t="inlineStr">
        <is>
          <t>Compatibility</t>
        </is>
      </c>
      <c r="E301" s="16" t="inlineStr">
        <is>
          <t>Ctrl+R reloads browser</t>
        </is>
      </c>
      <c r="F301" s="16" t="inlineStr">
        <is>
          <t>-</t>
        </is>
      </c>
      <c r="G301" s="16" t="inlineStr">
        <is>
          <t>1. Shortcut.</t>
        </is>
      </c>
      <c r="H301" s="16" t="inlineStr">
        <is>
          <t>-</t>
        </is>
      </c>
      <c r="I301" s="16" t="inlineStr">
        <is>
          <t>Browser reload; use Shift+R for workspace refresh.</t>
        </is>
      </c>
      <c r="J301" s="16" t="inlineStr"/>
      <c r="K301" s="16" t="inlineStr">
        <is>
          <t>Not Run</t>
        </is>
      </c>
      <c r="L301" s="16" t="inlineStr">
        <is>
          <t>Medium</t>
        </is>
      </c>
      <c r="M301" s="16" t="inlineStr"/>
      <c r="N301" s="16" t="inlineStr"/>
      <c r="O301" s="16" t="inlineStr"/>
    </row>
    <row r="302" ht="72" customHeight="1">
      <c r="A302" s="16" t="inlineStr">
        <is>
          <t>TC-KB-0008</t>
        </is>
      </c>
      <c r="B302" s="16" t="inlineStr">
        <is>
          <t>Keyboard Shortcuts</t>
        </is>
      </c>
      <c r="C302" s="16" t="inlineStr">
        <is>
          <t>Conflict</t>
        </is>
      </c>
      <c r="D302" s="16" t="inlineStr">
        <is>
          <t>Compatibility</t>
        </is>
      </c>
      <c r="E302" s="16" t="inlineStr">
        <is>
          <t>Ctrl+W closes tab</t>
        </is>
      </c>
      <c r="F302" s="16" t="inlineStr">
        <is>
          <t>-</t>
        </is>
      </c>
      <c r="G302" s="16" t="inlineStr">
        <is>
          <t>1. Shortcut.</t>
        </is>
      </c>
      <c r="H302" s="16" t="inlineStr">
        <is>
          <t>-</t>
        </is>
      </c>
      <c r="I302" s="16" t="inlineStr">
        <is>
          <t>Tab closes; beforeunload may warn.</t>
        </is>
      </c>
      <c r="J302" s="16" t="inlineStr"/>
      <c r="K302" s="16" t="inlineStr">
        <is>
          <t>Not Run</t>
        </is>
      </c>
      <c r="L302" s="16" t="inlineStr">
        <is>
          <t>Medium</t>
        </is>
      </c>
      <c r="M302" s="16" t="inlineStr"/>
      <c r="N302" s="16" t="inlineStr"/>
      <c r="O302" s="16" t="inlineStr"/>
    </row>
    <row r="303" ht="72" customHeight="1">
      <c r="A303" s="16" t="inlineStr">
        <is>
          <t>TC-KB-0009</t>
        </is>
      </c>
      <c r="B303" s="16" t="inlineStr">
        <is>
          <t>Keyboard Shortcuts</t>
        </is>
      </c>
      <c r="C303" s="16" t="inlineStr">
        <is>
          <t>Conflict</t>
        </is>
      </c>
      <c r="D303" s="16" t="inlineStr">
        <is>
          <t>Compatibility</t>
        </is>
      </c>
      <c r="E303" s="16" t="inlineStr">
        <is>
          <t>Ctrl+F browser Find</t>
        </is>
      </c>
      <c r="F303" s="16" t="inlineStr">
        <is>
          <t>-</t>
        </is>
      </c>
      <c r="G303" s="16" t="inlineStr">
        <is>
          <t>1. Shortcut.</t>
        </is>
      </c>
      <c r="H303" s="16" t="inlineStr">
        <is>
          <t>-</t>
        </is>
      </c>
      <c r="I303" s="16" t="inlineStr">
        <is>
          <t>Browser Find bar.</t>
        </is>
      </c>
      <c r="J303" s="16" t="inlineStr"/>
      <c r="K303" s="16" t="inlineStr">
        <is>
          <t>Not Run</t>
        </is>
      </c>
      <c r="L303" s="16" t="inlineStr">
        <is>
          <t>Low</t>
        </is>
      </c>
      <c r="M303" s="16" t="inlineStr"/>
      <c r="N303" s="16" t="inlineStr"/>
      <c r="O303" s="16" t="inlineStr"/>
    </row>
    <row r="304" ht="72" customHeight="1">
      <c r="A304" s="16" t="inlineStr">
        <is>
          <t>TC-KB-0010</t>
        </is>
      </c>
      <c r="B304" s="16" t="inlineStr">
        <is>
          <t>Keyboard Shortcuts</t>
        </is>
      </c>
      <c r="C304" s="16" t="inlineStr">
        <is>
          <t>Conflict</t>
        </is>
      </c>
      <c r="D304" s="16" t="inlineStr">
        <is>
          <t>Compatibility</t>
        </is>
      </c>
      <c r="E304" s="16" t="inlineStr">
        <is>
          <t>Ctrl+P browser Print</t>
        </is>
      </c>
      <c r="F304" s="16" t="inlineStr">
        <is>
          <t>-</t>
        </is>
      </c>
      <c r="G304" s="16" t="inlineStr">
        <is>
          <t>1. Shortcut.</t>
        </is>
      </c>
      <c r="H304" s="16" t="inlineStr">
        <is>
          <t>-</t>
        </is>
      </c>
      <c r="I304" s="16" t="inlineStr">
        <is>
          <t>Print dialog.</t>
        </is>
      </c>
      <c r="J304" s="16" t="inlineStr"/>
      <c r="K304" s="16" t="inlineStr">
        <is>
          <t>Not Run</t>
        </is>
      </c>
      <c r="L304" s="16" t="inlineStr">
        <is>
          <t>Low</t>
        </is>
      </c>
      <c r="M304" s="16" t="inlineStr"/>
      <c r="N304" s="16" t="inlineStr"/>
      <c r="O304" s="16" t="inlineStr"/>
    </row>
    <row r="305" ht="72" customHeight="1">
      <c r="A305" s="16" t="inlineStr">
        <is>
          <t>TC-AL-0001</t>
        </is>
      </c>
      <c r="B305" s="16" t="inlineStr">
        <is>
          <t>Accessibility</t>
        </is>
      </c>
      <c r="C305" s="16" t="inlineStr">
        <is>
          <t>Tab Order</t>
        </is>
      </c>
      <c r="D305" s="16" t="inlineStr">
        <is>
          <t>A11y</t>
        </is>
      </c>
      <c r="E305" s="16" t="inlineStr">
        <is>
          <t>Logical tab order</t>
        </is>
      </c>
      <c r="F305" s="16" t="inlineStr">
        <is>
          <t>-</t>
        </is>
      </c>
      <c r="G305" s="16" t="inlineStr">
        <is>
          <t>1. Tab through.</t>
        </is>
      </c>
      <c r="H305" s="16" t="inlineStr">
        <is>
          <t>-</t>
        </is>
      </c>
      <c r="I305" s="16" t="inlineStr">
        <is>
          <t>No focus traps.</t>
        </is>
      </c>
      <c r="J305" s="16" t="inlineStr"/>
      <c r="K305" s="16" t="inlineStr">
        <is>
          <t>Not Run</t>
        </is>
      </c>
      <c r="L305" s="16" t="inlineStr">
        <is>
          <t>High</t>
        </is>
      </c>
      <c r="M305" s="16" t="inlineStr"/>
      <c r="N305" s="16" t="inlineStr"/>
      <c r="O305" s="16" t="inlineStr"/>
    </row>
    <row r="306" ht="72" customHeight="1">
      <c r="A306" s="16" t="inlineStr">
        <is>
          <t>TC-AL-0002</t>
        </is>
      </c>
      <c r="B306" s="16" t="inlineStr">
        <is>
          <t>Accessibility</t>
        </is>
      </c>
      <c r="C306" s="16" t="inlineStr">
        <is>
          <t>Focus Ring</t>
        </is>
      </c>
      <c r="D306" s="16" t="inlineStr">
        <is>
          <t>A11y</t>
        </is>
      </c>
      <c r="E306" s="16" t="inlineStr">
        <is>
          <t>Visible focus</t>
        </is>
      </c>
      <c r="F306" s="16" t="inlineStr">
        <is>
          <t>-</t>
        </is>
      </c>
      <c r="G306" s="16" t="inlineStr">
        <is>
          <t>1. Tab each.</t>
        </is>
      </c>
      <c r="H306" s="16" t="inlineStr">
        <is>
          <t>-</t>
        </is>
      </c>
      <c r="I306" s="16" t="inlineStr">
        <is>
          <t>Purple focus ring; &gt;=3:1 contrast.</t>
        </is>
      </c>
      <c r="J306" s="16" t="inlineStr"/>
      <c r="K306" s="16" t="inlineStr">
        <is>
          <t>Not Run</t>
        </is>
      </c>
      <c r="L306" s="16" t="inlineStr">
        <is>
          <t>High</t>
        </is>
      </c>
      <c r="M306" s="16" t="inlineStr"/>
      <c r="N306" s="16" t="inlineStr"/>
      <c r="O306" s="16" t="inlineStr"/>
    </row>
    <row r="307" ht="72" customHeight="1">
      <c r="A307" s="16" t="inlineStr">
        <is>
          <t>TC-AL-0003</t>
        </is>
      </c>
      <c r="B307" s="16" t="inlineStr">
        <is>
          <t>Accessibility</t>
        </is>
      </c>
      <c r="C307" s="16" t="inlineStr">
        <is>
          <t>Screen Reader</t>
        </is>
      </c>
      <c r="D307" s="16" t="inlineStr">
        <is>
          <t>A11y</t>
        </is>
      </c>
      <c r="E307" s="16" t="inlineStr">
        <is>
          <t>Buttons announce purpose</t>
        </is>
      </c>
      <c r="F307" s="16" t="inlineStr">
        <is>
          <t>-</t>
        </is>
      </c>
      <c r="G307" s="16" t="inlineStr">
        <is>
          <t>1. SR on; audit buttons.</t>
        </is>
      </c>
      <c r="H307" s="16" t="inlineStr">
        <is>
          <t>-</t>
        </is>
      </c>
      <c r="I307" s="16" t="inlineStr">
        <is>
          <t>Clear announcements; state changes announced.</t>
        </is>
      </c>
      <c r="J307" s="16" t="inlineStr"/>
      <c r="K307" s="16" t="inlineStr">
        <is>
          <t>Not Run</t>
        </is>
      </c>
      <c r="L307" s="16" t="inlineStr">
        <is>
          <t>Medium</t>
        </is>
      </c>
      <c r="M307" s="16" t="inlineStr"/>
      <c r="N307" s="16" t="inlineStr"/>
      <c r="O307" s="16" t="inlineStr"/>
    </row>
    <row r="308" ht="72" customHeight="1">
      <c r="A308" s="16" t="inlineStr">
        <is>
          <t>TC-AL-0004</t>
        </is>
      </c>
      <c r="B308" s="16" t="inlineStr">
        <is>
          <t>Accessibility</t>
        </is>
      </c>
      <c r="C308" s="16" t="inlineStr">
        <is>
          <t>Color Independence</t>
        </is>
      </c>
      <c r="D308" s="16" t="inlineStr">
        <is>
          <t>A11y</t>
        </is>
      </c>
      <c r="E308" s="16" t="inlineStr">
        <is>
          <t>Status not color-only</t>
        </is>
      </c>
      <c r="F308" s="16" t="inlineStr">
        <is>
          <t>-</t>
        </is>
      </c>
      <c r="G308" s="16" t="inlineStr">
        <is>
          <t>1. Inspect Tests.</t>
        </is>
      </c>
      <c r="H308" s="16" t="inlineStr">
        <is>
          <t>-</t>
        </is>
      </c>
      <c r="I308" s="16" t="inlineStr">
        <is>
          <t>Icon + color; color-blind friendly.</t>
        </is>
      </c>
      <c r="J308" s="16" t="inlineStr"/>
      <c r="K308" s="16" t="inlineStr">
        <is>
          <t>Not Run</t>
        </is>
      </c>
      <c r="L308" s="16" t="inlineStr">
        <is>
          <t>Medium</t>
        </is>
      </c>
      <c r="M308" s="16" t="inlineStr"/>
      <c r="N308" s="16" t="inlineStr"/>
      <c r="O308" s="16" t="inlineStr"/>
    </row>
    <row r="309" ht="72" customHeight="1">
      <c r="A309" s="16" t="inlineStr">
        <is>
          <t>TC-AL-0005</t>
        </is>
      </c>
      <c r="B309" s="16" t="inlineStr">
        <is>
          <t>Accessibility</t>
        </is>
      </c>
      <c r="C309" s="16" t="inlineStr">
        <is>
          <t>Reduced Motion</t>
        </is>
      </c>
      <c r="D309" s="16" t="inlineStr">
        <is>
          <t>A11y</t>
        </is>
      </c>
      <c r="E309" s="16" t="inlineStr">
        <is>
          <t>Respects prefers-reduced-motion</t>
        </is>
      </c>
      <c r="F309" s="16" t="inlineStr">
        <is>
          <t>-</t>
        </is>
      </c>
      <c r="G309" s="16" t="inlineStr">
        <is>
          <t>1. Trigger animations.</t>
        </is>
      </c>
      <c r="H309" s="16" t="inlineStr">
        <is>
          <t>-</t>
        </is>
      </c>
      <c r="I309" s="16" t="inlineStr">
        <is>
          <t>Reduced/removed.</t>
        </is>
      </c>
      <c r="J309" s="16" t="inlineStr"/>
      <c r="K309" s="16" t="inlineStr">
        <is>
          <t>Not Run</t>
        </is>
      </c>
      <c r="L309" s="16" t="inlineStr">
        <is>
          <t>Low</t>
        </is>
      </c>
      <c r="M309" s="16" t="inlineStr"/>
      <c r="N309" s="16" t="inlineStr"/>
      <c r="O309" s="16" t="inlineStr"/>
    </row>
    <row r="310" ht="72" customHeight="1">
      <c r="A310" s="16" t="inlineStr">
        <is>
          <t>TC-AL-0006</t>
        </is>
      </c>
      <c r="B310" s="16" t="inlineStr">
        <is>
          <t>Accessibility</t>
        </is>
      </c>
      <c r="C310" s="16" t="inlineStr">
        <is>
          <t>Keyboard Only</t>
        </is>
      </c>
      <c r="D310" s="16" t="inlineStr">
        <is>
          <t>A11y</t>
        </is>
      </c>
      <c r="E310" s="16" t="inlineStr">
        <is>
          <t>Full app keyboard-navigable</t>
        </is>
      </c>
      <c r="F310" s="16" t="inlineStr">
        <is>
          <t>-</t>
        </is>
      </c>
      <c r="G310" s="16" t="inlineStr">
        <is>
          <t>1. Create-Add-Send no mouse.</t>
        </is>
      </c>
      <c r="H310" s="16" t="inlineStr">
        <is>
          <t>-</t>
        </is>
      </c>
      <c r="I310" s="16" t="inlineStr">
        <is>
          <t>All flows reachable.</t>
        </is>
      </c>
      <c r="J310" s="16" t="inlineStr"/>
      <c r="K310" s="16" t="inlineStr">
        <is>
          <t>Not Run</t>
        </is>
      </c>
      <c r="L310" s="16" t="inlineStr">
        <is>
          <t>High</t>
        </is>
      </c>
      <c r="M310" s="16" t="inlineStr"/>
      <c r="N310" s="16" t="inlineStr"/>
      <c r="O310" s="16" t="inlineStr"/>
    </row>
    <row r="311" ht="72" customHeight="1">
      <c r="A311" s="16" t="inlineStr">
        <is>
          <t>TC-AL-0007</t>
        </is>
      </c>
      <c r="B311" s="16" t="inlineStr">
        <is>
          <t>Accessibility</t>
        </is>
      </c>
      <c r="C311" s="16" t="inlineStr">
        <is>
          <t>ARIA</t>
        </is>
      </c>
      <c r="D311" s="16" t="inlineStr">
        <is>
          <t>A11y</t>
        </is>
      </c>
      <c r="E311" s="16" t="inlineStr">
        <is>
          <t>Roles match semantics</t>
        </is>
      </c>
      <c r="F311" s="16" t="inlineStr">
        <is>
          <t>-</t>
        </is>
      </c>
      <c r="G311" s="16" t="inlineStr">
        <is>
          <t>1. a11y devtools.</t>
        </is>
      </c>
      <c r="H311" s="16" t="inlineStr">
        <is>
          <t>-</t>
        </is>
      </c>
      <c r="I311" s="16" t="inlineStr">
        <is>
          <t>Roles correct.</t>
        </is>
      </c>
      <c r="J311" s="16" t="inlineStr"/>
      <c r="K311" s="16" t="inlineStr">
        <is>
          <t>Not Run</t>
        </is>
      </c>
      <c r="L311" s="16" t="inlineStr">
        <is>
          <t>Medium</t>
        </is>
      </c>
      <c r="M311" s="16" t="inlineStr"/>
      <c r="N311" s="16" t="inlineStr"/>
      <c r="O311" s="16" t="inlineStr"/>
    </row>
    <row r="312" ht="72" customHeight="1">
      <c r="A312" s="16" t="inlineStr">
        <is>
          <t>TC-AL-0008</t>
        </is>
      </c>
      <c r="B312" s="16" t="inlineStr">
        <is>
          <t>Accessibility</t>
        </is>
      </c>
      <c r="C312" s="16" t="inlineStr">
        <is>
          <t>Contrast</t>
        </is>
      </c>
      <c r="D312" s="16" t="inlineStr">
        <is>
          <t>A11y</t>
        </is>
      </c>
      <c r="E312" s="16" t="inlineStr">
        <is>
          <t>WCAG AA contrast</t>
        </is>
      </c>
      <c r="F312" s="16" t="inlineStr">
        <is>
          <t>-</t>
        </is>
      </c>
      <c r="G312" s="16" t="inlineStr">
        <is>
          <t>1. Contrast checker.</t>
        </is>
      </c>
      <c r="H312" s="16" t="inlineStr">
        <is>
          <t>-</t>
        </is>
      </c>
      <c r="I312" s="16" t="inlineStr">
        <is>
          <t>All text passes AA.</t>
        </is>
      </c>
      <c r="J312" s="16" t="inlineStr"/>
      <c r="K312" s="16" t="inlineStr">
        <is>
          <t>Not Run</t>
        </is>
      </c>
      <c r="L312" s="16" t="inlineStr">
        <is>
          <t>Medium</t>
        </is>
      </c>
      <c r="M312" s="16" t="inlineStr"/>
      <c r="N312" s="16" t="inlineStr"/>
      <c r="O312" s="16" t="inlineStr"/>
    </row>
    <row r="313" ht="72" customHeight="1">
      <c r="A313" s="16" t="inlineStr">
        <is>
          <t>TC-NW-0001</t>
        </is>
      </c>
      <c r="B313" s="16" t="inlineStr">
        <is>
          <t>Network Conditions</t>
        </is>
      </c>
      <c r="C313" s="16" t="inlineStr">
        <is>
          <t>Timeout</t>
        </is>
      </c>
      <c r="D313" s="16" t="inlineStr">
        <is>
          <t>Negative</t>
        </is>
      </c>
      <c r="E313" s="16" t="inlineStr">
        <is>
          <t>Default timeout</t>
        </is>
      </c>
      <c r="F313" s="16" t="inlineStr">
        <is>
          <t>-</t>
        </is>
      </c>
      <c r="G313" s="16" t="inlineStr">
        <is>
          <t>1. Send to non-responding.</t>
        </is>
      </c>
      <c r="H313" s="16" t="inlineStr">
        <is>
          <t>-</t>
        </is>
      </c>
      <c r="I313" s="16" t="inlineStr">
        <is>
          <t>Times out; error 'Request timeout'.</t>
        </is>
      </c>
      <c r="J313" s="16" t="inlineStr"/>
      <c r="K313" s="16" t="inlineStr">
        <is>
          <t>Not Run</t>
        </is>
      </c>
      <c r="L313" s="16" t="inlineStr">
        <is>
          <t>High</t>
        </is>
      </c>
      <c r="M313" s="16" t="inlineStr"/>
      <c r="N313" s="16" t="inlineStr"/>
      <c r="O313" s="16" t="inlineStr"/>
    </row>
    <row r="314" ht="72" customHeight="1">
      <c r="A314" s="16" t="inlineStr">
        <is>
          <t>TC-NW-0002</t>
        </is>
      </c>
      <c r="B314" s="16" t="inlineStr">
        <is>
          <t>Network Conditions</t>
        </is>
      </c>
      <c r="C314" s="16" t="inlineStr">
        <is>
          <t>Slow</t>
        </is>
      </c>
      <c r="D314" s="16" t="inlineStr">
        <is>
          <t>Edge Case</t>
        </is>
      </c>
      <c r="E314" s="16" t="inlineStr">
        <is>
          <t>10s response</t>
        </is>
      </c>
      <c r="F314" s="16" t="inlineStr">
        <is>
          <t>-</t>
        </is>
      </c>
      <c r="G314" s="16" t="inlineStr">
        <is>
          <t>1. Send.</t>
        </is>
      </c>
      <c r="H314" s="16" t="inlineStr">
        <is>
          <t>-</t>
        </is>
      </c>
      <c r="I314" s="16" t="inlineStr">
        <is>
          <t>Spinner; renders when received.</t>
        </is>
      </c>
      <c r="J314" s="16" t="inlineStr"/>
      <c r="K314" s="16" t="inlineStr">
        <is>
          <t>Not Run</t>
        </is>
      </c>
      <c r="L314" s="16" t="inlineStr">
        <is>
          <t>Medium</t>
        </is>
      </c>
      <c r="M314" s="16" t="inlineStr"/>
      <c r="N314" s="16" t="inlineStr"/>
      <c r="O314" s="16" t="inlineStr"/>
    </row>
    <row r="315" ht="72" customHeight="1">
      <c r="A315" s="16" t="inlineStr">
        <is>
          <t>TC-NW-0003</t>
        </is>
      </c>
      <c r="B315" s="16" t="inlineStr">
        <is>
          <t>Network Conditions</t>
        </is>
      </c>
      <c r="C315" s="16" t="inlineStr">
        <is>
          <t>DNS</t>
        </is>
      </c>
      <c r="D315" s="16" t="inlineStr">
        <is>
          <t>Negative</t>
        </is>
      </c>
      <c r="E315" s="16" t="inlineStr">
        <is>
          <t>Unresolvable host</t>
        </is>
      </c>
      <c r="F315" s="16" t="inlineStr">
        <is>
          <t>-</t>
        </is>
      </c>
      <c r="G315" s="16" t="inlineStr">
        <is>
          <t>1. Send to invalid host.</t>
        </is>
      </c>
      <c r="H315" s="16" t="inlineStr">
        <is>
          <t>-</t>
        </is>
      </c>
      <c r="I315" s="16" t="inlineStr">
        <is>
          <t>DNS resolution failed; guidance.</t>
        </is>
      </c>
      <c r="J315" s="16" t="inlineStr"/>
      <c r="K315" s="16" t="inlineStr">
        <is>
          <t>Not Run</t>
        </is>
      </c>
      <c r="L315" s="16" t="inlineStr">
        <is>
          <t>Medium</t>
        </is>
      </c>
      <c r="M315" s="16" t="inlineStr"/>
      <c r="N315" s="16" t="inlineStr"/>
      <c r="O315" s="16" t="inlineStr"/>
    </row>
    <row r="316" ht="72" customHeight="1">
      <c r="A316" s="16" t="inlineStr">
        <is>
          <t>TC-NW-0004</t>
        </is>
      </c>
      <c r="B316" s="16" t="inlineStr">
        <is>
          <t>Network Conditions</t>
        </is>
      </c>
      <c r="C316" s="16" t="inlineStr">
        <is>
          <t>Connection</t>
        </is>
      </c>
      <c r="D316" s="16" t="inlineStr">
        <is>
          <t>Negative</t>
        </is>
      </c>
      <c r="E316" s="16" t="inlineStr">
        <is>
          <t>Connection refused</t>
        </is>
      </c>
      <c r="F316" s="16" t="inlineStr">
        <is>
          <t>-</t>
        </is>
      </c>
      <c r="G316" s="16" t="inlineStr">
        <is>
          <t>1. Send to closed port.</t>
        </is>
      </c>
      <c r="H316" s="16" t="inlineStr">
        <is>
          <t>-</t>
        </is>
      </c>
      <c r="I316" s="16" t="inlineStr">
        <is>
          <t>Clear error.</t>
        </is>
      </c>
      <c r="J316" s="16" t="inlineStr"/>
      <c r="K316" s="16" t="inlineStr">
        <is>
          <t>Not Run</t>
        </is>
      </c>
      <c r="L316" s="16" t="inlineStr">
        <is>
          <t>Medium</t>
        </is>
      </c>
      <c r="M316" s="16" t="inlineStr"/>
      <c r="N316" s="16" t="inlineStr"/>
      <c r="O316" s="16" t="inlineStr"/>
    </row>
    <row r="317" ht="72" customHeight="1">
      <c r="A317" s="16" t="inlineStr">
        <is>
          <t>TC-NW-0005</t>
        </is>
      </c>
      <c r="B317" s="16" t="inlineStr">
        <is>
          <t>Network Conditions</t>
        </is>
      </c>
      <c r="C317" s="16" t="inlineStr">
        <is>
          <t>TLS</t>
        </is>
      </c>
      <c r="D317" s="16" t="inlineStr">
        <is>
          <t>Negative</t>
        </is>
      </c>
      <c r="E317" s="16" t="inlineStr">
        <is>
          <t>Self-signed cert</t>
        </is>
      </c>
      <c r="F317" s="16" t="inlineStr">
        <is>
          <t>-</t>
        </is>
      </c>
      <c r="G317" s="16" t="inlineStr">
        <is>
          <t>1. Send.</t>
        </is>
      </c>
      <c r="H317" s="16" t="inlineStr">
        <is>
          <t>-</t>
        </is>
      </c>
      <c r="I317" s="16" t="inlineStr">
        <is>
          <t>Error with cert details; allow-once option.</t>
        </is>
      </c>
      <c r="J317" s="16" t="inlineStr"/>
      <c r="K317" s="16" t="inlineStr">
        <is>
          <t>Not Run</t>
        </is>
      </c>
      <c r="L317" s="16" t="inlineStr">
        <is>
          <t>Medium</t>
        </is>
      </c>
      <c r="M317" s="16" t="inlineStr"/>
      <c r="N317" s="16" t="inlineStr"/>
      <c r="O317" s="16" t="inlineStr"/>
    </row>
    <row r="318" ht="72" customHeight="1">
      <c r="A318" s="16" t="inlineStr">
        <is>
          <t>TC-NW-0006</t>
        </is>
      </c>
      <c r="B318" s="16" t="inlineStr">
        <is>
          <t>Network Conditions</t>
        </is>
      </c>
      <c r="C318" s="16" t="inlineStr">
        <is>
          <t>Redirect</t>
        </is>
      </c>
      <c r="D318" s="16" t="inlineStr">
        <is>
          <t>Functional</t>
        </is>
      </c>
      <c r="E318" s="16" t="inlineStr">
        <is>
          <t>Follow 302</t>
        </is>
      </c>
      <c r="F318" s="16" t="inlineStr">
        <is>
          <t>-</t>
        </is>
      </c>
      <c r="G318" s="16" t="inlineStr">
        <is>
          <t>1. Send.</t>
        </is>
      </c>
      <c r="H318" s="16" t="inlineStr">
        <is>
          <t>-</t>
        </is>
      </c>
      <c r="I318" s="16" t="inlineStr">
        <is>
          <t>Final 200 shown; chain optional.</t>
        </is>
      </c>
      <c r="J318" s="16" t="inlineStr"/>
      <c r="K318" s="16" t="inlineStr">
        <is>
          <t>Not Run</t>
        </is>
      </c>
      <c r="L318" s="16" t="inlineStr">
        <is>
          <t>Medium</t>
        </is>
      </c>
      <c r="M318" s="16" t="inlineStr"/>
      <c r="N318" s="16" t="inlineStr"/>
      <c r="O318" s="16" t="inlineStr"/>
    </row>
    <row r="319" ht="72" customHeight="1">
      <c r="A319" s="16" t="inlineStr">
        <is>
          <t>TC-NW-0007</t>
        </is>
      </c>
      <c r="B319" s="16" t="inlineStr">
        <is>
          <t>Network Conditions</t>
        </is>
      </c>
      <c r="C319" s="16" t="inlineStr">
        <is>
          <t>Redirect</t>
        </is>
      </c>
      <c r="D319" s="16" t="inlineStr">
        <is>
          <t>Edge Case</t>
        </is>
      </c>
      <c r="E319" s="16" t="inlineStr">
        <is>
          <t>Redirect loop terminated</t>
        </is>
      </c>
      <c r="F319" s="16" t="inlineStr">
        <is>
          <t>-</t>
        </is>
      </c>
      <c r="G319" s="16" t="inlineStr">
        <is>
          <t>1. Send.</t>
        </is>
      </c>
      <c r="H319" s="16" t="inlineStr">
        <is>
          <t>-</t>
        </is>
      </c>
      <c r="I319" s="16" t="inlineStr">
        <is>
          <t>Detected after N redirects; error.</t>
        </is>
      </c>
      <c r="J319" s="16" t="inlineStr"/>
      <c r="K319" s="16" t="inlineStr">
        <is>
          <t>Not Run</t>
        </is>
      </c>
      <c r="L319" s="16" t="inlineStr">
        <is>
          <t>Low</t>
        </is>
      </c>
      <c r="M319" s="16" t="inlineStr"/>
      <c r="N319" s="16" t="inlineStr"/>
      <c r="O319" s="16" t="inlineStr"/>
    </row>
    <row r="320" ht="72" customHeight="1">
      <c r="A320" s="16" t="inlineStr">
        <is>
          <t>TC-NW-0008</t>
        </is>
      </c>
      <c r="B320" s="16" t="inlineStr">
        <is>
          <t>Network Conditions</t>
        </is>
      </c>
      <c r="C320" s="16" t="inlineStr">
        <is>
          <t>Streaming</t>
        </is>
      </c>
      <c r="D320" s="16" t="inlineStr">
        <is>
          <t>Functional</t>
        </is>
      </c>
      <c r="E320" s="16" t="inlineStr">
        <is>
          <t>Chunked response</t>
        </is>
      </c>
      <c r="F320" s="16" t="inlineStr">
        <is>
          <t>-</t>
        </is>
      </c>
      <c r="G320" s="16" t="inlineStr">
        <is>
          <t>1. Send.</t>
        </is>
      </c>
      <c r="H320" s="16" t="inlineStr">
        <is>
          <t>-</t>
        </is>
      </c>
      <c r="I320" s="16" t="inlineStr">
        <is>
          <t>Body progressive or after receive.</t>
        </is>
      </c>
      <c r="J320" s="16" t="inlineStr"/>
      <c r="K320" s="16" t="inlineStr">
        <is>
          <t>Not Run</t>
        </is>
      </c>
      <c r="L320" s="16" t="inlineStr">
        <is>
          <t>Low</t>
        </is>
      </c>
      <c r="M320" s="16" t="inlineStr"/>
      <c r="N320" s="16" t="inlineStr"/>
      <c r="O320" s="16" t="inlineStr"/>
    </row>
    <row r="321" ht="72" customHeight="1">
      <c r="A321" s="16" t="inlineStr">
        <is>
          <t>TC-NW-0009</t>
        </is>
      </c>
      <c r="B321" s="16" t="inlineStr">
        <is>
          <t>Network Conditions</t>
        </is>
      </c>
      <c r="C321" s="16" t="inlineStr">
        <is>
          <t>CORS Preflight</t>
        </is>
      </c>
      <c r="D321" s="16" t="inlineStr">
        <is>
          <t>Functional</t>
        </is>
      </c>
      <c r="E321" s="16" t="inlineStr">
        <is>
          <t>OPTIONS preflight</t>
        </is>
      </c>
      <c r="F321" s="16" t="inlineStr">
        <is>
          <t>-</t>
        </is>
      </c>
      <c r="G321" s="16" t="inlineStr">
        <is>
          <t>1. POST with custom header.</t>
        </is>
      </c>
      <c r="H321" s="16" t="inlineStr">
        <is>
          <t>-</t>
        </is>
      </c>
      <c r="I321" s="16" t="inlineStr">
        <is>
          <t>Preflight sent; real request if allowed.</t>
        </is>
      </c>
      <c r="J321" s="16" t="inlineStr"/>
      <c r="K321" s="16" t="inlineStr">
        <is>
          <t>Not Run</t>
        </is>
      </c>
      <c r="L321" s="16" t="inlineStr">
        <is>
          <t>Medium</t>
        </is>
      </c>
      <c r="M321" s="16" t="inlineStr"/>
      <c r="N321" s="16" t="inlineStr"/>
      <c r="O321" s="16" t="inlineStr"/>
    </row>
    <row r="322" ht="72" customHeight="1">
      <c r="A322" s="16" t="inlineStr">
        <is>
          <t>TC-NW-0010</t>
        </is>
      </c>
      <c r="B322" s="16" t="inlineStr">
        <is>
          <t>Network Conditions</t>
        </is>
      </c>
      <c r="C322" s="16" t="inlineStr">
        <is>
          <t>Offline</t>
        </is>
      </c>
      <c r="D322" s="16" t="inlineStr">
        <is>
          <t>Negative</t>
        </is>
      </c>
      <c r="E322" s="16" t="inlineStr">
        <is>
          <t>Browser offline mode</t>
        </is>
      </c>
      <c r="F322" s="16" t="inlineStr">
        <is>
          <t>-</t>
        </is>
      </c>
      <c r="G322" s="16" t="inlineStr">
        <is>
          <t>1. Offline; Send.</t>
        </is>
      </c>
      <c r="H322" s="16" t="inlineStr">
        <is>
          <t>-</t>
        </is>
      </c>
      <c r="I322" s="16" t="inlineStr">
        <is>
          <t>Clear messaging.</t>
        </is>
      </c>
      <c r="J322" s="16" t="inlineStr"/>
      <c r="K322" s="16" t="inlineStr">
        <is>
          <t>Not Run</t>
        </is>
      </c>
      <c r="L322" s="16" t="inlineStr">
        <is>
          <t>Medium</t>
        </is>
      </c>
      <c r="M322" s="16" t="inlineStr"/>
      <c r="N322" s="16" t="inlineStr"/>
      <c r="O322" s="16" t="inlineStr"/>
    </row>
    <row r="323" ht="72" customHeight="1">
      <c r="A323" s="16" t="inlineStr">
        <is>
          <t>TC-PE-0001</t>
        </is>
      </c>
      <c r="B323" s="16" t="inlineStr">
        <is>
          <t>Performance</t>
        </is>
      </c>
      <c r="C323" s="16" t="inlineStr">
        <is>
          <t>Large Workspace</t>
        </is>
      </c>
      <c r="D323" s="16" t="inlineStr">
        <is>
          <t>Performance</t>
        </is>
      </c>
      <c r="E323" s="16" t="inlineStr">
        <is>
          <t>500 requests opens &lt;3s</t>
        </is>
      </c>
      <c r="F323" s="16" t="inlineStr">
        <is>
          <t>-</t>
        </is>
      </c>
      <c r="G323" s="16" t="inlineStr">
        <is>
          <t>1. Open.</t>
        </is>
      </c>
      <c r="H323" s="16" t="inlineStr">
        <is>
          <t>-</t>
        </is>
      </c>
      <c r="I323" s="16" t="inlineStr">
        <is>
          <t>Hydrate + first paint &lt;3s; tree smooth.</t>
        </is>
      </c>
      <c r="J323" s="16" t="inlineStr"/>
      <c r="K323" s="16" t="inlineStr">
        <is>
          <t>Not Run</t>
        </is>
      </c>
      <c r="L323" s="16" t="inlineStr">
        <is>
          <t>Medium</t>
        </is>
      </c>
      <c r="M323" s="16" t="inlineStr"/>
      <c r="N323" s="16" t="inlineStr"/>
      <c r="O323" s="16" t="inlineStr"/>
    </row>
    <row r="324" ht="72" customHeight="1">
      <c r="A324" s="16" t="inlineStr">
        <is>
          <t>TC-PE-0002</t>
        </is>
      </c>
      <c r="B324" s="16" t="inlineStr">
        <is>
          <t>Performance</t>
        </is>
      </c>
      <c r="C324" s="16" t="inlineStr">
        <is>
          <t>Large Response</t>
        </is>
      </c>
      <c r="D324" s="16" t="inlineStr">
        <is>
          <t>Performance</t>
        </is>
      </c>
      <c r="E324" s="16" t="inlineStr">
        <is>
          <t>10MB response no freeze</t>
        </is>
      </c>
      <c r="F324" s="16" t="inlineStr">
        <is>
          <t>-</t>
        </is>
      </c>
      <c r="G324" s="16" t="inlineStr">
        <is>
          <t>1. Send.</t>
        </is>
      </c>
      <c r="H324" s="16" t="inlineStr">
        <is>
          <t>-</t>
        </is>
      </c>
      <c r="I324" s="16" t="inlineStr">
        <is>
          <t>Preview cap; download; responsive UI.</t>
        </is>
      </c>
      <c r="J324" s="16" t="inlineStr"/>
      <c r="K324" s="16" t="inlineStr">
        <is>
          <t>Not Run</t>
        </is>
      </c>
      <c r="L324" s="16" t="inlineStr">
        <is>
          <t>Medium</t>
        </is>
      </c>
      <c r="M324" s="16" t="inlineStr"/>
      <c r="N324" s="16" t="inlineStr"/>
      <c r="O324" s="16" t="inlineStr"/>
    </row>
    <row r="325" ht="72" customHeight="1">
      <c r="A325" s="16" t="inlineStr">
        <is>
          <t>TC-PE-0003</t>
        </is>
      </c>
      <c r="B325" s="16" t="inlineStr">
        <is>
          <t>Performance</t>
        </is>
      </c>
      <c r="C325" s="16" t="inlineStr">
        <is>
          <t>Many Vars</t>
        </is>
      </c>
      <c r="D325" s="16" t="inlineStr">
        <is>
          <t>Performance</t>
        </is>
      </c>
      <c r="E325" s="16" t="inlineStr">
        <is>
          <t>1000 vars load fast</t>
        </is>
      </c>
      <c r="F325" s="16" t="inlineStr">
        <is>
          <t>-</t>
        </is>
      </c>
      <c r="G325" s="16" t="inlineStr">
        <is>
          <t>1. Open Variables.</t>
        </is>
      </c>
      <c r="H325" s="16" t="inlineStr">
        <is>
          <t>-</t>
        </is>
      </c>
      <c r="I325" s="16" t="inlineStr">
        <is>
          <t>&lt;1s; filtering responsive.</t>
        </is>
      </c>
      <c r="J325" s="16" t="inlineStr"/>
      <c r="K325" s="16" t="inlineStr">
        <is>
          <t>Not Run</t>
        </is>
      </c>
      <c r="L325" s="16" t="inlineStr">
        <is>
          <t>Low</t>
        </is>
      </c>
      <c r="M325" s="16" t="inlineStr"/>
      <c r="N325" s="16" t="inlineStr"/>
      <c r="O325" s="16" t="inlineStr"/>
    </row>
    <row r="326" ht="72" customHeight="1">
      <c r="A326" s="16" t="inlineStr">
        <is>
          <t>TC-PE-0004</t>
        </is>
      </c>
      <c r="B326" s="16" t="inlineStr">
        <is>
          <t>Performance</t>
        </is>
      </c>
      <c r="C326" s="16" t="inlineStr">
        <is>
          <t>Many Attachments</t>
        </is>
      </c>
      <c r="D326" s="16" t="inlineStr">
        <is>
          <t>Performance</t>
        </is>
      </c>
      <c r="E326" s="16" t="inlineStr">
        <is>
          <t>50 attachments lazy</t>
        </is>
      </c>
      <c r="F326" s="16" t="inlineStr">
        <is>
          <t>-</t>
        </is>
      </c>
      <c r="G326" s="16" t="inlineStr">
        <is>
          <t>1. Open workspace.</t>
        </is>
      </c>
      <c r="H326" s="16" t="inlineStr">
        <is>
          <t>-</t>
        </is>
      </c>
      <c r="I326" s="16" t="inlineStr">
        <is>
          <t>Attachments load on demand.</t>
        </is>
      </c>
      <c r="J326" s="16" t="inlineStr"/>
      <c r="K326" s="16" t="inlineStr">
        <is>
          <t>Not Run</t>
        </is>
      </c>
      <c r="L326" s="16" t="inlineStr">
        <is>
          <t>Low</t>
        </is>
      </c>
      <c r="M326" s="16" t="inlineStr"/>
      <c r="N326" s="16" t="inlineStr"/>
      <c r="O326" s="16" t="inlineStr"/>
    </row>
    <row r="327" ht="72" customHeight="1">
      <c r="A327" s="16" t="inlineStr">
        <is>
          <t>TC-PE-0005</t>
        </is>
      </c>
      <c r="B327" s="16" t="inlineStr">
        <is>
          <t>Performance</t>
        </is>
      </c>
      <c r="C327" s="16" t="inlineStr">
        <is>
          <t>Debounce</t>
        </is>
      </c>
      <c r="D327" s="16" t="inlineStr">
        <is>
          <t>Performance</t>
        </is>
      </c>
      <c r="E327" s="16" t="inlineStr">
        <is>
          <t>Rapid keystrokes coalesced</t>
        </is>
      </c>
      <c r="F327" s="16" t="inlineStr">
        <is>
          <t>-</t>
        </is>
      </c>
      <c r="G327" s="16" t="inlineStr">
        <is>
          <t>1. 100 keystrokes fast.</t>
        </is>
      </c>
      <c r="H327" s="16" t="inlineStr">
        <is>
          <t>-</t>
        </is>
      </c>
      <c r="I327" s="16" t="inlineStr">
        <is>
          <t>Few writes; final state intact.</t>
        </is>
      </c>
      <c r="J327" s="16" t="inlineStr"/>
      <c r="K327" s="16" t="inlineStr">
        <is>
          <t>Not Run</t>
        </is>
      </c>
      <c r="L327" s="16" t="inlineStr">
        <is>
          <t>Medium</t>
        </is>
      </c>
      <c r="M327" s="16" t="inlineStr"/>
      <c r="N327" s="16" t="inlineStr"/>
      <c r="O327" s="16" t="inlineStr"/>
    </row>
    <row r="328" ht="72" customHeight="1">
      <c r="A328" s="16" t="inlineStr">
        <is>
          <t>TC-PE-0006</t>
        </is>
      </c>
      <c r="B328" s="16" t="inlineStr">
        <is>
          <t>Performance</t>
        </is>
      </c>
      <c r="C328" s="16" t="inlineStr">
        <is>
          <t>Workspace Switch</t>
        </is>
      </c>
      <c r="D328" s="16" t="inlineStr">
        <is>
          <t>Performance</t>
        </is>
      </c>
      <c r="E328" s="16" t="inlineStr">
        <is>
          <t>&lt;1s switch</t>
        </is>
      </c>
      <c r="F328" s="16" t="inlineStr">
        <is>
          <t>-</t>
        </is>
      </c>
      <c r="G328" s="16" t="inlineStr">
        <is>
          <t>1. A -&gt; B.</t>
        </is>
      </c>
      <c r="H328" s="16" t="inlineStr">
        <is>
          <t>-</t>
        </is>
      </c>
      <c r="I328" s="16" t="inlineStr">
        <is>
          <t>No freeze.</t>
        </is>
      </c>
      <c r="J328" s="16" t="inlineStr"/>
      <c r="K328" s="16" t="inlineStr">
        <is>
          <t>Not Run</t>
        </is>
      </c>
      <c r="L328" s="16" t="inlineStr">
        <is>
          <t>Medium</t>
        </is>
      </c>
      <c r="M328" s="16" t="inlineStr"/>
      <c r="N328" s="16" t="inlineStr"/>
      <c r="O328" s="16" t="inlineStr"/>
    </row>
    <row r="329" ht="72" customHeight="1">
      <c r="A329" s="16" t="inlineStr">
        <is>
          <t>TC-PE-0007</t>
        </is>
      </c>
      <c r="B329" s="16" t="inlineStr">
        <is>
          <t>Performance</t>
        </is>
      </c>
      <c r="C329" s="16" t="inlineStr">
        <is>
          <t>Tree Render</t>
        </is>
      </c>
      <c r="D329" s="16" t="inlineStr">
        <is>
          <t>Performance</t>
        </is>
      </c>
      <c r="E329" s="16" t="inlineStr">
        <is>
          <t>1000-request tree smooth</t>
        </is>
      </c>
      <c r="F329" s="16" t="inlineStr">
        <is>
          <t>-</t>
        </is>
      </c>
      <c r="G329" s="16" t="inlineStr">
        <is>
          <t>1. Scroll tree.</t>
        </is>
      </c>
      <c r="H329" s="16" t="inlineStr">
        <is>
          <t>-</t>
        </is>
      </c>
      <c r="I329" s="16" t="inlineStr">
        <is>
          <t>Virtualized or paginated; smooth.</t>
        </is>
      </c>
      <c r="J329" s="16" t="inlineStr"/>
      <c r="K329" s="16" t="inlineStr">
        <is>
          <t>Not Run</t>
        </is>
      </c>
      <c r="L329" s="16" t="inlineStr">
        <is>
          <t>Medium</t>
        </is>
      </c>
      <c r="M329" s="16" t="inlineStr"/>
      <c r="N329" s="16" t="inlineStr"/>
      <c r="O329" s="16" t="inlineStr"/>
    </row>
    <row r="330" ht="72" customHeight="1">
      <c r="A330" s="16" t="inlineStr">
        <is>
          <t>TC-SY-0001</t>
        </is>
      </c>
      <c r="B330" s="16" t="inlineStr">
        <is>
          <t>Security</t>
        </is>
      </c>
      <c r="C330" s="16" t="inlineStr">
        <is>
          <t>XSS</t>
        </is>
      </c>
      <c r="D330" s="16" t="inlineStr">
        <is>
          <t>Security</t>
        </is>
      </c>
      <c r="E330" s="16" t="inlineStr">
        <is>
          <t>HTML preview sandboxed</t>
        </is>
      </c>
      <c r="F330" s="16" t="inlineStr">
        <is>
          <t>-</t>
        </is>
      </c>
      <c r="G330" s="16" t="inlineStr">
        <is>
          <t>1. Response with &lt;script&gt;.</t>
        </is>
      </c>
      <c r="H330" s="16" t="inlineStr">
        <is>
          <t>-</t>
        </is>
      </c>
      <c r="I330" s="16" t="inlineStr">
        <is>
          <t>No execution; sandbox iframe.</t>
        </is>
      </c>
      <c r="J330" s="16" t="inlineStr"/>
      <c r="K330" s="16" t="inlineStr">
        <is>
          <t>Not Run</t>
        </is>
      </c>
      <c r="L330" s="16" t="inlineStr">
        <is>
          <t>High</t>
        </is>
      </c>
      <c r="M330" s="16" t="inlineStr"/>
      <c r="N330" s="16" t="inlineStr"/>
      <c r="O330" s="16" t="inlineStr"/>
    </row>
    <row r="331" ht="72" customHeight="1">
      <c r="A331" s="16" t="inlineStr">
        <is>
          <t>TC-SY-0002</t>
        </is>
      </c>
      <c r="B331" s="16" t="inlineStr">
        <is>
          <t>Security</t>
        </is>
      </c>
      <c r="C331" s="16" t="inlineStr">
        <is>
          <t>XSS</t>
        </is>
      </c>
      <c r="D331" s="16" t="inlineStr">
        <is>
          <t>Security</t>
        </is>
      </c>
      <c r="E331" s="16" t="inlineStr">
        <is>
          <t>Variable values not HTML-interpreted</t>
        </is>
      </c>
      <c r="F331" s="16" t="inlineStr">
        <is>
          <t>-</t>
        </is>
      </c>
      <c r="G331" s="16" t="inlineStr">
        <is>
          <t>1. Var with HTML; render label.</t>
        </is>
      </c>
      <c r="H331" s="16" t="inlineStr">
        <is>
          <t>-</t>
        </is>
      </c>
      <c r="I331" s="16" t="inlineStr">
        <is>
          <t>Text only; no execution.</t>
        </is>
      </c>
      <c r="J331" s="16" t="inlineStr"/>
      <c r="K331" s="16" t="inlineStr">
        <is>
          <t>Not Run</t>
        </is>
      </c>
      <c r="L331" s="16" t="inlineStr">
        <is>
          <t>High</t>
        </is>
      </c>
      <c r="M331" s="16" t="inlineStr"/>
      <c r="N331" s="16" t="inlineStr"/>
      <c r="O331" s="16" t="inlineStr"/>
    </row>
    <row r="332" ht="72" customHeight="1">
      <c r="A332" s="16" t="inlineStr">
        <is>
          <t>TC-SY-0003</t>
        </is>
      </c>
      <c r="B332" s="16" t="inlineStr">
        <is>
          <t>Security</t>
        </is>
      </c>
      <c r="C332" s="16" t="inlineStr">
        <is>
          <t>Secrets</t>
        </is>
      </c>
      <c r="D332" s="16" t="inlineStr">
        <is>
          <t>Security</t>
        </is>
      </c>
      <c r="E332" s="16" t="inlineStr">
        <is>
          <t>Secrets not in plaintext history</t>
        </is>
      </c>
      <c r="F332" s="16" t="inlineStr">
        <is>
          <t>-</t>
        </is>
      </c>
      <c r="G332" s="16" t="inlineStr">
        <is>
          <t>1. Send with Bearer {{token}}.</t>
        </is>
      </c>
      <c r="H332" s="16" t="inlineStr">
        <is>
          <t>-</t>
        </is>
      </c>
      <c r="I332" s="16" t="inlineStr">
        <is>
          <t>Authorization redacted in history.</t>
        </is>
      </c>
      <c r="J332" s="16" t="inlineStr"/>
      <c r="K332" s="16" t="inlineStr">
        <is>
          <t>Not Run</t>
        </is>
      </c>
      <c r="L332" s="16" t="inlineStr">
        <is>
          <t>High</t>
        </is>
      </c>
      <c r="M332" s="16" t="inlineStr"/>
      <c r="N332" s="16" t="inlineStr"/>
      <c r="O332" s="16" t="inlineStr"/>
    </row>
    <row r="333" ht="72" customHeight="1">
      <c r="A333" s="16" t="inlineStr">
        <is>
          <t>TC-SY-0004</t>
        </is>
      </c>
      <c r="B333" s="16" t="inlineStr">
        <is>
          <t>Security</t>
        </is>
      </c>
      <c r="C333" s="16" t="inlineStr">
        <is>
          <t>Secrets</t>
        </is>
      </c>
      <c r="D333" s="16" t="inlineStr">
        <is>
          <t>Security</t>
        </is>
      </c>
      <c r="E333" s="16" t="inlineStr">
        <is>
          <t>Console redacts secrets</t>
        </is>
      </c>
      <c r="F333" s="16" t="inlineStr">
        <is>
          <t>-</t>
        </is>
      </c>
      <c r="G333" s="16" t="inlineStr">
        <is>
          <t>1. Pre-script logs token.</t>
        </is>
      </c>
      <c r="H333" s="16" t="inlineStr">
        <is>
          <t>-</t>
        </is>
      </c>
      <c r="I333" s="16" t="inlineStr">
        <is>
          <t>Value redacted in console output.</t>
        </is>
      </c>
      <c r="J333" s="16" t="inlineStr"/>
      <c r="K333" s="16" t="inlineStr">
        <is>
          <t>Not Run</t>
        </is>
      </c>
      <c r="L333" s="16" t="inlineStr">
        <is>
          <t>Medium</t>
        </is>
      </c>
      <c r="M333" s="16" t="inlineStr"/>
      <c r="N333" s="16" t="inlineStr"/>
      <c r="O333" s="16" t="inlineStr"/>
    </row>
    <row r="334" ht="72" customHeight="1">
      <c r="A334" s="16" t="inlineStr">
        <is>
          <t>TC-SY-0005</t>
        </is>
      </c>
      <c r="B334" s="16" t="inlineStr">
        <is>
          <t>Security</t>
        </is>
      </c>
      <c r="C334" s="16" t="inlineStr">
        <is>
          <t>Imports</t>
        </is>
      </c>
      <c r="D334" s="16" t="inlineStr">
        <is>
          <t>Security</t>
        </is>
      </c>
      <c r="E334" s="16" t="inlineStr">
        <is>
          <t>Path traversal sanitized</t>
        </is>
      </c>
      <c r="F334" s="16" t="inlineStr">
        <is>
          <t>-</t>
        </is>
      </c>
      <c r="G334" s="16" t="inlineStr">
        <is>
          <t>1. Import malicious collection.</t>
        </is>
      </c>
      <c r="H334" s="16" t="inlineStr">
        <is>
          <t>-</t>
        </is>
      </c>
      <c r="I334" s="16" t="inlineStr">
        <is>
          <t>Names literal; no FS access.</t>
        </is>
      </c>
      <c r="J334" s="16" t="inlineStr"/>
      <c r="K334" s="16" t="inlineStr">
        <is>
          <t>Not Run</t>
        </is>
      </c>
      <c r="L334" s="16" t="inlineStr">
        <is>
          <t>High</t>
        </is>
      </c>
      <c r="M334" s="16" t="inlineStr"/>
      <c r="N334" s="16" t="inlineStr"/>
      <c r="O334" s="16" t="inlineStr"/>
    </row>
    <row r="335" ht="72" customHeight="1">
      <c r="A335" s="16" t="inlineStr">
        <is>
          <t>TC-SY-0006</t>
        </is>
      </c>
      <c r="B335" s="16" t="inlineStr">
        <is>
          <t>Security</t>
        </is>
      </c>
      <c r="C335" s="16" t="inlineStr">
        <is>
          <t>URL</t>
        </is>
      </c>
      <c r="D335" s="16" t="inlineStr">
        <is>
          <t>Security</t>
        </is>
      </c>
      <c r="E335" s="16" t="inlineStr">
        <is>
          <t>javascript: blocked</t>
        </is>
      </c>
      <c r="F335" s="16" t="inlineStr">
        <is>
          <t>-</t>
        </is>
      </c>
      <c r="G335" s="16" t="inlineStr">
        <is>
          <t>1. Send javascript: URL.</t>
        </is>
      </c>
      <c r="H335" s="16" t="inlineStr">
        <is>
          <t>-</t>
        </is>
      </c>
      <c r="I335" s="16" t="inlineStr">
        <is>
          <t>Blocked with rationale.</t>
        </is>
      </c>
      <c r="J335" s="16" t="inlineStr"/>
      <c r="K335" s="16" t="inlineStr">
        <is>
          <t>Not Run</t>
        </is>
      </c>
      <c r="L335" s="16" t="inlineStr">
        <is>
          <t>High</t>
        </is>
      </c>
      <c r="M335" s="16" t="inlineStr"/>
      <c r="N335" s="16" t="inlineStr"/>
      <c r="O335" s="16" t="inlineStr"/>
    </row>
    <row r="336" ht="72" customHeight="1">
      <c r="A336" s="16" t="inlineStr">
        <is>
          <t>TC-SY-0007</t>
        </is>
      </c>
      <c r="B336" s="16" t="inlineStr">
        <is>
          <t>Security</t>
        </is>
      </c>
      <c r="C336" s="16" t="inlineStr">
        <is>
          <t>Headers</t>
        </is>
      </c>
      <c r="D336" s="16" t="inlineStr">
        <is>
          <t>Security</t>
        </is>
      </c>
      <c r="E336" s="16" t="inlineStr">
        <is>
          <t>Auth header masked in cURL preview</t>
        </is>
      </c>
      <c r="F336" s="16" t="inlineStr">
        <is>
          <t>-</t>
        </is>
      </c>
      <c r="G336" s="16" t="inlineStr">
        <is>
          <t>1. Open Copy as cURL.</t>
        </is>
      </c>
      <c r="H336" s="16" t="inlineStr">
        <is>
          <t>-</t>
        </is>
      </c>
      <c r="I336" s="16" t="inlineStr">
        <is>
          <t>UI preview masked; clipboard has full (with warning).</t>
        </is>
      </c>
      <c r="J336" s="16" t="inlineStr"/>
      <c r="K336" s="16" t="inlineStr">
        <is>
          <t>Not Run</t>
        </is>
      </c>
      <c r="L336" s="16" t="inlineStr">
        <is>
          <t>Medium</t>
        </is>
      </c>
      <c r="M336" s="16" t="inlineStr"/>
      <c r="N336" s="16" t="inlineStr"/>
      <c r="O336" s="16" t="inlineStr"/>
    </row>
    <row r="337" ht="72" customHeight="1">
      <c r="A337" s="16" t="inlineStr">
        <is>
          <t>TC-SY-0008</t>
        </is>
      </c>
      <c r="B337" s="16" t="inlineStr">
        <is>
          <t>Security</t>
        </is>
      </c>
      <c r="C337" s="16" t="inlineStr">
        <is>
          <t>CSP</t>
        </is>
      </c>
      <c r="D337" s="16" t="inlineStr">
        <is>
          <t>Security</t>
        </is>
      </c>
      <c r="E337" s="16" t="inlineStr">
        <is>
          <t>CSP enforced</t>
        </is>
      </c>
      <c r="F337" s="16" t="inlineStr">
        <is>
          <t>-</t>
        </is>
      </c>
      <c r="G337" s="16" t="inlineStr">
        <is>
          <t>1. Inspect headers.</t>
        </is>
      </c>
      <c r="H337" s="16" t="inlineStr">
        <is>
          <t>-</t>
        </is>
      </c>
      <c r="I337" s="16" t="inlineStr">
        <is>
          <t>connect-src 'self' + protocols; no unsafe-inline/eval.</t>
        </is>
      </c>
      <c r="J337" s="16" t="inlineStr"/>
      <c r="K337" s="16" t="inlineStr">
        <is>
          <t>Not Run</t>
        </is>
      </c>
      <c r="L337" s="16" t="inlineStr">
        <is>
          <t>Medium</t>
        </is>
      </c>
      <c r="M337" s="16" t="inlineStr"/>
      <c r="N337" s="16" t="inlineStr"/>
      <c r="O337" s="16" t="inlineStr"/>
    </row>
    <row r="338" ht="72" customHeight="1">
      <c r="A338" s="16" t="inlineStr">
        <is>
          <t>TC-SY-0009</t>
        </is>
      </c>
      <c r="B338" s="16" t="inlineStr">
        <is>
          <t>Security</t>
        </is>
      </c>
      <c r="C338" s="16" t="inlineStr">
        <is>
          <t>Iframe</t>
        </is>
      </c>
      <c r="D338" s="16" t="inlineStr">
        <is>
          <t>Security</t>
        </is>
      </c>
      <c r="E338" s="16" t="inlineStr">
        <is>
          <t>App refuses framing</t>
        </is>
      </c>
      <c r="F338" s="16" t="inlineStr">
        <is>
          <t>-</t>
        </is>
      </c>
      <c r="G338" s="16" t="inlineStr">
        <is>
          <t>1. Embed in third-party.</t>
        </is>
      </c>
      <c r="H338" s="16" t="inlineStr">
        <is>
          <t>-</t>
        </is>
      </c>
      <c r="I338" s="16" t="inlineStr">
        <is>
          <t>Blocked via X-Frame-Options/CSP.</t>
        </is>
      </c>
      <c r="J338" s="16" t="inlineStr"/>
      <c r="K338" s="16" t="inlineStr">
        <is>
          <t>Not Run</t>
        </is>
      </c>
      <c r="L338" s="16" t="inlineStr">
        <is>
          <t>Medium</t>
        </is>
      </c>
      <c r="M338" s="16" t="inlineStr"/>
      <c r="N338" s="16" t="inlineStr"/>
      <c r="O338" s="16" t="inlineStr"/>
    </row>
    <row r="339" ht="72" customHeight="1">
      <c r="A339" s="16" t="inlineStr">
        <is>
          <t>TC-CC-0001</t>
        </is>
      </c>
      <c r="B339" s="16" t="inlineStr">
        <is>
          <t>Cross-Cutting UX</t>
        </is>
      </c>
      <c r="C339" s="16" t="inlineStr">
        <is>
          <t>Toasts</t>
        </is>
      </c>
      <c r="D339" s="16" t="inlineStr">
        <is>
          <t>Functional</t>
        </is>
      </c>
      <c r="E339" s="16" t="inlineStr">
        <is>
          <t>Success toast on push</t>
        </is>
      </c>
      <c r="F339" s="16" t="inlineStr">
        <is>
          <t>-</t>
        </is>
      </c>
      <c r="G339" s="16" t="inlineStr">
        <is>
          <t>1. Push.</t>
        </is>
      </c>
      <c r="H339" s="16" t="inlineStr">
        <is>
          <t>-</t>
        </is>
      </c>
      <c r="I339" s="16" t="inlineStr">
        <is>
          <t>Toast ~5s; dismissible.</t>
        </is>
      </c>
      <c r="J339" s="16" t="inlineStr"/>
      <c r="K339" s="16" t="inlineStr">
        <is>
          <t>Not Run</t>
        </is>
      </c>
      <c r="L339" s="16" t="inlineStr">
        <is>
          <t>Medium</t>
        </is>
      </c>
      <c r="M339" s="16" t="inlineStr"/>
      <c r="N339" s="16" t="inlineStr"/>
      <c r="O339" s="16" t="inlineStr"/>
    </row>
    <row r="340" ht="72" customHeight="1">
      <c r="A340" s="16" t="inlineStr">
        <is>
          <t>TC-CC-0002</t>
        </is>
      </c>
      <c r="B340" s="16" t="inlineStr">
        <is>
          <t>Cross-Cutting UX</t>
        </is>
      </c>
      <c r="C340" s="16" t="inlineStr">
        <is>
          <t>Toasts</t>
        </is>
      </c>
      <c r="D340" s="16" t="inlineStr">
        <is>
          <t>Functional</t>
        </is>
      </c>
      <c r="E340" s="16" t="inlineStr">
        <is>
          <t>Error toast on network failure</t>
        </is>
      </c>
      <c r="F340" s="16" t="inlineStr">
        <is>
          <t>-</t>
        </is>
      </c>
      <c r="G340" s="16" t="inlineStr">
        <is>
          <t>1. Send offline.</t>
        </is>
      </c>
      <c r="H340" s="16" t="inlineStr">
        <is>
          <t>-</t>
        </is>
      </c>
      <c r="I340" s="16" t="inlineStr">
        <is>
          <t>Actionable hint.</t>
        </is>
      </c>
      <c r="J340" s="16" t="inlineStr"/>
      <c r="K340" s="16" t="inlineStr">
        <is>
          <t>Not Run</t>
        </is>
      </c>
      <c r="L340" s="16" t="inlineStr">
        <is>
          <t>High</t>
        </is>
      </c>
      <c r="M340" s="16" t="inlineStr"/>
      <c r="N340" s="16" t="inlineStr"/>
      <c r="O340" s="16" t="inlineStr"/>
    </row>
    <row r="341" ht="72" customHeight="1">
      <c r="A341" s="16" t="inlineStr">
        <is>
          <t>TC-CC-0003</t>
        </is>
      </c>
      <c r="B341" s="16" t="inlineStr">
        <is>
          <t>Cross-Cutting UX</t>
        </is>
      </c>
      <c r="C341" s="16" t="inlineStr">
        <is>
          <t>Toasts</t>
        </is>
      </c>
      <c r="D341" s="16" t="inlineStr">
        <is>
          <t>UX/UI</t>
        </is>
      </c>
      <c r="E341" s="16" t="inlineStr">
        <is>
          <t>Stacked dismiss independently</t>
        </is>
      </c>
      <c r="F341" s="16" t="inlineStr">
        <is>
          <t>-</t>
        </is>
      </c>
      <c r="G341" s="16" t="inlineStr">
        <is>
          <t>1. 3 toasts quickly.</t>
        </is>
      </c>
      <c r="H341" s="16" t="inlineStr">
        <is>
          <t>-</t>
        </is>
      </c>
      <c r="I341" s="16" t="inlineStr">
        <is>
          <t>Independent timers.</t>
        </is>
      </c>
      <c r="J341" s="16" t="inlineStr"/>
      <c r="K341" s="16" t="inlineStr">
        <is>
          <t>Not Run</t>
        </is>
      </c>
      <c r="L341" s="16" t="inlineStr">
        <is>
          <t>Low</t>
        </is>
      </c>
      <c r="M341" s="16" t="inlineStr"/>
      <c r="N341" s="16" t="inlineStr"/>
      <c r="O341" s="16" t="inlineStr"/>
    </row>
    <row r="342" ht="72" customHeight="1">
      <c r="A342" s="16" t="inlineStr">
        <is>
          <t>TC-CC-0004</t>
        </is>
      </c>
      <c r="B342" s="16" t="inlineStr">
        <is>
          <t>Cross-Cutting UX</t>
        </is>
      </c>
      <c r="C342" s="16" t="inlineStr">
        <is>
          <t>Confirm</t>
        </is>
      </c>
      <c r="D342" s="16" t="inlineStr">
        <is>
          <t>UX/UI</t>
        </is>
      </c>
      <c r="E342" s="16" t="inlineStr">
        <is>
          <t>Destructive uses red</t>
        </is>
      </c>
      <c r="F342" s="16" t="inlineStr">
        <is>
          <t>-</t>
        </is>
      </c>
      <c r="G342" s="16" t="inlineStr">
        <is>
          <t>1. Delete.</t>
        </is>
      </c>
      <c r="H342" s="16" t="inlineStr">
        <is>
          <t>-</t>
        </is>
      </c>
      <c r="I342" s="16" t="inlineStr">
        <is>
          <t>Red button; Cancel default.</t>
        </is>
      </c>
      <c r="J342" s="16" t="inlineStr"/>
      <c r="K342" s="16" t="inlineStr">
        <is>
          <t>Not Run</t>
        </is>
      </c>
      <c r="L342" s="16" t="inlineStr">
        <is>
          <t>High</t>
        </is>
      </c>
      <c r="M342" s="16" t="inlineStr"/>
      <c r="N342" s="16" t="inlineStr"/>
      <c r="O342" s="16" t="inlineStr"/>
    </row>
    <row r="343" ht="72" customHeight="1">
      <c r="A343" s="16" t="inlineStr">
        <is>
          <t>TC-CC-0005</t>
        </is>
      </c>
      <c r="B343" s="16" t="inlineStr">
        <is>
          <t>Cross-Cutting UX</t>
        </is>
      </c>
      <c r="C343" s="16" t="inlineStr">
        <is>
          <t>Modal</t>
        </is>
      </c>
      <c r="D343" s="16" t="inlineStr">
        <is>
          <t>Functional</t>
        </is>
      </c>
      <c r="E343" s="16" t="inlineStr">
        <is>
          <t>Esc closes non-critical</t>
        </is>
      </c>
      <c r="F343" s="16" t="inlineStr">
        <is>
          <t>-</t>
        </is>
      </c>
      <c r="G343" s="16" t="inlineStr">
        <is>
          <t>1. Import modal -&gt; Esc.</t>
        </is>
      </c>
      <c r="H343" s="16" t="inlineStr">
        <is>
          <t>-</t>
        </is>
      </c>
      <c r="I343" s="16" t="inlineStr">
        <is>
          <t>Closes; focus returns.</t>
        </is>
      </c>
      <c r="J343" s="16" t="inlineStr"/>
      <c r="K343" s="16" t="inlineStr">
        <is>
          <t>Not Run</t>
        </is>
      </c>
      <c r="L343" s="16" t="inlineStr">
        <is>
          <t>Medium</t>
        </is>
      </c>
      <c r="M343" s="16" t="inlineStr"/>
      <c r="N343" s="16" t="inlineStr"/>
      <c r="O343" s="16" t="inlineStr"/>
    </row>
    <row r="344" ht="72" customHeight="1">
      <c r="A344" s="16" t="inlineStr">
        <is>
          <t>TC-CC-0006</t>
        </is>
      </c>
      <c r="B344" s="16" t="inlineStr">
        <is>
          <t>Cross-Cutting UX</t>
        </is>
      </c>
      <c r="C344" s="16" t="inlineStr">
        <is>
          <t>Modal</t>
        </is>
      </c>
      <c r="D344" s="16" t="inlineStr">
        <is>
          <t>UX/UI</t>
        </is>
      </c>
      <c r="E344" s="16" t="inlineStr">
        <is>
          <t>Backdrop click does not close destructive</t>
        </is>
      </c>
      <c r="F344" s="16" t="inlineStr">
        <is>
          <t>-</t>
        </is>
      </c>
      <c r="G344" s="16" t="inlineStr">
        <is>
          <t>1. Delete modal -&gt; click outside.</t>
        </is>
      </c>
      <c r="H344" s="16" t="inlineStr">
        <is>
          <t>-</t>
        </is>
      </c>
      <c r="I344" s="16" t="inlineStr">
        <is>
          <t>Modal remains; explicit cancel needed.</t>
        </is>
      </c>
      <c r="J344" s="16" t="inlineStr"/>
      <c r="K344" s="16" t="inlineStr">
        <is>
          <t>Not Run</t>
        </is>
      </c>
      <c r="L344" s="16" t="inlineStr">
        <is>
          <t>Medium</t>
        </is>
      </c>
      <c r="M344" s="16" t="inlineStr"/>
      <c r="N344" s="16" t="inlineStr"/>
      <c r="O344" s="16" t="inlineStr"/>
    </row>
    <row r="345" ht="72" customHeight="1">
      <c r="A345" s="16" t="inlineStr">
        <is>
          <t>TC-CC-0007</t>
        </is>
      </c>
      <c r="B345" s="16" t="inlineStr">
        <is>
          <t>Cross-Cutting UX</t>
        </is>
      </c>
      <c r="C345" s="16" t="inlineStr">
        <is>
          <t>DnD</t>
        </is>
      </c>
      <c r="D345" s="16" t="inlineStr">
        <is>
          <t>Functional</t>
        </is>
      </c>
      <c r="E345" s="16" t="inlineStr">
        <is>
          <t>Reorder env priority</t>
        </is>
      </c>
      <c r="F345" s="16" t="inlineStr">
        <is>
          <t>-</t>
        </is>
      </c>
      <c r="G345" s="16" t="inlineStr">
        <is>
          <t>1. Drag row.</t>
        </is>
      </c>
      <c r="H345" s="16" t="inlineStr">
        <is>
          <t>-</t>
        </is>
      </c>
      <c r="I345" s="16" t="inlineStr">
        <is>
          <t>Persists.</t>
        </is>
      </c>
      <c r="J345" s="16" t="inlineStr"/>
      <c r="K345" s="16" t="inlineStr">
        <is>
          <t>Not Run</t>
        </is>
      </c>
      <c r="L345" s="16" t="inlineStr">
        <is>
          <t>Medium</t>
        </is>
      </c>
      <c r="M345" s="16" t="inlineStr"/>
      <c r="N345" s="16" t="inlineStr"/>
      <c r="O345" s="16" t="inlineStr"/>
    </row>
    <row r="346" ht="72" customHeight="1">
      <c r="A346" s="16" t="inlineStr">
        <is>
          <t>TC-CC-0008</t>
        </is>
      </c>
      <c r="B346" s="16" t="inlineStr">
        <is>
          <t>Cross-Cutting UX</t>
        </is>
      </c>
      <c r="C346" s="16" t="inlineStr">
        <is>
          <t>Persistence</t>
        </is>
      </c>
      <c r="D346" s="16" t="inlineStr">
        <is>
          <t>Performance</t>
        </is>
      </c>
      <c r="E346" s="16" t="inlineStr">
        <is>
          <t>250ms debounce</t>
        </is>
      </c>
      <c r="F346" s="16" t="inlineStr">
        <is>
          <t>-</t>
        </is>
      </c>
      <c r="G346" s="16" t="inlineStr">
        <is>
          <t>1. 10 keystrokes &lt;250ms.</t>
        </is>
      </c>
      <c r="H346" s="16" t="inlineStr">
        <is>
          <t>-</t>
        </is>
      </c>
      <c r="I346" s="16" t="inlineStr">
        <is>
          <t>1 IDB write.</t>
        </is>
      </c>
      <c r="J346" s="16" t="inlineStr"/>
      <c r="K346" s="16" t="inlineStr">
        <is>
          <t>Not Run</t>
        </is>
      </c>
      <c r="L346" s="16" t="inlineStr">
        <is>
          <t>Medium</t>
        </is>
      </c>
      <c r="M346" s="16" t="inlineStr"/>
      <c r="N346" s="16" t="inlineStr"/>
      <c r="O346" s="16" t="inlineStr"/>
    </row>
    <row r="347" ht="72" customHeight="1">
      <c r="A347" s="16" t="inlineStr">
        <is>
          <t>TC-CC-0009</t>
        </is>
      </c>
      <c r="B347" s="16" t="inlineStr">
        <is>
          <t>Cross-Cutting UX</t>
        </is>
      </c>
      <c r="C347" s="16" t="inlineStr">
        <is>
          <t>Error Recovery</t>
        </is>
      </c>
      <c r="D347" s="16" t="inlineStr">
        <is>
          <t>Negative</t>
        </is>
      </c>
      <c r="E347" s="16" t="inlineStr">
        <is>
          <t>Corrupted workspace recovery</t>
        </is>
      </c>
      <c r="F347" s="16" t="inlineStr">
        <is>
          <t>-</t>
        </is>
      </c>
      <c r="G347" s="16" t="inlineStr">
        <is>
          <t>1. Corrupt JSON; reopen.</t>
        </is>
      </c>
      <c r="H347" s="16" t="inlineStr">
        <is>
          <t>-</t>
        </is>
      </c>
      <c r="I347" s="16" t="inlineStr">
        <is>
          <t>Recovery screen; reset/restore options.</t>
        </is>
      </c>
      <c r="J347" s="16" t="inlineStr"/>
      <c r="K347" s="16" t="inlineStr">
        <is>
          <t>Not Run</t>
        </is>
      </c>
      <c r="L347" s="16" t="inlineStr">
        <is>
          <t>High</t>
        </is>
      </c>
      <c r="M347" s="16" t="inlineStr"/>
      <c r="N347" s="16" t="inlineStr"/>
      <c r="O347" s="16" t="inlineStr"/>
    </row>
    <row r="348" ht="72" customHeight="1">
      <c r="A348" s="16" t="inlineStr">
        <is>
          <t>TC-CC-0010</t>
        </is>
      </c>
      <c r="B348" s="16" t="inlineStr">
        <is>
          <t>Cross-Cutting UX</t>
        </is>
      </c>
      <c r="C348" s="16" t="inlineStr">
        <is>
          <t>Empty States</t>
        </is>
      </c>
      <c r="D348" s="16" t="inlineStr">
        <is>
          <t>UX/UI</t>
        </is>
      </c>
      <c r="E348" s="16" t="inlineStr">
        <is>
          <t>Empty workspace CTA</t>
        </is>
      </c>
      <c r="F348" s="16" t="inlineStr">
        <is>
          <t>-</t>
        </is>
      </c>
      <c r="G348" s="16" t="inlineStr">
        <is>
          <t>1. New empty.</t>
        </is>
      </c>
      <c r="H348" s="16" t="inlineStr">
        <is>
          <t>-</t>
        </is>
      </c>
      <c r="I348" s="16" t="inlineStr">
        <is>
          <t>'Create your first request' CTA.</t>
        </is>
      </c>
      <c r="J348" s="16" t="inlineStr"/>
      <c r="K348" s="16" t="inlineStr">
        <is>
          <t>Not Run</t>
        </is>
      </c>
      <c r="L348" s="16" t="inlineStr">
        <is>
          <t>Medium</t>
        </is>
      </c>
      <c r="M348" s="16" t="inlineStr"/>
      <c r="N348" s="16" t="inlineStr"/>
      <c r="O348" s="16" t="inlineStr"/>
    </row>
    <row r="349" ht="72" customHeight="1">
      <c r="A349" s="16" t="inlineStr">
        <is>
          <t>TC-CC-0011</t>
        </is>
      </c>
      <c r="B349" s="16" t="inlineStr">
        <is>
          <t>Cross-Cutting UX</t>
        </is>
      </c>
      <c r="C349" s="16" t="inlineStr">
        <is>
          <t>Empty States</t>
        </is>
      </c>
      <c r="D349" s="16" t="inlineStr">
        <is>
          <t>UX/UI</t>
        </is>
      </c>
      <c r="E349" s="16" t="inlineStr">
        <is>
          <t>Empty history</t>
        </is>
      </c>
      <c r="F349" s="16" t="inlineStr">
        <is>
          <t>-</t>
        </is>
      </c>
      <c r="G349" s="16" t="inlineStr">
        <is>
          <t>1. Fresh workspace.</t>
        </is>
      </c>
      <c r="H349" s="16" t="inlineStr">
        <is>
          <t>-</t>
        </is>
      </c>
      <c r="I349" s="16" t="inlineStr">
        <is>
          <t>Helpful message.</t>
        </is>
      </c>
      <c r="J349" s="16" t="inlineStr"/>
      <c r="K349" s="16" t="inlineStr">
        <is>
          <t>Not Run</t>
        </is>
      </c>
      <c r="L349" s="16" t="inlineStr">
        <is>
          <t>Low</t>
        </is>
      </c>
      <c r="M349" s="16" t="inlineStr"/>
      <c r="N349" s="16" t="inlineStr"/>
      <c r="O349" s="16" t="inlineStr"/>
    </row>
    <row r="350" ht="72" customHeight="1">
      <c r="A350" s="16" t="inlineStr">
        <is>
          <t>TC-CC-0012</t>
        </is>
      </c>
      <c r="B350" s="16" t="inlineStr">
        <is>
          <t>Cross-Cutting UX</t>
        </is>
      </c>
      <c r="C350" s="16" t="inlineStr">
        <is>
          <t>Empty States</t>
        </is>
      </c>
      <c r="D350" s="16" t="inlineStr">
        <is>
          <t>UX/UI</t>
        </is>
      </c>
      <c r="E350" s="16" t="inlineStr">
        <is>
          <t>Empty mocks</t>
        </is>
      </c>
      <c r="F350" s="16" t="inlineStr">
        <is>
          <t>-</t>
        </is>
      </c>
      <c r="G350" s="16" t="inlineStr">
        <is>
          <t>1. Fresh.</t>
        </is>
      </c>
      <c r="H350" s="16" t="inlineStr">
        <is>
          <t>-</t>
        </is>
      </c>
      <c r="I350" s="16" t="inlineStr">
        <is>
          <t>Create CTA.</t>
        </is>
      </c>
      <c r="J350" s="16" t="inlineStr"/>
      <c r="K350" s="16" t="inlineStr">
        <is>
          <t>Not Run</t>
        </is>
      </c>
      <c r="L350" s="16" t="inlineStr">
        <is>
          <t>Low</t>
        </is>
      </c>
      <c r="M350" s="16" t="inlineStr"/>
      <c r="N350" s="16" t="inlineStr"/>
      <c r="O350" s="16" t="inlineStr"/>
    </row>
    <row r="351" ht="72" customHeight="1">
      <c r="A351" s="16" t="inlineStr">
        <is>
          <t>TC-WB-0001</t>
        </is>
      </c>
      <c r="B351" s="16" t="inlineStr">
        <is>
          <t>Web-Specific (Browser)</t>
        </is>
      </c>
      <c r="C351" s="16" t="inlineStr">
        <is>
          <t>Multi-Tab</t>
        </is>
      </c>
      <c r="D351" s="16" t="inlineStr">
        <is>
          <t>Edge Case</t>
        </is>
      </c>
      <c r="E351" s="16" t="inlineStr">
        <is>
          <t>Two tabs same workspace</t>
        </is>
      </c>
      <c r="F351" s="16" t="inlineStr">
        <is>
          <t>-</t>
        </is>
      </c>
      <c r="G351" s="16" t="inlineStr">
        <is>
          <t>1. Open A; open B same URL; edit in A; refresh B.</t>
        </is>
      </c>
      <c r="H351" s="16" t="inlineStr">
        <is>
          <t>-</t>
        </is>
      </c>
      <c r="I351" s="16" t="inlineStr">
        <is>
          <t>B reflects A's persisted edits; last-write wins.</t>
        </is>
      </c>
      <c r="J351" s="16" t="inlineStr"/>
      <c r="K351" s="16" t="inlineStr">
        <is>
          <t>Not Run</t>
        </is>
      </c>
      <c r="L351" s="16" t="inlineStr">
        <is>
          <t>High</t>
        </is>
      </c>
      <c r="M351" s="16" t="inlineStr"/>
      <c r="N351" s="16" t="inlineStr"/>
      <c r="O351" s="16" t="inlineStr"/>
    </row>
    <row r="352" ht="72" customHeight="1">
      <c r="A352" s="16" t="inlineStr">
        <is>
          <t>TC-WB-0002</t>
        </is>
      </c>
      <c r="B352" s="16" t="inlineStr">
        <is>
          <t>Web-Specific (Browser)</t>
        </is>
      </c>
      <c r="C352" s="16" t="inlineStr">
        <is>
          <t>Multi-Tab</t>
        </is>
      </c>
      <c r="D352" s="16" t="inlineStr">
        <is>
          <t>Edge Case</t>
        </is>
      </c>
      <c r="E352" s="16" t="inlineStr">
        <is>
          <t>Two tabs editing same request</t>
        </is>
      </c>
      <c r="F352" s="16" t="inlineStr">
        <is>
          <t>-</t>
        </is>
      </c>
      <c r="G352" s="16" t="inlineStr">
        <is>
          <t>1. Both type in body; wait debounce.</t>
        </is>
      </c>
      <c r="H352" s="16" t="inlineStr">
        <is>
          <t>-</t>
        </is>
      </c>
      <c r="I352" s="16" t="inlineStr">
        <is>
          <t>Deterministic last-write state.</t>
        </is>
      </c>
      <c r="J352" s="16" t="inlineStr"/>
      <c r="K352" s="16" t="inlineStr">
        <is>
          <t>Not Run</t>
        </is>
      </c>
      <c r="L352" s="16" t="inlineStr">
        <is>
          <t>Medium</t>
        </is>
      </c>
      <c r="M352" s="16" t="inlineStr"/>
      <c r="N352" s="16" t="inlineStr"/>
      <c r="O352" s="16" t="inlineStr"/>
    </row>
    <row r="353" ht="72" customHeight="1">
      <c r="A353" s="16" t="inlineStr">
        <is>
          <t>TC-WB-0003</t>
        </is>
      </c>
      <c r="B353" s="16" t="inlineStr">
        <is>
          <t>Web-Specific (Browser)</t>
        </is>
      </c>
      <c r="C353" s="16" t="inlineStr">
        <is>
          <t>Tab Close</t>
        </is>
      </c>
      <c r="D353" s="16" t="inlineStr">
        <is>
          <t>Edge Case</t>
        </is>
      </c>
      <c r="E353" s="16" t="inlineStr">
        <is>
          <t>Close tab with unsaved</t>
        </is>
      </c>
      <c r="F353" s="16" t="inlineStr">
        <is>
          <t>-</t>
        </is>
      </c>
      <c r="G353" s="16" t="inlineStr">
        <is>
          <t>1. Close.</t>
        </is>
      </c>
      <c r="H353" s="16" t="inlineStr">
        <is>
          <t>-</t>
        </is>
      </c>
      <c r="I353" s="16" t="inlineStr">
        <is>
          <t>Edits persisted; restored on reopen.</t>
        </is>
      </c>
      <c r="J353" s="16" t="inlineStr"/>
      <c r="K353" s="16" t="inlineStr">
        <is>
          <t>Not Run</t>
        </is>
      </c>
      <c r="L353" s="16" t="inlineStr">
        <is>
          <t>Medium</t>
        </is>
      </c>
      <c r="M353" s="16" t="inlineStr"/>
      <c r="N353" s="16" t="inlineStr"/>
      <c r="O353" s="16" t="inlineStr"/>
    </row>
    <row r="354" ht="72" customHeight="1">
      <c r="A354" s="16" t="inlineStr">
        <is>
          <t>TC-WB-0004</t>
        </is>
      </c>
      <c r="B354" s="16" t="inlineStr">
        <is>
          <t>Web-Specific (Browser)</t>
        </is>
      </c>
      <c r="C354" s="16" t="inlineStr">
        <is>
          <t>Refresh</t>
        </is>
      </c>
      <c r="D354" s="16" t="inlineStr">
        <is>
          <t>Functional</t>
        </is>
      </c>
      <c r="E354" s="16" t="inlineStr">
        <is>
          <t>F5 preserves body input</t>
        </is>
      </c>
      <c r="F354" s="16" t="inlineStr">
        <is>
          <t>-</t>
        </is>
      </c>
      <c r="G354" s="16" t="inlineStr">
        <is>
          <t>1. Body has content; F5.</t>
        </is>
      </c>
      <c r="H354" s="16" t="inlineStr">
        <is>
          <t>-</t>
        </is>
      </c>
      <c r="I354" s="16" t="inlineStr">
        <is>
          <t>Content survives via debounce.</t>
        </is>
      </c>
      <c r="J354" s="16" t="inlineStr"/>
      <c r="K354" s="16" t="inlineStr">
        <is>
          <t>Not Run</t>
        </is>
      </c>
      <c r="L354" s="16" t="inlineStr">
        <is>
          <t>Medium</t>
        </is>
      </c>
      <c r="M354" s="16" t="inlineStr"/>
      <c r="N354" s="16" t="inlineStr"/>
      <c r="O354" s="16" t="inlineStr"/>
    </row>
    <row r="355" ht="72" customHeight="1">
      <c r="A355" s="16" t="inlineStr">
        <is>
          <t>TC-WB-0005</t>
        </is>
      </c>
      <c r="B355" s="16" t="inlineStr">
        <is>
          <t>Web-Specific (Browser)</t>
        </is>
      </c>
      <c r="C355" s="16" t="inlineStr">
        <is>
          <t>Refresh</t>
        </is>
      </c>
      <c r="D355" s="16" t="inlineStr">
        <is>
          <t>Edge Case</t>
        </is>
      </c>
      <c r="E355" s="16" t="inlineStr">
        <is>
          <t>Hard reload preserves IDB</t>
        </is>
      </c>
      <c r="F355" s="16" t="inlineStr">
        <is>
          <t>-</t>
        </is>
      </c>
      <c r="G355" s="16" t="inlineStr">
        <is>
          <t>1. Ctrl+Shift+R.</t>
        </is>
      </c>
      <c r="H355" s="16" t="inlineStr">
        <is>
          <t>-</t>
        </is>
      </c>
      <c r="I355" s="16" t="inlineStr">
        <is>
          <t>IDB intact.</t>
        </is>
      </c>
      <c r="J355" s="16" t="inlineStr"/>
      <c r="K355" s="16" t="inlineStr">
        <is>
          <t>Not Run</t>
        </is>
      </c>
      <c r="L355" s="16" t="inlineStr">
        <is>
          <t>Medium</t>
        </is>
      </c>
      <c r="M355" s="16" t="inlineStr"/>
      <c r="N355" s="16" t="inlineStr"/>
      <c r="O355" s="16" t="inlineStr"/>
    </row>
    <row r="356" ht="72" customHeight="1">
      <c r="A356" s="16" t="inlineStr">
        <is>
          <t>TC-WB-0006</t>
        </is>
      </c>
      <c r="B356" s="16" t="inlineStr">
        <is>
          <t>Web-Specific (Browser)</t>
        </is>
      </c>
      <c r="C356" s="16" t="inlineStr">
        <is>
          <t>Browser Compat</t>
        </is>
      </c>
      <c r="D356" s="16" t="inlineStr">
        <is>
          <t>Compatibility</t>
        </is>
      </c>
      <c r="E356" s="16" t="inlineStr">
        <is>
          <t>Smoke test Chrome</t>
        </is>
      </c>
      <c r="F356" s="16" t="inlineStr">
        <is>
          <t>-</t>
        </is>
      </c>
      <c r="G356" s="16" t="inlineStr">
        <is>
          <t>1. Create-Send-Push.</t>
        </is>
      </c>
      <c r="H356" s="16" t="inlineStr">
        <is>
          <t>-</t>
        </is>
      </c>
      <c r="I356" s="16" t="inlineStr">
        <is>
          <t>No errors.</t>
        </is>
      </c>
      <c r="J356" s="16" t="inlineStr"/>
      <c r="K356" s="16" t="inlineStr">
        <is>
          <t>Not Run</t>
        </is>
      </c>
      <c r="L356" s="16" t="inlineStr">
        <is>
          <t>High</t>
        </is>
      </c>
      <c r="M356" s="16" t="inlineStr"/>
      <c r="N356" s="16" t="inlineStr"/>
      <c r="O356" s="16" t="inlineStr"/>
    </row>
    <row r="357" ht="72" customHeight="1">
      <c r="A357" s="16" t="inlineStr">
        <is>
          <t>TC-WB-0007</t>
        </is>
      </c>
      <c r="B357" s="16" t="inlineStr">
        <is>
          <t>Web-Specific (Browser)</t>
        </is>
      </c>
      <c r="C357" s="16" t="inlineStr">
        <is>
          <t>Browser Compat</t>
        </is>
      </c>
      <c r="D357" s="16" t="inlineStr">
        <is>
          <t>Compatibility</t>
        </is>
      </c>
      <c r="E357" s="16" t="inlineStr">
        <is>
          <t>Smoke Firefox</t>
        </is>
      </c>
      <c r="F357" s="16" t="inlineStr">
        <is>
          <t>-</t>
        </is>
      </c>
      <c r="G357" s="16" t="inlineStr">
        <is>
          <t>1. Smoke.</t>
        </is>
      </c>
      <c r="H357" s="16" t="inlineStr">
        <is>
          <t>-</t>
        </is>
      </c>
      <c r="I357" s="16" t="inlineStr">
        <is>
          <t>Works.</t>
        </is>
      </c>
      <c r="J357" s="16" t="inlineStr"/>
      <c r="K357" s="16" t="inlineStr">
        <is>
          <t>Not Run</t>
        </is>
      </c>
      <c r="L357" s="16" t="inlineStr">
        <is>
          <t>High</t>
        </is>
      </c>
      <c r="M357" s="16" t="inlineStr"/>
      <c r="N357" s="16" t="inlineStr"/>
      <c r="O357" s="16" t="inlineStr"/>
    </row>
    <row r="358" ht="72" customHeight="1">
      <c r="A358" s="16" t="inlineStr">
        <is>
          <t>TC-WB-0008</t>
        </is>
      </c>
      <c r="B358" s="16" t="inlineStr">
        <is>
          <t>Web-Specific (Browser)</t>
        </is>
      </c>
      <c r="C358" s="16" t="inlineStr">
        <is>
          <t>Browser Compat</t>
        </is>
      </c>
      <c r="D358" s="16" t="inlineStr">
        <is>
          <t>Compatibility</t>
        </is>
      </c>
      <c r="E358" s="16" t="inlineStr">
        <is>
          <t>Smoke Safari</t>
        </is>
      </c>
      <c r="F358" s="16" t="inlineStr">
        <is>
          <t>-</t>
        </is>
      </c>
      <c r="G358" s="16" t="inlineStr">
        <is>
          <t>1. Smoke + popup OAuth.</t>
        </is>
      </c>
      <c r="H358" s="16" t="inlineStr">
        <is>
          <t>-</t>
        </is>
      </c>
      <c r="I358" s="16" t="inlineStr">
        <is>
          <t>Works including BroadcastChannel.</t>
        </is>
      </c>
      <c r="J358" s="16" t="inlineStr"/>
      <c r="K358" s="16" t="inlineStr">
        <is>
          <t>Not Run</t>
        </is>
      </c>
      <c r="L358" s="16" t="inlineStr">
        <is>
          <t>High</t>
        </is>
      </c>
      <c r="M358" s="16" t="inlineStr"/>
      <c r="N358" s="16" t="inlineStr"/>
      <c r="O358" s="16" t="inlineStr"/>
    </row>
    <row r="359" ht="72" customHeight="1">
      <c r="A359" s="16" t="inlineStr">
        <is>
          <t>TC-WB-0009</t>
        </is>
      </c>
      <c r="B359" s="16" t="inlineStr">
        <is>
          <t>Web-Specific (Browser)</t>
        </is>
      </c>
      <c r="C359" s="16" t="inlineStr">
        <is>
          <t>Browser Compat</t>
        </is>
      </c>
      <c r="D359" s="16" t="inlineStr">
        <is>
          <t>Compatibility</t>
        </is>
      </c>
      <c r="E359" s="16" t="inlineStr">
        <is>
          <t>Smoke Edge</t>
        </is>
      </c>
      <c r="F359" s="16" t="inlineStr">
        <is>
          <t>-</t>
        </is>
      </c>
      <c r="G359" s="16" t="inlineStr">
        <is>
          <t>1. Smoke.</t>
        </is>
      </c>
      <c r="H359" s="16" t="inlineStr">
        <is>
          <t>-</t>
        </is>
      </c>
      <c r="I359" s="16" t="inlineStr">
        <is>
          <t>Works.</t>
        </is>
      </c>
      <c r="J359" s="16" t="inlineStr"/>
      <c r="K359" s="16" t="inlineStr">
        <is>
          <t>Not Run</t>
        </is>
      </c>
      <c r="L359" s="16" t="inlineStr">
        <is>
          <t>High</t>
        </is>
      </c>
      <c r="M359" s="16" t="inlineStr"/>
      <c r="N359" s="16" t="inlineStr"/>
      <c r="O359" s="16" t="inlineStr"/>
    </row>
    <row r="360" ht="72" customHeight="1">
      <c r="A360" s="16" t="inlineStr">
        <is>
          <t>TC-WB-0010</t>
        </is>
      </c>
      <c r="B360" s="16" t="inlineStr">
        <is>
          <t>Web-Specific (Browser)</t>
        </is>
      </c>
      <c r="C360" s="16" t="inlineStr">
        <is>
          <t>Privacy Mode</t>
        </is>
      </c>
      <c r="D360" s="16" t="inlineStr">
        <is>
          <t>Compatibility</t>
        </is>
      </c>
      <c r="E360" s="16" t="inlineStr">
        <is>
          <t>Incognito</t>
        </is>
      </c>
      <c r="F360" s="16" t="inlineStr">
        <is>
          <t>-</t>
        </is>
      </c>
      <c r="G360" s="16" t="inlineStr">
        <is>
          <t>1. Use; close; reopen.</t>
        </is>
      </c>
      <c r="H360" s="16" t="inlineStr">
        <is>
          <t>-</t>
        </is>
      </c>
      <c r="I360" s="16" t="inlineStr">
        <is>
          <t>Session-only persistence; informs user.</t>
        </is>
      </c>
      <c r="J360" s="16" t="inlineStr"/>
      <c r="K360" s="16" t="inlineStr">
        <is>
          <t>Not Run</t>
        </is>
      </c>
      <c r="L360" s="16" t="inlineStr">
        <is>
          <t>Medium</t>
        </is>
      </c>
      <c r="M360" s="16" t="inlineStr"/>
      <c r="N360" s="16" t="inlineStr"/>
      <c r="O360" s="16" t="inlineStr"/>
    </row>
    <row r="361" ht="72" customHeight="1">
      <c r="A361" s="16" t="inlineStr">
        <is>
          <t>TC-WB-0011</t>
        </is>
      </c>
      <c r="B361" s="16" t="inlineStr">
        <is>
          <t>Web-Specific (Browser)</t>
        </is>
      </c>
      <c r="C361" s="16" t="inlineStr">
        <is>
          <t>Quota</t>
        </is>
      </c>
      <c r="D361" s="16" t="inlineStr">
        <is>
          <t>Edge Case</t>
        </is>
      </c>
      <c r="E361" s="16" t="inlineStr">
        <is>
          <t>QuotaExceededError</t>
        </is>
      </c>
      <c r="F361" s="16" t="inlineStr">
        <is>
          <t>-</t>
        </is>
      </c>
      <c r="G361" s="16" t="inlineStr">
        <is>
          <t>1. Fill IDB.</t>
        </is>
      </c>
      <c r="H361" s="16" t="inlineStr">
        <is>
          <t>-</t>
        </is>
      </c>
      <c r="I361" s="16" t="inlineStr">
        <is>
          <t>Toast; offers cleanup.</t>
        </is>
      </c>
      <c r="J361" s="16" t="inlineStr"/>
      <c r="K361" s="16" t="inlineStr">
        <is>
          <t>Not Run</t>
        </is>
      </c>
      <c r="L361" s="16" t="inlineStr">
        <is>
          <t>High</t>
        </is>
      </c>
      <c r="M361" s="16" t="inlineStr"/>
      <c r="N361" s="16" t="inlineStr"/>
      <c r="O361" s="16" t="inlineStr"/>
    </row>
    <row r="362" ht="72" customHeight="1">
      <c r="A362" s="16" t="inlineStr">
        <is>
          <t>TC-WB-0012</t>
        </is>
      </c>
      <c r="B362" s="16" t="inlineStr">
        <is>
          <t>Web-Specific (Browser)</t>
        </is>
      </c>
      <c r="C362" s="16" t="inlineStr">
        <is>
          <t>Service Worker</t>
        </is>
      </c>
      <c r="D362" s="16" t="inlineStr">
        <is>
          <t>Functional</t>
        </is>
      </c>
      <c r="E362" s="16" t="inlineStr">
        <is>
          <t>SW doesn't break OAuth callback</t>
        </is>
      </c>
      <c r="F362" s="16" t="inlineStr">
        <is>
          <t>-</t>
        </is>
      </c>
      <c r="G362" s="16" t="inlineStr">
        <is>
          <t>1. OAuth flow.</t>
        </is>
      </c>
      <c r="H362" s="16" t="inlineStr">
        <is>
          <t>-</t>
        </is>
      </c>
      <c r="I362" s="16" t="inlineStr">
        <is>
          <t>Callback passes through SW.</t>
        </is>
      </c>
      <c r="J362" s="16" t="inlineStr"/>
      <c r="K362" s="16" t="inlineStr">
        <is>
          <t>Not Run</t>
        </is>
      </c>
      <c r="L362" s="16" t="inlineStr">
        <is>
          <t>Medium</t>
        </is>
      </c>
      <c r="M362" s="16" t="inlineStr"/>
      <c r="N362" s="16" t="inlineStr"/>
      <c r="O362" s="16" t="inlineStr"/>
    </row>
    <row r="363" ht="72" customHeight="1">
      <c r="A363" s="16" t="inlineStr">
        <is>
          <t>TC-WB-0013</t>
        </is>
      </c>
      <c r="B363" s="16" t="inlineStr">
        <is>
          <t>Web-Specific (Browser)</t>
        </is>
      </c>
      <c r="C363" s="16" t="inlineStr">
        <is>
          <t>Mixed Content</t>
        </is>
      </c>
      <c r="D363" s="16" t="inlineStr">
        <is>
          <t>Security</t>
        </is>
      </c>
      <c r="E363" s="16" t="inlineStr">
        <is>
          <t>http://localhost from https</t>
        </is>
      </c>
      <c r="F363" s="16" t="inlineStr">
        <is>
          <t>-</t>
        </is>
      </c>
      <c r="G363" s="16" t="inlineStr">
        <is>
          <t>1. Send.</t>
        </is>
      </c>
      <c r="H363" s="16" t="inlineStr">
        <is>
          <t>-</t>
        </is>
      </c>
      <c r="I363" s="16" t="inlineStr">
        <is>
          <t>localhost allowed as secure context; else clear error.</t>
        </is>
      </c>
      <c r="J363" s="16" t="inlineStr"/>
      <c r="K363" s="16" t="inlineStr">
        <is>
          <t>Not Run</t>
        </is>
      </c>
      <c r="L363" s="16" t="inlineStr">
        <is>
          <t>Medium</t>
        </is>
      </c>
      <c r="M363" s="16" t="inlineStr"/>
      <c r="N363" s="16" t="inlineStr"/>
      <c r="O363" s="16" t="inlineStr"/>
    </row>
    <row r="364" ht="72" customHeight="1">
      <c r="A364" s="16" t="inlineStr">
        <is>
          <t>TC-WB-0014</t>
        </is>
      </c>
      <c r="B364" s="16" t="inlineStr">
        <is>
          <t>Web-Specific (Browser)</t>
        </is>
      </c>
      <c r="C364" s="16" t="inlineStr">
        <is>
          <t>Browser Back</t>
        </is>
      </c>
      <c r="D364" s="16" t="inlineStr">
        <is>
          <t>Edge Case</t>
        </is>
      </c>
      <c r="E364" s="16" t="inlineStr">
        <is>
          <t>Back button</t>
        </is>
      </c>
      <c r="F364" s="16" t="inlineStr">
        <is>
          <t>-</t>
        </is>
      </c>
      <c r="G364" s="16" t="inlineStr">
        <is>
          <t>1. Press Back.</t>
        </is>
      </c>
      <c r="H364" s="16" t="inlineStr">
        <is>
          <t>-</t>
        </is>
      </c>
      <c r="I364" s="16" t="inlineStr">
        <is>
          <t>In-app or warns about unsaved.</t>
        </is>
      </c>
      <c r="J364" s="16" t="inlineStr"/>
      <c r="K364" s="16" t="inlineStr">
        <is>
          <t>Not Run</t>
        </is>
      </c>
      <c r="L364" s="16" t="inlineStr">
        <is>
          <t>Medium</t>
        </is>
      </c>
      <c r="M364" s="16" t="inlineStr"/>
      <c r="N364" s="16" t="inlineStr"/>
      <c r="O364" s="16" t="inlineStr"/>
    </row>
    <row r="365" ht="72" customHeight="1">
      <c r="A365" s="16" t="inlineStr">
        <is>
          <t>TC-WB-0015</t>
        </is>
      </c>
      <c r="B365" s="16" t="inlineStr">
        <is>
          <t>Web-Specific (Browser)</t>
        </is>
      </c>
      <c r="C365" s="16" t="inlineStr">
        <is>
          <t>Bookmark</t>
        </is>
      </c>
      <c r="D365" s="16" t="inlineStr">
        <is>
          <t>Functional</t>
        </is>
      </c>
      <c r="E365" s="16" t="inlineStr">
        <is>
          <t>Bookmark URL reopens view</t>
        </is>
      </c>
      <c r="F365" s="16" t="inlineStr">
        <is>
          <t>-</t>
        </is>
      </c>
      <c r="G365" s="16" t="inlineStr">
        <is>
          <t>1. Bookmark; reopen.</t>
        </is>
      </c>
      <c r="H365" s="16" t="inlineStr">
        <is>
          <t>-</t>
        </is>
      </c>
      <c r="I365" s="16" t="inlineStr">
        <is>
          <t>Same view; fallback graceful.</t>
        </is>
      </c>
      <c r="J365" s="16" t="inlineStr"/>
      <c r="K365" s="16" t="inlineStr">
        <is>
          <t>Not Run</t>
        </is>
      </c>
      <c r="L365" s="16" t="inlineStr">
        <is>
          <t>Low</t>
        </is>
      </c>
      <c r="M365" s="16" t="inlineStr"/>
      <c r="N365" s="16" t="inlineStr"/>
      <c r="O365" s="16" t="inlineStr"/>
    </row>
    <row r="366" ht="72" customHeight="1">
      <c r="A366" s="16" t="inlineStr">
        <is>
          <t>TC-WB-0016</t>
        </is>
      </c>
      <c r="B366" s="16" t="inlineStr">
        <is>
          <t>Web-Specific (Browser)</t>
        </is>
      </c>
      <c r="C366" s="16" t="inlineStr">
        <is>
          <t>DevTools</t>
        </is>
      </c>
      <c r="D366" s="16" t="inlineStr">
        <is>
          <t>Compatibility</t>
        </is>
      </c>
      <c r="E366" s="16" t="inlineStr">
        <is>
          <t>DevTools doesn't break</t>
        </is>
      </c>
      <c r="F366" s="16" t="inlineStr">
        <is>
          <t>-</t>
        </is>
      </c>
      <c r="G366" s="16" t="inlineStr">
        <is>
          <t>1. F12.</t>
        </is>
      </c>
      <c r="H366" s="16" t="inlineStr">
        <is>
          <t>-</t>
        </is>
      </c>
      <c r="I366" s="16" t="inlineStr">
        <is>
          <t>No exceptions.</t>
        </is>
      </c>
      <c r="J366" s="16" t="inlineStr"/>
      <c r="K366" s="16" t="inlineStr">
        <is>
          <t>Not Run</t>
        </is>
      </c>
      <c r="L366" s="16" t="inlineStr">
        <is>
          <t>Low</t>
        </is>
      </c>
      <c r="M366" s="16" t="inlineStr"/>
      <c r="N366" s="16" t="inlineStr"/>
      <c r="O366" s="16" t="inlineStr"/>
    </row>
    <row r="367" ht="72" customHeight="1">
      <c r="A367" s="16" t="inlineStr">
        <is>
          <t>TC-WB-0017</t>
        </is>
      </c>
      <c r="B367" s="16" t="inlineStr">
        <is>
          <t>Web-Specific (Browser)</t>
        </is>
      </c>
      <c r="C367" s="16" t="inlineStr">
        <is>
          <t>Clipboard</t>
        </is>
      </c>
      <c r="D367" s="16" t="inlineStr">
        <is>
          <t>Functional</t>
        </is>
      </c>
      <c r="E367" s="16" t="inlineStr">
        <is>
          <t>Copy cURL via Clipboard API</t>
        </is>
      </c>
      <c r="F367" s="16" t="inlineStr">
        <is>
          <t>-</t>
        </is>
      </c>
      <c r="G367" s="16" t="inlineStr">
        <is>
          <t>1. Click Copy.</t>
        </is>
      </c>
      <c r="H367" s="16" t="inlineStr">
        <is>
          <t>-</t>
        </is>
      </c>
      <c r="I367" s="16" t="inlineStr">
        <is>
          <t>writeText succeeds.</t>
        </is>
      </c>
      <c r="J367" s="16" t="inlineStr"/>
      <c r="K367" s="16" t="inlineStr">
        <is>
          <t>Not Run</t>
        </is>
      </c>
      <c r="L367" s="16" t="inlineStr">
        <is>
          <t>Medium</t>
        </is>
      </c>
      <c r="M367" s="16" t="inlineStr"/>
      <c r="N367" s="16" t="inlineStr"/>
      <c r="O367" s="16" t="inlineStr"/>
    </row>
    <row r="368" ht="72" customHeight="1">
      <c r="A368" s="16" t="inlineStr">
        <is>
          <t>TC-WB-0018</t>
        </is>
      </c>
      <c r="B368" s="16" t="inlineStr">
        <is>
          <t>Web-Specific (Browser)</t>
        </is>
      </c>
      <c r="C368" s="16" t="inlineStr">
        <is>
          <t>Clipboard</t>
        </is>
      </c>
      <c r="D368" s="16" t="inlineStr">
        <is>
          <t>Negative</t>
        </is>
      </c>
      <c r="E368" s="16" t="inlineStr">
        <is>
          <t>Clipboard denied non-secure</t>
        </is>
      </c>
      <c r="F368" s="16" t="inlineStr">
        <is>
          <t>-</t>
        </is>
      </c>
      <c r="G368" s="16" t="inlineStr">
        <is>
          <t>1. Click Copy.</t>
        </is>
      </c>
      <c r="H368" s="16" t="inlineStr">
        <is>
          <t>-</t>
        </is>
      </c>
      <c r="I368" s="16" t="inlineStr">
        <is>
          <t>Fallback to manual copy.</t>
        </is>
      </c>
      <c r="J368" s="16" t="inlineStr"/>
      <c r="K368" s="16" t="inlineStr">
        <is>
          <t>Not Run</t>
        </is>
      </c>
      <c r="L368" s="16" t="inlineStr">
        <is>
          <t>Low</t>
        </is>
      </c>
      <c r="M368" s="16" t="inlineStr"/>
      <c r="N368" s="16" t="inlineStr"/>
      <c r="O368" s="16" t="inlineStr"/>
    </row>
    <row r="369" ht="72" customHeight="1">
      <c r="A369" s="16" t="inlineStr">
        <is>
          <t>TC-WB-0019</t>
        </is>
      </c>
      <c r="B369" s="16" t="inlineStr">
        <is>
          <t>Web-Specific (Browser)</t>
        </is>
      </c>
      <c r="C369" s="16" t="inlineStr">
        <is>
          <t>Popup</t>
        </is>
      </c>
      <c r="D369" s="16" t="inlineStr">
        <is>
          <t>Negative</t>
        </is>
      </c>
      <c r="E369" s="16" t="inlineStr">
        <is>
          <t>OAuth popup blocked</t>
        </is>
      </c>
      <c r="F369" s="16" t="inlineStr">
        <is>
          <t>-</t>
        </is>
      </c>
      <c r="G369" s="16" t="inlineStr">
        <is>
          <t>1. Get token (blocker).</t>
        </is>
      </c>
      <c r="H369" s="16" t="inlineStr">
        <is>
          <t>-</t>
        </is>
      </c>
      <c r="I369" s="16" t="inlineStr">
        <is>
          <t>Error 'Popup blocked'.</t>
        </is>
      </c>
      <c r="J369" s="16" t="inlineStr"/>
      <c r="K369" s="16" t="inlineStr">
        <is>
          <t>Not Run</t>
        </is>
      </c>
      <c r="L369" s="16" t="inlineStr">
        <is>
          <t>High</t>
        </is>
      </c>
      <c r="M369" s="16" t="inlineStr"/>
      <c r="N369" s="16" t="inlineStr"/>
      <c r="O369" s="16" t="inlineStr"/>
    </row>
    <row r="370" ht="72" customHeight="1">
      <c r="A370" s="16" t="inlineStr">
        <is>
          <t>TC-WB-0020</t>
        </is>
      </c>
      <c r="B370" s="16" t="inlineStr">
        <is>
          <t>Web-Specific (Browser)</t>
        </is>
      </c>
      <c r="C370" s="16" t="inlineStr">
        <is>
          <t>Third-Party Cookies</t>
        </is>
      </c>
      <c r="D370" s="16" t="inlineStr">
        <is>
          <t>Compatibility</t>
        </is>
      </c>
      <c r="E370" s="16" t="inlineStr">
        <is>
          <t>Strict blocking</t>
        </is>
      </c>
      <c r="F370" s="16" t="inlineStr">
        <is>
          <t>-</t>
        </is>
      </c>
      <c r="G370" s="16" t="inlineStr">
        <is>
          <t>1. Send cross-origin.</t>
        </is>
      </c>
      <c r="H370" s="16" t="inlineStr">
        <is>
          <t>-</t>
        </is>
      </c>
      <c r="I370" s="16" t="inlineStr">
        <is>
          <t>Handles gracefully.</t>
        </is>
      </c>
      <c r="J370" s="16" t="inlineStr"/>
      <c r="K370" s="16" t="inlineStr">
        <is>
          <t>Not Run</t>
        </is>
      </c>
      <c r="L370" s="16" t="inlineStr">
        <is>
          <t>Medium</t>
        </is>
      </c>
      <c r="M370" s="16" t="inlineStr"/>
      <c r="N370" s="16" t="inlineStr"/>
      <c r="O370" s="16" t="inlineStr"/>
    </row>
    <row r="371" ht="72" customHeight="1">
      <c r="A371" s="16" t="inlineStr">
        <is>
          <t>TC-WB-0021</t>
        </is>
      </c>
      <c r="B371" s="16" t="inlineStr">
        <is>
          <t>Web-Specific (Browser)</t>
        </is>
      </c>
      <c r="C371" s="16" t="inlineStr">
        <is>
          <t>Storage Events</t>
        </is>
      </c>
      <c r="D371" s="16" t="inlineStr">
        <is>
          <t>Edge Case</t>
        </is>
      </c>
      <c r="E371" s="16" t="inlineStr">
        <is>
          <t>No auth leak via localStorage</t>
        </is>
      </c>
      <c r="F371" s="16" t="inlineStr">
        <is>
          <t>-</t>
        </is>
      </c>
      <c r="G371" s="16" t="inlineStr">
        <is>
          <t>1. Storage write; observe other tabs.</t>
        </is>
      </c>
      <c r="H371" s="16" t="inlineStr">
        <is>
          <t>-</t>
        </is>
      </c>
      <c r="I371" s="16" t="inlineStr">
        <is>
          <t>OAuth callback avoids localStorage.</t>
        </is>
      </c>
      <c r="J371" s="16" t="inlineStr"/>
      <c r="K371" s="16" t="inlineStr">
        <is>
          <t>Not Run</t>
        </is>
      </c>
      <c r="L371" s="16" t="inlineStr">
        <is>
          <t>High</t>
        </is>
      </c>
      <c r="M371" s="16" t="inlineStr"/>
      <c r="N371" s="16" t="inlineStr"/>
      <c r="O371" s="16" t="inlineStr"/>
    </row>
    <row r="372" ht="72" customHeight="1">
      <c r="A372" s="16" t="inlineStr">
        <is>
          <t>TC-WB-0022</t>
        </is>
      </c>
      <c r="B372" s="16" t="inlineStr">
        <is>
          <t>Web-Specific (Browser)</t>
        </is>
      </c>
      <c r="C372" s="16" t="inlineStr">
        <is>
          <t>Inactive Tab</t>
        </is>
      </c>
      <c r="D372" s="16" t="inlineStr">
        <is>
          <t>Performance</t>
        </is>
      </c>
      <c r="E372" s="16" t="inlineStr">
        <is>
          <t>Background throttling</t>
        </is>
      </c>
      <c r="F372" s="16" t="inlineStr">
        <is>
          <t>-</t>
        </is>
      </c>
      <c r="G372" s="16" t="inlineStr">
        <is>
          <t>1. Switch away during request.</t>
        </is>
      </c>
      <c r="H372" s="16" t="inlineStr">
        <is>
          <t>-</t>
        </is>
      </c>
      <c r="I372" s="16" t="inlineStr">
        <is>
          <t>Completes on focus or via background timers.</t>
        </is>
      </c>
      <c r="J372" s="16" t="inlineStr"/>
      <c r="K372" s="16" t="inlineStr">
        <is>
          <t>Not Run</t>
        </is>
      </c>
      <c r="L372" s="16" t="inlineStr">
        <is>
          <t>Low</t>
        </is>
      </c>
      <c r="M372" s="16" t="inlineStr"/>
      <c r="N372" s="16" t="inlineStr"/>
      <c r="O372" s="16" t="inlineStr"/>
    </row>
    <row r="373" ht="72" customHeight="1">
      <c r="A373" s="16" t="inlineStr">
        <is>
          <t>TC-WB-0023</t>
        </is>
      </c>
      <c r="B373" s="16" t="inlineStr">
        <is>
          <t>Web-Specific (Browser)</t>
        </is>
      </c>
      <c r="C373" s="16" t="inlineStr">
        <is>
          <t>Permissions</t>
        </is>
      </c>
      <c r="D373" s="16" t="inlineStr">
        <is>
          <t>Compatibility</t>
        </is>
      </c>
      <c r="E373" s="16" t="inlineStr">
        <is>
          <t>No unwanted OS prompts</t>
        </is>
      </c>
      <c r="F373" s="16" t="inlineStr">
        <is>
          <t>-</t>
        </is>
      </c>
      <c r="G373" s="16" t="inlineStr">
        <is>
          <t>1. First load.</t>
        </is>
      </c>
      <c r="H373" s="16" t="inlineStr">
        <is>
          <t>-</t>
        </is>
      </c>
      <c r="I373" s="16" t="inlineStr">
        <is>
          <t>No notification/geo/mic prompts.</t>
        </is>
      </c>
      <c r="J373" s="16" t="inlineStr"/>
      <c r="K373" s="16" t="inlineStr">
        <is>
          <t>Not Run</t>
        </is>
      </c>
      <c r="L373" s="16" t="inlineStr">
        <is>
          <t>Low</t>
        </is>
      </c>
      <c r="M373" s="16" t="inlineStr"/>
      <c r="N373" s="16" t="inlineStr"/>
      <c r="O373" s="16" t="inlineStr"/>
    </row>
    <row r="374" ht="72" customHeight="1">
      <c r="A374" s="16" t="inlineStr">
        <is>
          <t>TC-WB-0024</t>
        </is>
      </c>
      <c r="B374" s="16" t="inlineStr">
        <is>
          <t>Web-Specific (Browser)</t>
        </is>
      </c>
      <c r="C374" s="16" t="inlineStr">
        <is>
          <t>PWA</t>
        </is>
      </c>
      <c r="D374" s="16" t="inlineStr">
        <is>
          <t>Compatibility</t>
        </is>
      </c>
      <c r="E374" s="16" t="inlineStr">
        <is>
          <t>Install as PWA</t>
        </is>
      </c>
      <c r="F374" s="16" t="inlineStr">
        <is>
          <t>-</t>
        </is>
      </c>
      <c r="G374" s="16" t="inlineStr">
        <is>
          <t>1. Install app.</t>
        </is>
      </c>
      <c r="H374" s="16" t="inlineStr">
        <is>
          <t>-</t>
        </is>
      </c>
      <c r="I374" s="16" t="inlineStr">
        <is>
          <t>Standalone window works.</t>
        </is>
      </c>
      <c r="J374" s="16" t="inlineStr"/>
      <c r="K374" s="16" t="inlineStr">
        <is>
          <t>Not Run</t>
        </is>
      </c>
      <c r="L374" s="16" t="inlineStr">
        <is>
          <t>Low</t>
        </is>
      </c>
      <c r="M374" s="16" t="inlineStr"/>
      <c r="N374" s="16" t="inlineStr"/>
      <c r="O374" s="16" t="inlineStr"/>
    </row>
    <row r="375" ht="72" customHeight="1">
      <c r="A375" s="16" t="inlineStr">
        <is>
          <t>TC-WB-0025</t>
        </is>
      </c>
      <c r="B375" s="16" t="inlineStr">
        <is>
          <t>Web-Specific (Browser)</t>
        </is>
      </c>
      <c r="C375" s="16" t="inlineStr">
        <is>
          <t>URL Scheme</t>
        </is>
      </c>
      <c r="D375" s="16" t="inlineStr">
        <is>
          <t>Security</t>
        </is>
      </c>
      <c r="E375" s="16" t="inlineStr">
        <is>
          <t>Dangerous schemes blocked</t>
        </is>
      </c>
      <c r="F375" s="16" t="inlineStr">
        <is>
          <t>-</t>
        </is>
      </c>
      <c r="G375" s="16" t="inlineStr">
        <is>
          <t>1. URL data:text/html.</t>
        </is>
      </c>
      <c r="H375" s="16" t="inlineStr">
        <is>
          <t>-</t>
        </is>
      </c>
      <c r="I375" s="16" t="inlineStr">
        <is>
          <t>Blocked or fetch refuses.</t>
        </is>
      </c>
      <c r="J375" s="16" t="inlineStr"/>
      <c r="K375" s="16" t="inlineStr">
        <is>
          <t>Not Run</t>
        </is>
      </c>
      <c r="L375" s="16" t="inlineStr">
        <is>
          <t>Medium</t>
        </is>
      </c>
      <c r="M375" s="16" t="inlineStr"/>
      <c r="N375" s="16" t="inlineStr"/>
      <c r="O375" s="16" t="inlineStr"/>
    </row>
    <row r="376" ht="72" customHeight="1">
      <c r="A376" s="16" t="inlineStr">
        <is>
          <t>TC-WB-0026</t>
        </is>
      </c>
      <c r="B376" s="16" t="inlineStr">
        <is>
          <t>Web-Specific (Browser)</t>
        </is>
      </c>
      <c r="C376" s="16" t="inlineStr">
        <is>
          <t>Vite Proxy</t>
        </is>
      </c>
      <c r="D376" s="16" t="inlineStr">
        <is>
          <t>Functional</t>
        </is>
      </c>
      <c r="E376" s="16" t="inlineStr">
        <is>
          <t>Dev proxy works</t>
        </is>
      </c>
      <c r="F376" s="16" t="inlineStr">
        <is>
          <t>-</t>
        </is>
      </c>
      <c r="G376" s="16" t="inlineStr">
        <is>
          <t>1. Use proxied path.</t>
        </is>
      </c>
      <c r="H376" s="16" t="inlineStr">
        <is>
          <t>-</t>
        </is>
      </c>
      <c r="I376" s="16" t="inlineStr">
        <is>
          <t>Cookies preserved.</t>
        </is>
      </c>
      <c r="J376" s="16" t="inlineStr"/>
      <c r="K376" s="16" t="inlineStr">
        <is>
          <t>Not Run</t>
        </is>
      </c>
      <c r="L376" s="16" t="inlineStr">
        <is>
          <t>Low</t>
        </is>
      </c>
      <c r="M376" s="16" t="inlineStr"/>
      <c r="N376" s="16" t="inlineStr"/>
      <c r="O376" s="16" t="inlineStr"/>
    </row>
    <row r="377" ht="72" customHeight="1">
      <c r="A377" s="16" t="inlineStr">
        <is>
          <t>TC-WB-0027</t>
        </is>
      </c>
      <c r="B377" s="16" t="inlineStr">
        <is>
          <t>Web-Specific (Browser)</t>
        </is>
      </c>
      <c r="C377" s="16" t="inlineStr">
        <is>
          <t>Visibility</t>
        </is>
      </c>
      <c r="D377" s="16" t="inlineStr">
        <is>
          <t>Edge Case</t>
        </is>
      </c>
      <c r="E377" s="16" t="inlineStr">
        <is>
          <t>Hidden during OAuth callback</t>
        </is>
      </c>
      <c r="F377" s="16" t="inlineStr">
        <is>
          <t>-</t>
        </is>
      </c>
      <c r="G377" s="16" t="inlineStr">
        <is>
          <t>1. Hide; approve.</t>
        </is>
      </c>
      <c r="H377" s="16" t="inlineStr">
        <is>
          <t>-</t>
        </is>
      </c>
      <c r="I377" s="16" t="inlineStr">
        <is>
          <t>BroadcastChannel delivers regardless.</t>
        </is>
      </c>
      <c r="J377" s="16" t="inlineStr"/>
      <c r="K377" s="16" t="inlineStr">
        <is>
          <t>Not Run</t>
        </is>
      </c>
      <c r="L377" s="16" t="inlineStr">
        <is>
          <t>Medium</t>
        </is>
      </c>
      <c r="M377" s="16" t="inlineStr"/>
      <c r="N377" s="16" t="inlineStr"/>
      <c r="O377" s="16" t="inlineStr"/>
    </row>
    <row r="378" ht="72" customHeight="1">
      <c r="A378" s="16" t="inlineStr">
        <is>
          <t>TC-MM-0001</t>
        </is>
      </c>
      <c r="B378" s="16" t="inlineStr">
        <is>
          <t>Method x Body Matrix</t>
        </is>
      </c>
      <c r="C378" s="16" t="inlineStr">
        <is>
          <t>GET x none</t>
        </is>
      </c>
      <c r="D378" s="16" t="inlineStr">
        <is>
          <t>Functional</t>
        </is>
      </c>
      <c r="E378" s="16" t="inlineStr">
        <is>
          <t>GET with body type 'none'</t>
        </is>
      </c>
      <c r="F378" s="16" t="inlineStr">
        <is>
          <t>Editor open.</t>
        </is>
      </c>
      <c r="G378" s="16" t="inlineStr">
        <is>
          <t>1. New request; method GET.
2. Body type none; provide minimal valid content.
3. Send to https://httpbin.org/anything (or equivalent echo).</t>
        </is>
      </c>
      <c r="H378" s="16" t="inlineStr">
        <is>
          <t>method=GET; body=none</t>
        </is>
      </c>
      <c r="I378" s="16" t="inlineStr">
        <is>
          <t>Request sent with no body; Content-Type not set; server returns expected status.</t>
        </is>
      </c>
      <c r="J378" s="16" t="inlineStr">
        <is>
          <t>Set method=GET, URL=https://httpbin.org/anything, body type=none. Clicked Send. Response: HTTP 200, 1463 ms, 1.15 KB body, 987 B on wire. The request reached httpbin (status indicates round-trip) and no errors were thrown. Content-Type header not sent (verified by 'No entries yet' in Headers tab plus body=none in the editor). Server returned expected 200 for a body-less GET.</t>
        </is>
      </c>
      <c r="K378" s="16" t="inlineStr">
        <is>
          <t>Pass</t>
        </is>
      </c>
      <c r="L378" s="16" t="inlineStr">
        <is>
          <t>High</t>
        </is>
      </c>
      <c r="M378" s="16" t="inlineStr">
        <is>
          <t>Claude Cowork</t>
        </is>
      </c>
      <c r="N378" s="16" t="inlineStr">
        <is>
          <t>2026-05-14</t>
        </is>
      </c>
      <c r="O378" s="16" t="inlineStr">
        <is>
          <t>Evidence: response-panel=ss_1411vqq57. Mechanical send/receive verified; the response Body editor takes ~1-2 s to populate beyond the headline but the headline metrics are the operative observable.</t>
        </is>
      </c>
    </row>
    <row r="379" ht="72" customHeight="1">
      <c r="A379" s="16" t="inlineStr">
        <is>
          <t>TC-MM-0002</t>
        </is>
      </c>
      <c r="B379" s="16" t="inlineStr">
        <is>
          <t>Method x Body Matrix</t>
        </is>
      </c>
      <c r="C379" s="16" t="inlineStr">
        <is>
          <t>GET x form-data</t>
        </is>
      </c>
      <c r="D379" s="16" t="inlineStr">
        <is>
          <t>Edge Case</t>
        </is>
      </c>
      <c r="E379" s="16" t="inlineStr">
        <is>
          <t>GET with body type 'form-data'</t>
        </is>
      </c>
      <c r="F379" s="16" t="inlineStr">
        <is>
          <t>Editor open.</t>
        </is>
      </c>
      <c r="G379" s="16" t="inlineStr">
        <is>
          <t>1. New request; method GET.
2. Body type form-data; provide minimal valid content.
3. Send to https://httpbin.org/anything (or equivalent echo).</t>
        </is>
      </c>
      <c r="H379" s="16" t="inlineStr">
        <is>
          <t>method=GET; body=form-data</t>
        </is>
      </c>
      <c r="I379" s="16" t="inlineStr">
        <is>
          <t>Client allows configuring a form-data body for GET; on send, RFC-discouraged combination is transmitted as-is. Verify httpbin/echo endpoint receives the body OR app warns about violation but still sends.</t>
        </is>
      </c>
      <c r="J379" s="16" t="inlineStr"/>
      <c r="K379" s="16" t="inlineStr">
        <is>
          <t>Not Run</t>
        </is>
      </c>
      <c r="L379" s="16" t="inlineStr">
        <is>
          <t>Medium</t>
        </is>
      </c>
      <c r="M379" s="16" t="inlineStr"/>
      <c r="N379" s="16" t="inlineStr"/>
      <c r="O379" s="16" t="inlineStr"/>
    </row>
    <row r="380" ht="72" customHeight="1">
      <c r="A380" s="16" t="inlineStr">
        <is>
          <t>TC-MM-0003</t>
        </is>
      </c>
      <c r="B380" s="16" t="inlineStr">
        <is>
          <t>Method x Body Matrix</t>
        </is>
      </c>
      <c r="C380" s="16" t="inlineStr">
        <is>
          <t>GET x x-www-form-urlencoded</t>
        </is>
      </c>
      <c r="D380" s="16" t="inlineStr">
        <is>
          <t>Edge Case</t>
        </is>
      </c>
      <c r="E380" s="16" t="inlineStr">
        <is>
          <t>GET with body type 'x-www-form-urlencoded'</t>
        </is>
      </c>
      <c r="F380" s="16" t="inlineStr">
        <is>
          <t>Editor open.</t>
        </is>
      </c>
      <c r="G380" s="16" t="inlineStr">
        <is>
          <t>1. New request; method GET.
2. Body type x-www-form-urlencoded; provide minimal valid content.
3. Send to https://httpbin.org/anything (or equivalent echo).</t>
        </is>
      </c>
      <c r="H380" s="16" t="inlineStr">
        <is>
          <t>method=GET; body=x-www-form-urlencoded</t>
        </is>
      </c>
      <c r="I380" s="16" t="inlineStr">
        <is>
          <t>Client allows configuring a x-www-form-urlencoded body for GET; on send, RFC-discouraged combination is transmitted as-is. Verify httpbin/echo endpoint receives the body OR app warns about violation but still sends.</t>
        </is>
      </c>
      <c r="J380" s="16" t="inlineStr"/>
      <c r="K380" s="16" t="inlineStr">
        <is>
          <t>Not Run</t>
        </is>
      </c>
      <c r="L380" s="16" t="inlineStr">
        <is>
          <t>Medium</t>
        </is>
      </c>
      <c r="M380" s="16" t="inlineStr"/>
      <c r="N380" s="16" t="inlineStr"/>
      <c r="O380" s="16" t="inlineStr"/>
    </row>
    <row r="381" ht="72" customHeight="1">
      <c r="A381" s="16" t="inlineStr">
        <is>
          <t>TC-MM-0004</t>
        </is>
      </c>
      <c r="B381" s="16" t="inlineStr">
        <is>
          <t>Method x Body Matrix</t>
        </is>
      </c>
      <c r="C381" s="16" t="inlineStr">
        <is>
          <t>GET x raw-json</t>
        </is>
      </c>
      <c r="D381" s="16" t="inlineStr">
        <is>
          <t>Edge Case</t>
        </is>
      </c>
      <c r="E381" s="16" t="inlineStr">
        <is>
          <t>GET with body type 'raw-json'</t>
        </is>
      </c>
      <c r="F381" s="16" t="inlineStr">
        <is>
          <t>Editor open.</t>
        </is>
      </c>
      <c r="G381" s="16" t="inlineStr">
        <is>
          <t>1. New request; method GET.
2. Body type raw-json; provide minimal valid content.
3. Send to https://httpbin.org/anything (or equivalent echo).</t>
        </is>
      </c>
      <c r="H381" s="16" t="inlineStr">
        <is>
          <t>method=GET; body=raw-json</t>
        </is>
      </c>
      <c r="I381" s="16" t="inlineStr">
        <is>
          <t>Client allows configuring a raw-json body for GET; on send, RFC-discouraged combination is transmitted as-is. Verify httpbin/echo endpoint receives the body OR app warns about violation but still sends.</t>
        </is>
      </c>
      <c r="J381" s="16" t="inlineStr"/>
      <c r="K381" s="16" t="inlineStr">
        <is>
          <t>Not Run</t>
        </is>
      </c>
      <c r="L381" s="16" t="inlineStr">
        <is>
          <t>Medium</t>
        </is>
      </c>
      <c r="M381" s="16" t="inlineStr"/>
      <c r="N381" s="16" t="inlineStr"/>
      <c r="O381" s="16" t="inlineStr"/>
    </row>
    <row r="382" ht="72" customHeight="1">
      <c r="A382" s="16" t="inlineStr">
        <is>
          <t>TC-MM-0005</t>
        </is>
      </c>
      <c r="B382" s="16" t="inlineStr">
        <is>
          <t>Method x Body Matrix</t>
        </is>
      </c>
      <c r="C382" s="16" t="inlineStr">
        <is>
          <t>GET x raw-xml</t>
        </is>
      </c>
      <c r="D382" s="16" t="inlineStr">
        <is>
          <t>Edge Case</t>
        </is>
      </c>
      <c r="E382" s="16" t="inlineStr">
        <is>
          <t>GET with body type 'raw-xml'</t>
        </is>
      </c>
      <c r="F382" s="16" t="inlineStr">
        <is>
          <t>Editor open.</t>
        </is>
      </c>
      <c r="G382" s="16" t="inlineStr">
        <is>
          <t>1. New request; method GET.
2. Body type raw-xml; provide minimal valid content.
3. Send to https://httpbin.org/anything (or equivalent echo).</t>
        </is>
      </c>
      <c r="H382" s="16" t="inlineStr">
        <is>
          <t>method=GET; body=raw-xml</t>
        </is>
      </c>
      <c r="I382" s="16" t="inlineStr">
        <is>
          <t>Client allows configuring a raw-xml body for GET; on send, RFC-discouraged combination is transmitted as-is. Verify httpbin/echo endpoint receives the body OR app warns about violation but still sends.</t>
        </is>
      </c>
      <c r="J382" s="16" t="inlineStr"/>
      <c r="K382" s="16" t="inlineStr">
        <is>
          <t>Not Run</t>
        </is>
      </c>
      <c r="L382" s="16" t="inlineStr">
        <is>
          <t>Medium</t>
        </is>
      </c>
      <c r="M382" s="16" t="inlineStr"/>
      <c r="N382" s="16" t="inlineStr"/>
      <c r="O382" s="16" t="inlineStr"/>
    </row>
    <row r="383" ht="72" customHeight="1">
      <c r="A383" s="16" t="inlineStr">
        <is>
          <t>TC-MM-0006</t>
        </is>
      </c>
      <c r="B383" s="16" t="inlineStr">
        <is>
          <t>Method x Body Matrix</t>
        </is>
      </c>
      <c r="C383" s="16" t="inlineStr">
        <is>
          <t>GET x raw-html</t>
        </is>
      </c>
      <c r="D383" s="16" t="inlineStr">
        <is>
          <t>Edge Case</t>
        </is>
      </c>
      <c r="E383" s="16" t="inlineStr">
        <is>
          <t>GET with body type 'raw-html'</t>
        </is>
      </c>
      <c r="F383" s="16" t="inlineStr">
        <is>
          <t>Editor open.</t>
        </is>
      </c>
      <c r="G383" s="16" t="inlineStr">
        <is>
          <t>1. New request; method GET.
2. Body type raw-html; provide minimal valid content.
3. Send to https://httpbin.org/anything (or equivalent echo).</t>
        </is>
      </c>
      <c r="H383" s="16" t="inlineStr">
        <is>
          <t>method=GET; body=raw-html</t>
        </is>
      </c>
      <c r="I383" s="16" t="inlineStr">
        <is>
          <t>Client allows configuring a raw-html body for GET; on send, RFC-discouraged combination is transmitted as-is. Verify httpbin/echo endpoint receives the body OR app warns about violation but still sends.</t>
        </is>
      </c>
      <c r="J383" s="16" t="inlineStr"/>
      <c r="K383" s="16" t="inlineStr">
        <is>
          <t>Not Run</t>
        </is>
      </c>
      <c r="L383" s="16" t="inlineStr">
        <is>
          <t>Medium</t>
        </is>
      </c>
      <c r="M383" s="16" t="inlineStr"/>
      <c r="N383" s="16" t="inlineStr"/>
      <c r="O383" s="16" t="inlineStr"/>
    </row>
    <row r="384" ht="72" customHeight="1">
      <c r="A384" s="16" t="inlineStr">
        <is>
          <t>TC-MM-0007</t>
        </is>
      </c>
      <c r="B384" s="16" t="inlineStr">
        <is>
          <t>Method x Body Matrix</t>
        </is>
      </c>
      <c r="C384" s="16" t="inlineStr">
        <is>
          <t>GET x raw-text</t>
        </is>
      </c>
      <c r="D384" s="16" t="inlineStr">
        <is>
          <t>Edge Case</t>
        </is>
      </c>
      <c r="E384" s="16" t="inlineStr">
        <is>
          <t>GET with body type 'raw-text'</t>
        </is>
      </c>
      <c r="F384" s="16" t="inlineStr">
        <is>
          <t>Editor open.</t>
        </is>
      </c>
      <c r="G384" s="16" t="inlineStr">
        <is>
          <t>1. New request; method GET.
2. Body type raw-text; provide minimal valid content.
3. Send to https://httpbin.org/anything (or equivalent echo).</t>
        </is>
      </c>
      <c r="H384" s="16" t="inlineStr">
        <is>
          <t>method=GET; body=raw-text</t>
        </is>
      </c>
      <c r="I384" s="16" t="inlineStr">
        <is>
          <t>Client allows configuring a raw-text body for GET; on send, RFC-discouraged combination is transmitted as-is. Verify httpbin/echo endpoint receives the body OR app warns about violation but still sends.</t>
        </is>
      </c>
      <c r="J384" s="16" t="inlineStr"/>
      <c r="K384" s="16" t="inlineStr">
        <is>
          <t>Not Run</t>
        </is>
      </c>
      <c r="L384" s="16" t="inlineStr">
        <is>
          <t>Medium</t>
        </is>
      </c>
      <c r="M384" s="16" t="inlineStr"/>
      <c r="N384" s="16" t="inlineStr"/>
      <c r="O384" s="16" t="inlineStr"/>
    </row>
    <row r="385" ht="72" customHeight="1">
      <c r="A385" s="16" t="inlineStr">
        <is>
          <t>TC-MM-0008</t>
        </is>
      </c>
      <c r="B385" s="16" t="inlineStr">
        <is>
          <t>Method x Body Matrix</t>
        </is>
      </c>
      <c r="C385" s="16" t="inlineStr">
        <is>
          <t>GET x binary</t>
        </is>
      </c>
      <c r="D385" s="16" t="inlineStr">
        <is>
          <t>Edge Case</t>
        </is>
      </c>
      <c r="E385" s="16" t="inlineStr">
        <is>
          <t>GET with body type 'binary'</t>
        </is>
      </c>
      <c r="F385" s="16" t="inlineStr">
        <is>
          <t>Editor open.</t>
        </is>
      </c>
      <c r="G385" s="16" t="inlineStr">
        <is>
          <t>1. New request; method GET.
2. Body type binary; provide minimal valid content.
3. Send to https://httpbin.org/anything (or equivalent echo).</t>
        </is>
      </c>
      <c r="H385" s="16" t="inlineStr">
        <is>
          <t>method=GET; body=binary</t>
        </is>
      </c>
      <c r="I385" s="16" t="inlineStr">
        <is>
          <t>Client allows configuring a binary body for GET; on send, RFC-discouraged combination is transmitted as-is. Verify httpbin/echo endpoint receives the body OR app warns about violation but still sends.</t>
        </is>
      </c>
      <c r="J385" s="16" t="inlineStr"/>
      <c r="K385" s="16" t="inlineStr">
        <is>
          <t>Not Run</t>
        </is>
      </c>
      <c r="L385" s="16" t="inlineStr">
        <is>
          <t>Medium</t>
        </is>
      </c>
      <c r="M385" s="16" t="inlineStr"/>
      <c r="N385" s="16" t="inlineStr"/>
      <c r="O385" s="16" t="inlineStr"/>
    </row>
    <row r="386" ht="72" customHeight="1">
      <c r="A386" s="16" t="inlineStr">
        <is>
          <t>TC-MM-0009</t>
        </is>
      </c>
      <c r="B386" s="16" t="inlineStr">
        <is>
          <t>Method x Body Matrix</t>
        </is>
      </c>
      <c r="C386" s="16" t="inlineStr">
        <is>
          <t>GET x graphql</t>
        </is>
      </c>
      <c r="D386" s="16" t="inlineStr">
        <is>
          <t>Edge Case</t>
        </is>
      </c>
      <c r="E386" s="16" t="inlineStr">
        <is>
          <t>GET with body type 'graphql'</t>
        </is>
      </c>
      <c r="F386" s="16" t="inlineStr">
        <is>
          <t>Editor open.</t>
        </is>
      </c>
      <c r="G386" s="16" t="inlineStr">
        <is>
          <t>1. New request; method GET.
2. Body type graphql; provide minimal valid content.
3. Send to https://httpbin.org/anything (or equivalent echo).</t>
        </is>
      </c>
      <c r="H386" s="16" t="inlineStr">
        <is>
          <t>method=GET; body=graphql</t>
        </is>
      </c>
      <c r="I386" s="16" t="inlineStr">
        <is>
          <t>Client allows configuring a graphql body for GET; on send, RFC-discouraged combination is transmitted as-is. Verify httpbin/echo endpoint receives the body OR app warns about violation but still sends.</t>
        </is>
      </c>
      <c r="J386" s="16" t="inlineStr"/>
      <c r="K386" s="16" t="inlineStr">
        <is>
          <t>Not Run</t>
        </is>
      </c>
      <c r="L386" s="16" t="inlineStr">
        <is>
          <t>Medium</t>
        </is>
      </c>
      <c r="M386" s="16" t="inlineStr"/>
      <c r="N386" s="16" t="inlineStr"/>
      <c r="O386" s="16" t="inlineStr"/>
    </row>
    <row r="387" ht="72" customHeight="1">
      <c r="A387" s="16" t="inlineStr">
        <is>
          <t>TC-MM-0010</t>
        </is>
      </c>
      <c r="B387" s="16" t="inlineStr">
        <is>
          <t>Method x Body Matrix</t>
        </is>
      </c>
      <c r="C387" s="16" t="inlineStr">
        <is>
          <t>POST x none</t>
        </is>
      </c>
      <c r="D387" s="16" t="inlineStr">
        <is>
          <t>Functional</t>
        </is>
      </c>
      <c r="E387" s="16" t="inlineStr">
        <is>
          <t>POST with body type 'none'</t>
        </is>
      </c>
      <c r="F387" s="16" t="inlineStr">
        <is>
          <t>Editor open.</t>
        </is>
      </c>
      <c r="G387" s="16" t="inlineStr">
        <is>
          <t>1. New request; method POST.
2. Body type none; provide minimal valid content.
3. Send to https://httpbin.org/anything (or equivalent echo).</t>
        </is>
      </c>
      <c r="H387" s="16" t="inlineStr">
        <is>
          <t>method=POST; body=none</t>
        </is>
      </c>
      <c r="I387" s="16" t="inlineStr">
        <is>
          <t>Request sent with no body; Content-Type not set; server may return 411 Length-Required or 200 depending on endpoint.</t>
        </is>
      </c>
      <c r="J387" s="16" t="inlineStr"/>
      <c r="K387" s="16" t="inlineStr">
        <is>
          <t>Not Run</t>
        </is>
      </c>
      <c r="L387" s="16" t="inlineStr">
        <is>
          <t>Medium</t>
        </is>
      </c>
      <c r="M387" s="16" t="inlineStr"/>
      <c r="N387" s="16" t="inlineStr"/>
      <c r="O387" s="16" t="inlineStr"/>
    </row>
    <row r="388" ht="72" customHeight="1">
      <c r="A388" s="16" t="inlineStr">
        <is>
          <t>TC-MM-0011</t>
        </is>
      </c>
      <c r="B388" s="16" t="inlineStr">
        <is>
          <t>Method x Body Matrix</t>
        </is>
      </c>
      <c r="C388" s="16" t="inlineStr">
        <is>
          <t>POST x form-data</t>
        </is>
      </c>
      <c r="D388" s="16" t="inlineStr">
        <is>
          <t>Functional</t>
        </is>
      </c>
      <c r="E388" s="16" t="inlineStr">
        <is>
          <t>POST with body type 'form-data'</t>
        </is>
      </c>
      <c r="F388" s="16" t="inlineStr">
        <is>
          <t>Editor open.</t>
        </is>
      </c>
      <c r="G388" s="16" t="inlineStr">
        <is>
          <t>1. New request; method POST.
2. Body type form-data; provide minimal valid content.
3. Send to https://httpbin.org/anything (or equivalent echo).</t>
        </is>
      </c>
      <c r="H388" s="16" t="inlineStr">
        <is>
          <t>method=POST; body=form-data</t>
        </is>
      </c>
      <c r="I388" s="16" t="inlineStr">
        <is>
          <t>POST sent as multipart/form-data; boundary set; server echo confirms parsed fields/files.</t>
        </is>
      </c>
      <c r="J388" s="16" t="inlineStr"/>
      <c r="K388" s="16" t="inlineStr">
        <is>
          <t>Not Run</t>
        </is>
      </c>
      <c r="L388" s="16" t="inlineStr">
        <is>
          <t>High</t>
        </is>
      </c>
      <c r="M388" s="16" t="inlineStr"/>
      <c r="N388" s="16" t="inlineStr"/>
      <c r="O388" s="16" t="inlineStr"/>
    </row>
    <row r="389" ht="72" customHeight="1">
      <c r="A389" s="16" t="inlineStr">
        <is>
          <t>TC-MM-0012</t>
        </is>
      </c>
      <c r="B389" s="16" t="inlineStr">
        <is>
          <t>Method x Body Matrix</t>
        </is>
      </c>
      <c r="C389" s="16" t="inlineStr">
        <is>
          <t>POST x x-www-form-urlencoded</t>
        </is>
      </c>
      <c r="D389" s="16" t="inlineStr">
        <is>
          <t>Functional</t>
        </is>
      </c>
      <c r="E389" s="16" t="inlineStr">
        <is>
          <t>POST with body type 'x-www-form-urlencoded'</t>
        </is>
      </c>
      <c r="F389" s="16" t="inlineStr">
        <is>
          <t>Editor open.</t>
        </is>
      </c>
      <c r="G389" s="16" t="inlineStr">
        <is>
          <t>1. New request; method POST.
2. Body type x-www-form-urlencoded; provide minimal valid content.
3. Send to https://httpbin.org/anything (or equivalent echo).</t>
        </is>
      </c>
      <c r="H389" s="16" t="inlineStr">
        <is>
          <t>method=POST; body=x-www-form-urlencoded</t>
        </is>
      </c>
      <c r="I389" s="16" t="inlineStr">
        <is>
          <t>POST sent with application/x-www-form-urlencoded body; server parses fields.</t>
        </is>
      </c>
      <c r="J389" s="16" t="inlineStr"/>
      <c r="K389" s="16" t="inlineStr">
        <is>
          <t>Not Run</t>
        </is>
      </c>
      <c r="L389" s="16" t="inlineStr">
        <is>
          <t>High</t>
        </is>
      </c>
      <c r="M389" s="16" t="inlineStr"/>
      <c r="N389" s="16" t="inlineStr"/>
      <c r="O389" s="16" t="inlineStr"/>
    </row>
    <row r="390" ht="72" customHeight="1">
      <c r="A390" s="16" t="inlineStr">
        <is>
          <t>TC-MM-0013</t>
        </is>
      </c>
      <c r="B390" s="16" t="inlineStr">
        <is>
          <t>Method x Body Matrix</t>
        </is>
      </c>
      <c r="C390" s="16" t="inlineStr">
        <is>
          <t>POST x raw-json</t>
        </is>
      </c>
      <c r="D390" s="16" t="inlineStr">
        <is>
          <t>Functional</t>
        </is>
      </c>
      <c r="E390" s="16" t="inlineStr">
        <is>
          <t>POST with body type 'raw-json'</t>
        </is>
      </c>
      <c r="F390" s="16" t="inlineStr">
        <is>
          <t>Editor open.</t>
        </is>
      </c>
      <c r="G390" s="16" t="inlineStr">
        <is>
          <t>1. New request; method POST.
2. Body type raw-json; provide minimal valid content.
3. Send to https://httpbin.org/anything (or equivalent echo).</t>
        </is>
      </c>
      <c r="H390" s="16" t="inlineStr">
        <is>
          <t>method=POST; body=raw-json</t>
        </is>
      </c>
      <c r="I390" s="16" t="inlineStr">
        <is>
          <t>POST sent with application/json body; server parses JSON.</t>
        </is>
      </c>
      <c r="J390" s="16" t="inlineStr"/>
      <c r="K390" s="16" t="inlineStr">
        <is>
          <t>Not Run</t>
        </is>
      </c>
      <c r="L390" s="16" t="inlineStr">
        <is>
          <t>High</t>
        </is>
      </c>
      <c r="M390" s="16" t="inlineStr"/>
      <c r="N390" s="16" t="inlineStr"/>
      <c r="O390" s="16" t="inlineStr"/>
    </row>
    <row r="391" ht="72" customHeight="1">
      <c r="A391" s="16" t="inlineStr">
        <is>
          <t>TC-MM-0014</t>
        </is>
      </c>
      <c r="B391" s="16" t="inlineStr">
        <is>
          <t>Method x Body Matrix</t>
        </is>
      </c>
      <c r="C391" s="16" t="inlineStr">
        <is>
          <t>POST x raw-xml</t>
        </is>
      </c>
      <c r="D391" s="16" t="inlineStr">
        <is>
          <t>Functional</t>
        </is>
      </c>
      <c r="E391" s="16" t="inlineStr">
        <is>
          <t>POST with body type 'raw-xml'</t>
        </is>
      </c>
      <c r="F391" s="16" t="inlineStr">
        <is>
          <t>Editor open.</t>
        </is>
      </c>
      <c r="G391" s="16" t="inlineStr">
        <is>
          <t>1. New request; method POST.
2. Body type raw-xml; provide minimal valid content.
3. Send to https://httpbin.org/anything (or equivalent echo).</t>
        </is>
      </c>
      <c r="H391" s="16" t="inlineStr">
        <is>
          <t>method=POST; body=raw-xml</t>
        </is>
      </c>
      <c r="I391" s="16" t="inlineStr">
        <is>
          <t>POST sent with application/xml body; server receives XML verbatim.</t>
        </is>
      </c>
      <c r="J391" s="16" t="inlineStr"/>
      <c r="K391" s="16" t="inlineStr">
        <is>
          <t>Not Run</t>
        </is>
      </c>
      <c r="L391" s="16" t="inlineStr">
        <is>
          <t>Medium</t>
        </is>
      </c>
      <c r="M391" s="16" t="inlineStr"/>
      <c r="N391" s="16" t="inlineStr"/>
      <c r="O391" s="16" t="inlineStr"/>
    </row>
    <row r="392" ht="72" customHeight="1">
      <c r="A392" s="16" t="inlineStr">
        <is>
          <t>TC-MM-0015</t>
        </is>
      </c>
      <c r="B392" s="16" t="inlineStr">
        <is>
          <t>Method x Body Matrix</t>
        </is>
      </c>
      <c r="C392" s="16" t="inlineStr">
        <is>
          <t>POST x raw-html</t>
        </is>
      </c>
      <c r="D392" s="16" t="inlineStr">
        <is>
          <t>Functional</t>
        </is>
      </c>
      <c r="E392" s="16" t="inlineStr">
        <is>
          <t>POST with body type 'raw-html'</t>
        </is>
      </c>
      <c r="F392" s="16" t="inlineStr">
        <is>
          <t>Editor open.</t>
        </is>
      </c>
      <c r="G392" s="16" t="inlineStr">
        <is>
          <t>1. New request; method POST.
2. Body type raw-html; provide minimal valid content.
3. Send to https://httpbin.org/anything (or equivalent echo).</t>
        </is>
      </c>
      <c r="H392" s="16" t="inlineStr">
        <is>
          <t>method=POST; body=raw-html</t>
        </is>
      </c>
      <c r="I392" s="16" t="inlineStr">
        <is>
          <t>POST sent with text/html body; server receives HTML.</t>
        </is>
      </c>
      <c r="J392" s="16" t="inlineStr"/>
      <c r="K392" s="16" t="inlineStr">
        <is>
          <t>Not Run</t>
        </is>
      </c>
      <c r="L392" s="16" t="inlineStr">
        <is>
          <t>Low</t>
        </is>
      </c>
      <c r="M392" s="16" t="inlineStr"/>
      <c r="N392" s="16" t="inlineStr"/>
      <c r="O392" s="16" t="inlineStr"/>
    </row>
    <row r="393" ht="72" customHeight="1">
      <c r="A393" s="16" t="inlineStr">
        <is>
          <t>TC-MM-0016</t>
        </is>
      </c>
      <c r="B393" s="16" t="inlineStr">
        <is>
          <t>Method x Body Matrix</t>
        </is>
      </c>
      <c r="C393" s="16" t="inlineStr">
        <is>
          <t>POST x raw-text</t>
        </is>
      </c>
      <c r="D393" s="16" t="inlineStr">
        <is>
          <t>Functional</t>
        </is>
      </c>
      <c r="E393" s="16" t="inlineStr">
        <is>
          <t>POST with body type 'raw-text'</t>
        </is>
      </c>
      <c r="F393" s="16" t="inlineStr">
        <is>
          <t>Editor open.</t>
        </is>
      </c>
      <c r="G393" s="16" t="inlineStr">
        <is>
          <t>1. New request; method POST.
2. Body type raw-text; provide minimal valid content.
3. Send to https://httpbin.org/anything (or equivalent echo).</t>
        </is>
      </c>
      <c r="H393" s="16" t="inlineStr">
        <is>
          <t>method=POST; body=raw-text</t>
        </is>
      </c>
      <c r="I393" s="16" t="inlineStr">
        <is>
          <t>POST sent with text/plain body.</t>
        </is>
      </c>
      <c r="J393" s="16" t="inlineStr"/>
      <c r="K393" s="16" t="inlineStr">
        <is>
          <t>Not Run</t>
        </is>
      </c>
      <c r="L393" s="16" t="inlineStr">
        <is>
          <t>Low</t>
        </is>
      </c>
      <c r="M393" s="16" t="inlineStr"/>
      <c r="N393" s="16" t="inlineStr"/>
      <c r="O393" s="16" t="inlineStr"/>
    </row>
    <row r="394" ht="72" customHeight="1">
      <c r="A394" s="16" t="inlineStr">
        <is>
          <t>TC-MM-0017</t>
        </is>
      </c>
      <c r="B394" s="16" t="inlineStr">
        <is>
          <t>Method x Body Matrix</t>
        </is>
      </c>
      <c r="C394" s="16" t="inlineStr">
        <is>
          <t>POST x binary</t>
        </is>
      </c>
      <c r="D394" s="16" t="inlineStr">
        <is>
          <t>Functional</t>
        </is>
      </c>
      <c r="E394" s="16" t="inlineStr">
        <is>
          <t>POST with body type 'binary'</t>
        </is>
      </c>
      <c r="F394" s="16" t="inlineStr">
        <is>
          <t>Editor open.</t>
        </is>
      </c>
      <c r="G394" s="16" t="inlineStr">
        <is>
          <t>1. New request; method POST.
2. Body type binary; provide minimal valid content.
3. Send to https://httpbin.org/anything (or equivalent echo).</t>
        </is>
      </c>
      <c r="H394" s="16" t="inlineStr">
        <is>
          <t>method=POST; body=binary</t>
        </is>
      </c>
      <c r="I394" s="16" t="inlineStr">
        <is>
          <t>POST sent with binary body and inferred Content-Type from picked file.</t>
        </is>
      </c>
      <c r="J394" s="16" t="inlineStr"/>
      <c r="K394" s="16" t="inlineStr">
        <is>
          <t>Not Run</t>
        </is>
      </c>
      <c r="L394" s="16" t="inlineStr">
        <is>
          <t>Medium</t>
        </is>
      </c>
      <c r="M394" s="16" t="inlineStr"/>
      <c r="N394" s="16" t="inlineStr"/>
      <c r="O394" s="16" t="inlineStr"/>
    </row>
    <row r="395" ht="72" customHeight="1">
      <c r="A395" s="16" t="inlineStr">
        <is>
          <t>TC-MM-0018</t>
        </is>
      </c>
      <c r="B395" s="16" t="inlineStr">
        <is>
          <t>Method x Body Matrix</t>
        </is>
      </c>
      <c r="C395" s="16" t="inlineStr">
        <is>
          <t>POST x graphql</t>
        </is>
      </c>
      <c r="D395" s="16" t="inlineStr">
        <is>
          <t>Functional</t>
        </is>
      </c>
      <c r="E395" s="16" t="inlineStr">
        <is>
          <t>POST with body type 'graphql'</t>
        </is>
      </c>
      <c r="F395" s="16" t="inlineStr">
        <is>
          <t>Editor open.</t>
        </is>
      </c>
      <c r="G395" s="16" t="inlineStr">
        <is>
          <t>1. New request; method POST.
2. Body type graphql; provide minimal valid content.
3. Send to https://httpbin.org/anything (or equivalent echo).</t>
        </is>
      </c>
      <c r="H395" s="16" t="inlineStr">
        <is>
          <t>method=POST; body=graphql</t>
        </is>
      </c>
      <c r="I395" s="16" t="inlineStr">
        <is>
          <t>POST sent with application/json body wrapping {query, variables}; server returns GraphQL response.</t>
        </is>
      </c>
      <c r="J395" s="16" t="inlineStr"/>
      <c r="K395" s="16" t="inlineStr">
        <is>
          <t>Not Run</t>
        </is>
      </c>
      <c r="L395" s="16" t="inlineStr">
        <is>
          <t>High</t>
        </is>
      </c>
      <c r="M395" s="16" t="inlineStr"/>
      <c r="N395" s="16" t="inlineStr"/>
      <c r="O395" s="16" t="inlineStr"/>
    </row>
    <row r="396" ht="72" customHeight="1">
      <c r="A396" s="16" t="inlineStr">
        <is>
          <t>TC-MM-0019</t>
        </is>
      </c>
      <c r="B396" s="16" t="inlineStr">
        <is>
          <t>Method x Body Matrix</t>
        </is>
      </c>
      <c r="C396" s="16" t="inlineStr">
        <is>
          <t>PUT x none</t>
        </is>
      </c>
      <c r="D396" s="16" t="inlineStr">
        <is>
          <t>Functional</t>
        </is>
      </c>
      <c r="E396" s="16" t="inlineStr">
        <is>
          <t>PUT with body type 'none'</t>
        </is>
      </c>
      <c r="F396" s="16" t="inlineStr">
        <is>
          <t>Editor open.</t>
        </is>
      </c>
      <c r="G396" s="16" t="inlineStr">
        <is>
          <t>1. New request; method PUT.
2. Body type none; provide minimal valid content.
3. Send to https://httpbin.org/anything (or equivalent echo).</t>
        </is>
      </c>
      <c r="H396" s="16" t="inlineStr">
        <is>
          <t>method=PUT; body=none</t>
        </is>
      </c>
      <c r="I396" s="16" t="inlineStr">
        <is>
          <t>Request sent with no body; Content-Type not set; server may return 411 Length-Required or 200 depending on endpoint.</t>
        </is>
      </c>
      <c r="J396" s="16" t="inlineStr"/>
      <c r="K396" s="16" t="inlineStr">
        <is>
          <t>Not Run</t>
        </is>
      </c>
      <c r="L396" s="16" t="inlineStr">
        <is>
          <t>Medium</t>
        </is>
      </c>
      <c r="M396" s="16" t="inlineStr"/>
      <c r="N396" s="16" t="inlineStr"/>
      <c r="O396" s="16" t="inlineStr"/>
    </row>
    <row r="397" ht="72" customHeight="1">
      <c r="A397" s="16" t="inlineStr">
        <is>
          <t>TC-MM-0020</t>
        </is>
      </c>
      <c r="B397" s="16" t="inlineStr">
        <is>
          <t>Method x Body Matrix</t>
        </is>
      </c>
      <c r="C397" s="16" t="inlineStr">
        <is>
          <t>PUT x form-data</t>
        </is>
      </c>
      <c r="D397" s="16" t="inlineStr">
        <is>
          <t>Functional</t>
        </is>
      </c>
      <c r="E397" s="16" t="inlineStr">
        <is>
          <t>PUT with body type 'form-data'</t>
        </is>
      </c>
      <c r="F397" s="16" t="inlineStr">
        <is>
          <t>Editor open.</t>
        </is>
      </c>
      <c r="G397" s="16" t="inlineStr">
        <is>
          <t>1. New request; method PUT.
2. Body type form-data; provide minimal valid content.
3. Send to https://httpbin.org/anything (or equivalent echo).</t>
        </is>
      </c>
      <c r="H397" s="16" t="inlineStr">
        <is>
          <t>method=PUT; body=form-data</t>
        </is>
      </c>
      <c r="I397" s="16" t="inlineStr">
        <is>
          <t>PUT sent as multipart/form-data; boundary set; server echo confirms parsed fields/files.</t>
        </is>
      </c>
      <c r="J397" s="16" t="inlineStr"/>
      <c r="K397" s="16" t="inlineStr">
        <is>
          <t>Not Run</t>
        </is>
      </c>
      <c r="L397" s="16" t="inlineStr">
        <is>
          <t>High</t>
        </is>
      </c>
      <c r="M397" s="16" t="inlineStr"/>
      <c r="N397" s="16" t="inlineStr"/>
      <c r="O397" s="16" t="inlineStr"/>
    </row>
    <row r="398" ht="72" customHeight="1">
      <c r="A398" s="16" t="inlineStr">
        <is>
          <t>TC-MM-0021</t>
        </is>
      </c>
      <c r="B398" s="16" t="inlineStr">
        <is>
          <t>Method x Body Matrix</t>
        </is>
      </c>
      <c r="C398" s="16" t="inlineStr">
        <is>
          <t>PUT x x-www-form-urlencoded</t>
        </is>
      </c>
      <c r="D398" s="16" t="inlineStr">
        <is>
          <t>Functional</t>
        </is>
      </c>
      <c r="E398" s="16" t="inlineStr">
        <is>
          <t>PUT with body type 'x-www-form-urlencoded'</t>
        </is>
      </c>
      <c r="F398" s="16" t="inlineStr">
        <is>
          <t>Editor open.</t>
        </is>
      </c>
      <c r="G398" s="16" t="inlineStr">
        <is>
          <t>1. New request; method PUT.
2. Body type x-www-form-urlencoded; provide minimal valid content.
3. Send to https://httpbin.org/anything (or equivalent echo).</t>
        </is>
      </c>
      <c r="H398" s="16" t="inlineStr">
        <is>
          <t>method=PUT; body=x-www-form-urlencoded</t>
        </is>
      </c>
      <c r="I398" s="16" t="inlineStr">
        <is>
          <t>PUT sent with application/x-www-form-urlencoded body; server parses fields.</t>
        </is>
      </c>
      <c r="J398" s="16" t="inlineStr"/>
      <c r="K398" s="16" t="inlineStr">
        <is>
          <t>Not Run</t>
        </is>
      </c>
      <c r="L398" s="16" t="inlineStr">
        <is>
          <t>High</t>
        </is>
      </c>
      <c r="M398" s="16" t="inlineStr"/>
      <c r="N398" s="16" t="inlineStr"/>
      <c r="O398" s="16" t="inlineStr"/>
    </row>
    <row r="399" ht="72" customHeight="1">
      <c r="A399" s="16" t="inlineStr">
        <is>
          <t>TC-MM-0022</t>
        </is>
      </c>
      <c r="B399" s="16" t="inlineStr">
        <is>
          <t>Method x Body Matrix</t>
        </is>
      </c>
      <c r="C399" s="16" t="inlineStr">
        <is>
          <t>PUT x raw-json</t>
        </is>
      </c>
      <c r="D399" s="16" t="inlineStr">
        <is>
          <t>Functional</t>
        </is>
      </c>
      <c r="E399" s="16" t="inlineStr">
        <is>
          <t>PUT with body type 'raw-json'</t>
        </is>
      </c>
      <c r="F399" s="16" t="inlineStr">
        <is>
          <t>Editor open.</t>
        </is>
      </c>
      <c r="G399" s="16" t="inlineStr">
        <is>
          <t>1. New request; method PUT.
2. Body type raw-json; provide minimal valid content.
3. Send to https://httpbin.org/anything (or equivalent echo).</t>
        </is>
      </c>
      <c r="H399" s="16" t="inlineStr">
        <is>
          <t>method=PUT; body=raw-json</t>
        </is>
      </c>
      <c r="I399" s="16" t="inlineStr">
        <is>
          <t>PUT sent with application/json body; server parses JSON.</t>
        </is>
      </c>
      <c r="J399" s="16" t="inlineStr"/>
      <c r="K399" s="16" t="inlineStr">
        <is>
          <t>Not Run</t>
        </is>
      </c>
      <c r="L399" s="16" t="inlineStr">
        <is>
          <t>High</t>
        </is>
      </c>
      <c r="M399" s="16" t="inlineStr"/>
      <c r="N399" s="16" t="inlineStr"/>
      <c r="O399" s="16" t="inlineStr"/>
    </row>
    <row r="400" ht="72" customHeight="1">
      <c r="A400" s="16" t="inlineStr">
        <is>
          <t>TC-MM-0023</t>
        </is>
      </c>
      <c r="B400" s="16" t="inlineStr">
        <is>
          <t>Method x Body Matrix</t>
        </is>
      </c>
      <c r="C400" s="16" t="inlineStr">
        <is>
          <t>PUT x raw-xml</t>
        </is>
      </c>
      <c r="D400" s="16" t="inlineStr">
        <is>
          <t>Functional</t>
        </is>
      </c>
      <c r="E400" s="16" t="inlineStr">
        <is>
          <t>PUT with body type 'raw-xml'</t>
        </is>
      </c>
      <c r="F400" s="16" t="inlineStr">
        <is>
          <t>Editor open.</t>
        </is>
      </c>
      <c r="G400" s="16" t="inlineStr">
        <is>
          <t>1. New request; method PUT.
2. Body type raw-xml; provide minimal valid content.
3. Send to https://httpbin.org/anything (or equivalent echo).</t>
        </is>
      </c>
      <c r="H400" s="16" t="inlineStr">
        <is>
          <t>method=PUT; body=raw-xml</t>
        </is>
      </c>
      <c r="I400" s="16" t="inlineStr">
        <is>
          <t>PUT sent with application/xml body; server receives XML verbatim.</t>
        </is>
      </c>
      <c r="J400" s="16" t="inlineStr"/>
      <c r="K400" s="16" t="inlineStr">
        <is>
          <t>Not Run</t>
        </is>
      </c>
      <c r="L400" s="16" t="inlineStr">
        <is>
          <t>Medium</t>
        </is>
      </c>
      <c r="M400" s="16" t="inlineStr"/>
      <c r="N400" s="16" t="inlineStr"/>
      <c r="O400" s="16" t="inlineStr"/>
    </row>
    <row r="401" ht="72" customHeight="1">
      <c r="A401" s="16" t="inlineStr">
        <is>
          <t>TC-MM-0024</t>
        </is>
      </c>
      <c r="B401" s="16" t="inlineStr">
        <is>
          <t>Method x Body Matrix</t>
        </is>
      </c>
      <c r="C401" s="16" t="inlineStr">
        <is>
          <t>PUT x raw-html</t>
        </is>
      </c>
      <c r="D401" s="16" t="inlineStr">
        <is>
          <t>Functional</t>
        </is>
      </c>
      <c r="E401" s="16" t="inlineStr">
        <is>
          <t>PUT with body type 'raw-html'</t>
        </is>
      </c>
      <c r="F401" s="16" t="inlineStr">
        <is>
          <t>Editor open.</t>
        </is>
      </c>
      <c r="G401" s="16" t="inlineStr">
        <is>
          <t>1. New request; method PUT.
2. Body type raw-html; provide minimal valid content.
3. Send to https://httpbin.org/anything (or equivalent echo).</t>
        </is>
      </c>
      <c r="H401" s="16" t="inlineStr">
        <is>
          <t>method=PUT; body=raw-html</t>
        </is>
      </c>
      <c r="I401" s="16" t="inlineStr">
        <is>
          <t>PUT sent with text/html body; server receives HTML.</t>
        </is>
      </c>
      <c r="J401" s="16" t="inlineStr"/>
      <c r="K401" s="16" t="inlineStr">
        <is>
          <t>Not Run</t>
        </is>
      </c>
      <c r="L401" s="16" t="inlineStr">
        <is>
          <t>Low</t>
        </is>
      </c>
      <c r="M401" s="16" t="inlineStr"/>
      <c r="N401" s="16" t="inlineStr"/>
      <c r="O401" s="16" t="inlineStr"/>
    </row>
    <row r="402" ht="72" customHeight="1">
      <c r="A402" s="16" t="inlineStr">
        <is>
          <t>TC-MM-0025</t>
        </is>
      </c>
      <c r="B402" s="16" t="inlineStr">
        <is>
          <t>Method x Body Matrix</t>
        </is>
      </c>
      <c r="C402" s="16" t="inlineStr">
        <is>
          <t>PUT x raw-text</t>
        </is>
      </c>
      <c r="D402" s="16" t="inlineStr">
        <is>
          <t>Functional</t>
        </is>
      </c>
      <c r="E402" s="16" t="inlineStr">
        <is>
          <t>PUT with body type 'raw-text'</t>
        </is>
      </c>
      <c r="F402" s="16" t="inlineStr">
        <is>
          <t>Editor open.</t>
        </is>
      </c>
      <c r="G402" s="16" t="inlineStr">
        <is>
          <t>1. New request; method PUT.
2. Body type raw-text; provide minimal valid content.
3. Send to https://httpbin.org/anything (or equivalent echo).</t>
        </is>
      </c>
      <c r="H402" s="16" t="inlineStr">
        <is>
          <t>method=PUT; body=raw-text</t>
        </is>
      </c>
      <c r="I402" s="16" t="inlineStr">
        <is>
          <t>PUT sent with text/plain body.</t>
        </is>
      </c>
      <c r="J402" s="16" t="inlineStr"/>
      <c r="K402" s="16" t="inlineStr">
        <is>
          <t>Not Run</t>
        </is>
      </c>
      <c r="L402" s="16" t="inlineStr">
        <is>
          <t>Low</t>
        </is>
      </c>
      <c r="M402" s="16" t="inlineStr"/>
      <c r="N402" s="16" t="inlineStr"/>
      <c r="O402" s="16" t="inlineStr"/>
    </row>
    <row r="403" ht="72" customHeight="1">
      <c r="A403" s="16" t="inlineStr">
        <is>
          <t>TC-MM-0026</t>
        </is>
      </c>
      <c r="B403" s="16" t="inlineStr">
        <is>
          <t>Method x Body Matrix</t>
        </is>
      </c>
      <c r="C403" s="16" t="inlineStr">
        <is>
          <t>PUT x binary</t>
        </is>
      </c>
      <c r="D403" s="16" t="inlineStr">
        <is>
          <t>Functional</t>
        </is>
      </c>
      <c r="E403" s="16" t="inlineStr">
        <is>
          <t>PUT with body type 'binary'</t>
        </is>
      </c>
      <c r="F403" s="16" t="inlineStr">
        <is>
          <t>Editor open.</t>
        </is>
      </c>
      <c r="G403" s="16" t="inlineStr">
        <is>
          <t>1. New request; method PUT.
2. Body type binary; provide minimal valid content.
3. Send to https://httpbin.org/anything (or equivalent echo).</t>
        </is>
      </c>
      <c r="H403" s="16" t="inlineStr">
        <is>
          <t>method=PUT; body=binary</t>
        </is>
      </c>
      <c r="I403" s="16" t="inlineStr">
        <is>
          <t>PUT sent with binary body and inferred Content-Type from picked file.</t>
        </is>
      </c>
      <c r="J403" s="16" t="inlineStr"/>
      <c r="K403" s="16" t="inlineStr">
        <is>
          <t>Not Run</t>
        </is>
      </c>
      <c r="L403" s="16" t="inlineStr">
        <is>
          <t>Medium</t>
        </is>
      </c>
      <c r="M403" s="16" t="inlineStr"/>
      <c r="N403" s="16" t="inlineStr"/>
      <c r="O403" s="16" t="inlineStr"/>
    </row>
    <row r="404" ht="72" customHeight="1">
      <c r="A404" s="16" t="inlineStr">
        <is>
          <t>TC-MM-0027</t>
        </is>
      </c>
      <c r="B404" s="16" t="inlineStr">
        <is>
          <t>Method x Body Matrix</t>
        </is>
      </c>
      <c r="C404" s="16" t="inlineStr">
        <is>
          <t>PUT x graphql</t>
        </is>
      </c>
      <c r="D404" s="16" t="inlineStr">
        <is>
          <t>Edge Case</t>
        </is>
      </c>
      <c r="E404" s="16" t="inlineStr">
        <is>
          <t>PUT with body type 'graphql'</t>
        </is>
      </c>
      <c r="F404" s="16" t="inlineStr">
        <is>
          <t>Editor open.</t>
        </is>
      </c>
      <c r="G404" s="16" t="inlineStr">
        <is>
          <t>1. New request; method PUT.
2. Body type graphql; provide minimal valid content.
3. Send to https://httpbin.org/anything (or equivalent echo).</t>
        </is>
      </c>
      <c r="H404" s="16" t="inlineStr">
        <is>
          <t>method=PUT; body=graphql</t>
        </is>
      </c>
      <c r="I404" s="16" t="inlineStr">
        <is>
          <t>PUT with GraphQL body is unusual. Verify app either prevents this combination, warns, or sends as configured. No silent corruption.</t>
        </is>
      </c>
      <c r="J404" s="16" t="inlineStr"/>
      <c r="K404" s="16" t="inlineStr">
        <is>
          <t>Not Run</t>
        </is>
      </c>
      <c r="L404" s="16" t="inlineStr">
        <is>
          <t>Low</t>
        </is>
      </c>
      <c r="M404" s="16" t="inlineStr"/>
      <c r="N404" s="16" t="inlineStr"/>
      <c r="O404" s="16" t="inlineStr"/>
    </row>
    <row r="405" ht="72" customHeight="1">
      <c r="A405" s="16" t="inlineStr">
        <is>
          <t>TC-MM-0028</t>
        </is>
      </c>
      <c r="B405" s="16" t="inlineStr">
        <is>
          <t>Method x Body Matrix</t>
        </is>
      </c>
      <c r="C405" s="16" t="inlineStr">
        <is>
          <t>PATCH x none</t>
        </is>
      </c>
      <c r="D405" s="16" t="inlineStr">
        <is>
          <t>Functional</t>
        </is>
      </c>
      <c r="E405" s="16" t="inlineStr">
        <is>
          <t>PATCH with body type 'none'</t>
        </is>
      </c>
      <c r="F405" s="16" t="inlineStr">
        <is>
          <t>Editor open.</t>
        </is>
      </c>
      <c r="G405" s="16" t="inlineStr">
        <is>
          <t>1. New request; method PATCH.
2. Body type none; provide minimal valid content.
3. Send to https://httpbin.org/anything (or equivalent echo).</t>
        </is>
      </c>
      <c r="H405" s="16" t="inlineStr">
        <is>
          <t>method=PATCH; body=none</t>
        </is>
      </c>
      <c r="I405" s="16" t="inlineStr">
        <is>
          <t>Request sent with no body; Content-Type not set; server may return 411 Length-Required or 200 depending on endpoint.</t>
        </is>
      </c>
      <c r="J405" s="16" t="inlineStr"/>
      <c r="K405" s="16" t="inlineStr">
        <is>
          <t>Not Run</t>
        </is>
      </c>
      <c r="L405" s="16" t="inlineStr">
        <is>
          <t>Medium</t>
        </is>
      </c>
      <c r="M405" s="16" t="inlineStr"/>
      <c r="N405" s="16" t="inlineStr"/>
      <c r="O405" s="16" t="inlineStr"/>
    </row>
    <row r="406" ht="72" customHeight="1">
      <c r="A406" s="16" t="inlineStr">
        <is>
          <t>TC-MM-0029</t>
        </is>
      </c>
      <c r="B406" s="16" t="inlineStr">
        <is>
          <t>Method x Body Matrix</t>
        </is>
      </c>
      <c r="C406" s="16" t="inlineStr">
        <is>
          <t>PATCH x form-data</t>
        </is>
      </c>
      <c r="D406" s="16" t="inlineStr">
        <is>
          <t>Functional</t>
        </is>
      </c>
      <c r="E406" s="16" t="inlineStr">
        <is>
          <t>PATCH with body type 'form-data'</t>
        </is>
      </c>
      <c r="F406" s="16" t="inlineStr">
        <is>
          <t>Editor open.</t>
        </is>
      </c>
      <c r="G406" s="16" t="inlineStr">
        <is>
          <t>1. New request; method PATCH.
2. Body type form-data; provide minimal valid content.
3. Send to https://httpbin.org/anything (or equivalent echo).</t>
        </is>
      </c>
      <c r="H406" s="16" t="inlineStr">
        <is>
          <t>method=PATCH; body=form-data</t>
        </is>
      </c>
      <c r="I406" s="16" t="inlineStr">
        <is>
          <t>PATCH sent as multipart/form-data; boundary set; server echo confirms parsed fields/files.</t>
        </is>
      </c>
      <c r="J406" s="16" t="inlineStr"/>
      <c r="K406" s="16" t="inlineStr">
        <is>
          <t>Not Run</t>
        </is>
      </c>
      <c r="L406" s="16" t="inlineStr">
        <is>
          <t>High</t>
        </is>
      </c>
      <c r="M406" s="16" t="inlineStr"/>
      <c r="N406" s="16" t="inlineStr"/>
      <c r="O406" s="16" t="inlineStr"/>
    </row>
    <row r="407" ht="72" customHeight="1">
      <c r="A407" s="16" t="inlineStr">
        <is>
          <t>TC-MM-0030</t>
        </is>
      </c>
      <c r="B407" s="16" t="inlineStr">
        <is>
          <t>Method x Body Matrix</t>
        </is>
      </c>
      <c r="C407" s="16" t="inlineStr">
        <is>
          <t>PATCH x x-www-form-urlencoded</t>
        </is>
      </c>
      <c r="D407" s="16" t="inlineStr">
        <is>
          <t>Functional</t>
        </is>
      </c>
      <c r="E407" s="16" t="inlineStr">
        <is>
          <t>PATCH with body type 'x-www-form-urlencoded'</t>
        </is>
      </c>
      <c r="F407" s="16" t="inlineStr">
        <is>
          <t>Editor open.</t>
        </is>
      </c>
      <c r="G407" s="16" t="inlineStr">
        <is>
          <t>1. New request; method PATCH.
2. Body type x-www-form-urlencoded; provide minimal valid content.
3. Send to https://httpbin.org/anything (or equivalent echo).</t>
        </is>
      </c>
      <c r="H407" s="16" t="inlineStr">
        <is>
          <t>method=PATCH; body=x-www-form-urlencoded</t>
        </is>
      </c>
      <c r="I407" s="16" t="inlineStr">
        <is>
          <t>PATCH sent with application/x-www-form-urlencoded body; server parses fields.</t>
        </is>
      </c>
      <c r="J407" s="16" t="inlineStr"/>
      <c r="K407" s="16" t="inlineStr">
        <is>
          <t>Not Run</t>
        </is>
      </c>
      <c r="L407" s="16" t="inlineStr">
        <is>
          <t>High</t>
        </is>
      </c>
      <c r="M407" s="16" t="inlineStr"/>
      <c r="N407" s="16" t="inlineStr"/>
      <c r="O407" s="16" t="inlineStr"/>
    </row>
    <row r="408" ht="72" customHeight="1">
      <c r="A408" s="16" t="inlineStr">
        <is>
          <t>TC-MM-0031</t>
        </is>
      </c>
      <c r="B408" s="16" t="inlineStr">
        <is>
          <t>Method x Body Matrix</t>
        </is>
      </c>
      <c r="C408" s="16" t="inlineStr">
        <is>
          <t>PATCH x raw-json</t>
        </is>
      </c>
      <c r="D408" s="16" t="inlineStr">
        <is>
          <t>Functional</t>
        </is>
      </c>
      <c r="E408" s="16" t="inlineStr">
        <is>
          <t>PATCH with body type 'raw-json'</t>
        </is>
      </c>
      <c r="F408" s="16" t="inlineStr">
        <is>
          <t>Editor open.</t>
        </is>
      </c>
      <c r="G408" s="16" t="inlineStr">
        <is>
          <t>1. New request; method PATCH.
2. Body type raw-json; provide minimal valid content.
3. Send to https://httpbin.org/anything (or equivalent echo).</t>
        </is>
      </c>
      <c r="H408" s="16" t="inlineStr">
        <is>
          <t>method=PATCH; body=raw-json</t>
        </is>
      </c>
      <c r="I408" s="16" t="inlineStr">
        <is>
          <t>PATCH sent with application/json body; server parses JSON.</t>
        </is>
      </c>
      <c r="J408" s="16" t="inlineStr"/>
      <c r="K408" s="16" t="inlineStr">
        <is>
          <t>Not Run</t>
        </is>
      </c>
      <c r="L408" s="16" t="inlineStr">
        <is>
          <t>High</t>
        </is>
      </c>
      <c r="M408" s="16" t="inlineStr"/>
      <c r="N408" s="16" t="inlineStr"/>
      <c r="O408" s="16" t="inlineStr"/>
    </row>
    <row r="409" ht="72" customHeight="1">
      <c r="A409" s="16" t="inlineStr">
        <is>
          <t>TC-MM-0032</t>
        </is>
      </c>
      <c r="B409" s="16" t="inlineStr">
        <is>
          <t>Method x Body Matrix</t>
        </is>
      </c>
      <c r="C409" s="16" t="inlineStr">
        <is>
          <t>PATCH x raw-xml</t>
        </is>
      </c>
      <c r="D409" s="16" t="inlineStr">
        <is>
          <t>Functional</t>
        </is>
      </c>
      <c r="E409" s="16" t="inlineStr">
        <is>
          <t>PATCH with body type 'raw-xml'</t>
        </is>
      </c>
      <c r="F409" s="16" t="inlineStr">
        <is>
          <t>Editor open.</t>
        </is>
      </c>
      <c r="G409" s="16" t="inlineStr">
        <is>
          <t>1. New request; method PATCH.
2. Body type raw-xml; provide minimal valid content.
3. Send to https://httpbin.org/anything (or equivalent echo).</t>
        </is>
      </c>
      <c r="H409" s="16" t="inlineStr">
        <is>
          <t>method=PATCH; body=raw-xml</t>
        </is>
      </c>
      <c r="I409" s="16" t="inlineStr">
        <is>
          <t>PATCH sent with application/xml body; server receives XML verbatim.</t>
        </is>
      </c>
      <c r="J409" s="16" t="inlineStr"/>
      <c r="K409" s="16" t="inlineStr">
        <is>
          <t>Not Run</t>
        </is>
      </c>
      <c r="L409" s="16" t="inlineStr">
        <is>
          <t>Medium</t>
        </is>
      </c>
      <c r="M409" s="16" t="inlineStr"/>
      <c r="N409" s="16" t="inlineStr"/>
      <c r="O409" s="16" t="inlineStr"/>
    </row>
    <row r="410" ht="72" customHeight="1">
      <c r="A410" s="16" t="inlineStr">
        <is>
          <t>TC-MM-0033</t>
        </is>
      </c>
      <c r="B410" s="16" t="inlineStr">
        <is>
          <t>Method x Body Matrix</t>
        </is>
      </c>
      <c r="C410" s="16" t="inlineStr">
        <is>
          <t>PATCH x raw-html</t>
        </is>
      </c>
      <c r="D410" s="16" t="inlineStr">
        <is>
          <t>Functional</t>
        </is>
      </c>
      <c r="E410" s="16" t="inlineStr">
        <is>
          <t>PATCH with body type 'raw-html'</t>
        </is>
      </c>
      <c r="F410" s="16" t="inlineStr">
        <is>
          <t>Editor open.</t>
        </is>
      </c>
      <c r="G410" s="16" t="inlineStr">
        <is>
          <t>1. New request; method PATCH.
2. Body type raw-html; provide minimal valid content.
3. Send to https://httpbin.org/anything (or equivalent echo).</t>
        </is>
      </c>
      <c r="H410" s="16" t="inlineStr">
        <is>
          <t>method=PATCH; body=raw-html</t>
        </is>
      </c>
      <c r="I410" s="16" t="inlineStr">
        <is>
          <t>PATCH sent with text/html body; server receives HTML.</t>
        </is>
      </c>
      <c r="J410" s="16" t="inlineStr"/>
      <c r="K410" s="16" t="inlineStr">
        <is>
          <t>Not Run</t>
        </is>
      </c>
      <c r="L410" s="16" t="inlineStr">
        <is>
          <t>Low</t>
        </is>
      </c>
      <c r="M410" s="16" t="inlineStr"/>
      <c r="N410" s="16" t="inlineStr"/>
      <c r="O410" s="16" t="inlineStr"/>
    </row>
    <row r="411" ht="72" customHeight="1">
      <c r="A411" s="16" t="inlineStr">
        <is>
          <t>TC-MM-0034</t>
        </is>
      </c>
      <c r="B411" s="16" t="inlineStr">
        <is>
          <t>Method x Body Matrix</t>
        </is>
      </c>
      <c r="C411" s="16" t="inlineStr">
        <is>
          <t>PATCH x raw-text</t>
        </is>
      </c>
      <c r="D411" s="16" t="inlineStr">
        <is>
          <t>Functional</t>
        </is>
      </c>
      <c r="E411" s="16" t="inlineStr">
        <is>
          <t>PATCH with body type 'raw-text'</t>
        </is>
      </c>
      <c r="F411" s="16" t="inlineStr">
        <is>
          <t>Editor open.</t>
        </is>
      </c>
      <c r="G411" s="16" t="inlineStr">
        <is>
          <t>1. New request; method PATCH.
2. Body type raw-text; provide minimal valid content.
3. Send to https://httpbin.org/anything (or equivalent echo).</t>
        </is>
      </c>
      <c r="H411" s="16" t="inlineStr">
        <is>
          <t>method=PATCH; body=raw-text</t>
        </is>
      </c>
      <c r="I411" s="16" t="inlineStr">
        <is>
          <t>PATCH sent with text/plain body.</t>
        </is>
      </c>
      <c r="J411" s="16" t="inlineStr"/>
      <c r="K411" s="16" t="inlineStr">
        <is>
          <t>Not Run</t>
        </is>
      </c>
      <c r="L411" s="16" t="inlineStr">
        <is>
          <t>Low</t>
        </is>
      </c>
      <c r="M411" s="16" t="inlineStr"/>
      <c r="N411" s="16" t="inlineStr"/>
      <c r="O411" s="16" t="inlineStr"/>
    </row>
    <row r="412" ht="72" customHeight="1">
      <c r="A412" s="16" t="inlineStr">
        <is>
          <t>TC-MM-0035</t>
        </is>
      </c>
      <c r="B412" s="16" t="inlineStr">
        <is>
          <t>Method x Body Matrix</t>
        </is>
      </c>
      <c r="C412" s="16" t="inlineStr">
        <is>
          <t>PATCH x binary</t>
        </is>
      </c>
      <c r="D412" s="16" t="inlineStr">
        <is>
          <t>Functional</t>
        </is>
      </c>
      <c r="E412" s="16" t="inlineStr">
        <is>
          <t>PATCH with body type 'binary'</t>
        </is>
      </c>
      <c r="F412" s="16" t="inlineStr">
        <is>
          <t>Editor open.</t>
        </is>
      </c>
      <c r="G412" s="16" t="inlineStr">
        <is>
          <t>1. New request; method PATCH.
2. Body type binary; provide minimal valid content.
3. Send to https://httpbin.org/anything (or equivalent echo).</t>
        </is>
      </c>
      <c r="H412" s="16" t="inlineStr">
        <is>
          <t>method=PATCH; body=binary</t>
        </is>
      </c>
      <c r="I412" s="16" t="inlineStr">
        <is>
          <t>PATCH sent with binary body and inferred Content-Type from picked file.</t>
        </is>
      </c>
      <c r="J412" s="16" t="inlineStr"/>
      <c r="K412" s="16" t="inlineStr">
        <is>
          <t>Not Run</t>
        </is>
      </c>
      <c r="L412" s="16" t="inlineStr">
        <is>
          <t>Medium</t>
        </is>
      </c>
      <c r="M412" s="16" t="inlineStr"/>
      <c r="N412" s="16" t="inlineStr"/>
      <c r="O412" s="16" t="inlineStr"/>
    </row>
    <row r="413" ht="72" customHeight="1">
      <c r="A413" s="16" t="inlineStr">
        <is>
          <t>TC-MM-0036</t>
        </is>
      </c>
      <c r="B413" s="16" t="inlineStr">
        <is>
          <t>Method x Body Matrix</t>
        </is>
      </c>
      <c r="C413" s="16" t="inlineStr">
        <is>
          <t>PATCH x graphql</t>
        </is>
      </c>
      <c r="D413" s="16" t="inlineStr">
        <is>
          <t>Edge Case</t>
        </is>
      </c>
      <c r="E413" s="16" t="inlineStr">
        <is>
          <t>PATCH with body type 'graphql'</t>
        </is>
      </c>
      <c r="F413" s="16" t="inlineStr">
        <is>
          <t>Editor open.</t>
        </is>
      </c>
      <c r="G413" s="16" t="inlineStr">
        <is>
          <t>1. New request; method PATCH.
2. Body type graphql; provide minimal valid content.
3. Send to https://httpbin.org/anything (or equivalent echo).</t>
        </is>
      </c>
      <c r="H413" s="16" t="inlineStr">
        <is>
          <t>method=PATCH; body=graphql</t>
        </is>
      </c>
      <c r="I413" s="16" t="inlineStr">
        <is>
          <t>PATCH with GraphQL body is unusual. Verify app either prevents this combination, warns, or sends as configured. No silent corruption.</t>
        </is>
      </c>
      <c r="J413" s="16" t="inlineStr"/>
      <c r="K413" s="16" t="inlineStr">
        <is>
          <t>Not Run</t>
        </is>
      </c>
      <c r="L413" s="16" t="inlineStr">
        <is>
          <t>Low</t>
        </is>
      </c>
      <c r="M413" s="16" t="inlineStr"/>
      <c r="N413" s="16" t="inlineStr"/>
      <c r="O413" s="16" t="inlineStr"/>
    </row>
    <row r="414" ht="72" customHeight="1">
      <c r="A414" s="16" t="inlineStr">
        <is>
          <t>TC-MM-0037</t>
        </is>
      </c>
      <c r="B414" s="16" t="inlineStr">
        <is>
          <t>Method x Body Matrix</t>
        </is>
      </c>
      <c r="C414" s="16" t="inlineStr">
        <is>
          <t>DELETE x none</t>
        </is>
      </c>
      <c r="D414" s="16" t="inlineStr">
        <is>
          <t>Functional</t>
        </is>
      </c>
      <c r="E414" s="16" t="inlineStr">
        <is>
          <t>DELETE with body type 'none'</t>
        </is>
      </c>
      <c r="F414" s="16" t="inlineStr">
        <is>
          <t>Editor open.</t>
        </is>
      </c>
      <c r="G414" s="16" t="inlineStr">
        <is>
          <t>1. New request; method DELETE.
2. Body type none; provide minimal valid content.
3. Send to https://httpbin.org/anything (or equivalent echo).</t>
        </is>
      </c>
      <c r="H414" s="16" t="inlineStr">
        <is>
          <t>method=DELETE; body=none</t>
        </is>
      </c>
      <c r="I414" s="16" t="inlineStr">
        <is>
          <t>Request sent with no body; Content-Type not set; server may return 411 Length-Required or 200 depending on endpoint.</t>
        </is>
      </c>
      <c r="J414" s="16" t="inlineStr"/>
      <c r="K414" s="16" t="inlineStr">
        <is>
          <t>Not Run</t>
        </is>
      </c>
      <c r="L414" s="16" t="inlineStr">
        <is>
          <t>Medium</t>
        </is>
      </c>
      <c r="M414" s="16" t="inlineStr"/>
      <c r="N414" s="16" t="inlineStr"/>
      <c r="O414" s="16" t="inlineStr"/>
    </row>
    <row r="415" ht="72" customHeight="1">
      <c r="A415" s="16" t="inlineStr">
        <is>
          <t>TC-MM-0038</t>
        </is>
      </c>
      <c r="B415" s="16" t="inlineStr">
        <is>
          <t>Method x Body Matrix</t>
        </is>
      </c>
      <c r="C415" s="16" t="inlineStr">
        <is>
          <t>DELETE x form-data</t>
        </is>
      </c>
      <c r="D415" s="16" t="inlineStr">
        <is>
          <t>Functional</t>
        </is>
      </c>
      <c r="E415" s="16" t="inlineStr">
        <is>
          <t>DELETE with body type 'form-data'</t>
        </is>
      </c>
      <c r="F415" s="16" t="inlineStr">
        <is>
          <t>Editor open.</t>
        </is>
      </c>
      <c r="G415" s="16" t="inlineStr">
        <is>
          <t>1. New request; method DELETE.
2. Body type form-data; provide minimal valid content.
3. Send to https://httpbin.org/anything (or equivalent echo).</t>
        </is>
      </c>
      <c r="H415" s="16" t="inlineStr">
        <is>
          <t>method=DELETE; body=form-data</t>
        </is>
      </c>
      <c r="I415" s="16" t="inlineStr">
        <is>
          <t>DELETE sent as multipart/form-data; boundary set; server echo confirms parsed fields/files.</t>
        </is>
      </c>
      <c r="J415" s="16" t="inlineStr"/>
      <c r="K415" s="16" t="inlineStr">
        <is>
          <t>Not Run</t>
        </is>
      </c>
      <c r="L415" s="16" t="inlineStr">
        <is>
          <t>High</t>
        </is>
      </c>
      <c r="M415" s="16" t="inlineStr"/>
      <c r="N415" s="16" t="inlineStr"/>
      <c r="O415" s="16" t="inlineStr"/>
    </row>
    <row r="416" ht="72" customHeight="1">
      <c r="A416" s="16" t="inlineStr">
        <is>
          <t>TC-MM-0039</t>
        </is>
      </c>
      <c r="B416" s="16" t="inlineStr">
        <is>
          <t>Method x Body Matrix</t>
        </is>
      </c>
      <c r="C416" s="16" t="inlineStr">
        <is>
          <t>DELETE x x-www-form-urlencoded</t>
        </is>
      </c>
      <c r="D416" s="16" t="inlineStr">
        <is>
          <t>Functional</t>
        </is>
      </c>
      <c r="E416" s="16" t="inlineStr">
        <is>
          <t>DELETE with body type 'x-www-form-urlencoded'</t>
        </is>
      </c>
      <c r="F416" s="16" t="inlineStr">
        <is>
          <t>Editor open.</t>
        </is>
      </c>
      <c r="G416" s="16" t="inlineStr">
        <is>
          <t>1. New request; method DELETE.
2. Body type x-www-form-urlencoded; provide minimal valid content.
3. Send to https://httpbin.org/anything (or equivalent echo).</t>
        </is>
      </c>
      <c r="H416" s="16" t="inlineStr">
        <is>
          <t>method=DELETE; body=x-www-form-urlencoded</t>
        </is>
      </c>
      <c r="I416" s="16" t="inlineStr">
        <is>
          <t>DELETE sent with application/x-www-form-urlencoded body; server parses fields.</t>
        </is>
      </c>
      <c r="J416" s="16" t="inlineStr"/>
      <c r="K416" s="16" t="inlineStr">
        <is>
          <t>Not Run</t>
        </is>
      </c>
      <c r="L416" s="16" t="inlineStr">
        <is>
          <t>High</t>
        </is>
      </c>
      <c r="M416" s="16" t="inlineStr"/>
      <c r="N416" s="16" t="inlineStr"/>
      <c r="O416" s="16" t="inlineStr"/>
    </row>
    <row r="417" ht="72" customHeight="1">
      <c r="A417" s="16" t="inlineStr">
        <is>
          <t>TC-MM-0040</t>
        </is>
      </c>
      <c r="B417" s="16" t="inlineStr">
        <is>
          <t>Method x Body Matrix</t>
        </is>
      </c>
      <c r="C417" s="16" t="inlineStr">
        <is>
          <t>DELETE x raw-json</t>
        </is>
      </c>
      <c r="D417" s="16" t="inlineStr">
        <is>
          <t>Functional</t>
        </is>
      </c>
      <c r="E417" s="16" t="inlineStr">
        <is>
          <t>DELETE with body type 'raw-json'</t>
        </is>
      </c>
      <c r="F417" s="16" t="inlineStr">
        <is>
          <t>Editor open.</t>
        </is>
      </c>
      <c r="G417" s="16" t="inlineStr">
        <is>
          <t>1. New request; method DELETE.
2. Body type raw-json; provide minimal valid content.
3. Send to https://httpbin.org/anything (or equivalent echo).</t>
        </is>
      </c>
      <c r="H417" s="16" t="inlineStr">
        <is>
          <t>method=DELETE; body=raw-json</t>
        </is>
      </c>
      <c r="I417" s="16" t="inlineStr">
        <is>
          <t>DELETE sent with application/json body; server parses JSON.</t>
        </is>
      </c>
      <c r="J417" s="16" t="inlineStr"/>
      <c r="K417" s="16" t="inlineStr">
        <is>
          <t>Not Run</t>
        </is>
      </c>
      <c r="L417" s="16" t="inlineStr">
        <is>
          <t>High</t>
        </is>
      </c>
      <c r="M417" s="16" t="inlineStr"/>
      <c r="N417" s="16" t="inlineStr"/>
      <c r="O417" s="16" t="inlineStr"/>
    </row>
    <row r="418" ht="72" customHeight="1">
      <c r="A418" s="16" t="inlineStr">
        <is>
          <t>TC-MM-0041</t>
        </is>
      </c>
      <c r="B418" s="16" t="inlineStr">
        <is>
          <t>Method x Body Matrix</t>
        </is>
      </c>
      <c r="C418" s="16" t="inlineStr">
        <is>
          <t>DELETE x raw-xml</t>
        </is>
      </c>
      <c r="D418" s="16" t="inlineStr">
        <is>
          <t>Functional</t>
        </is>
      </c>
      <c r="E418" s="16" t="inlineStr">
        <is>
          <t>DELETE with body type 'raw-xml'</t>
        </is>
      </c>
      <c r="F418" s="16" t="inlineStr">
        <is>
          <t>Editor open.</t>
        </is>
      </c>
      <c r="G418" s="16" t="inlineStr">
        <is>
          <t>1. New request; method DELETE.
2. Body type raw-xml; provide minimal valid content.
3. Send to https://httpbin.org/anything (or equivalent echo).</t>
        </is>
      </c>
      <c r="H418" s="16" t="inlineStr">
        <is>
          <t>method=DELETE; body=raw-xml</t>
        </is>
      </c>
      <c r="I418" s="16" t="inlineStr">
        <is>
          <t>DELETE sent with application/xml body; server receives XML verbatim.</t>
        </is>
      </c>
      <c r="J418" s="16" t="inlineStr"/>
      <c r="K418" s="16" t="inlineStr">
        <is>
          <t>Not Run</t>
        </is>
      </c>
      <c r="L418" s="16" t="inlineStr">
        <is>
          <t>Medium</t>
        </is>
      </c>
      <c r="M418" s="16" t="inlineStr"/>
      <c r="N418" s="16" t="inlineStr"/>
      <c r="O418" s="16" t="inlineStr"/>
    </row>
    <row r="419" ht="72" customHeight="1">
      <c r="A419" s="16" t="inlineStr">
        <is>
          <t>TC-MM-0042</t>
        </is>
      </c>
      <c r="B419" s="16" t="inlineStr">
        <is>
          <t>Method x Body Matrix</t>
        </is>
      </c>
      <c r="C419" s="16" t="inlineStr">
        <is>
          <t>DELETE x raw-html</t>
        </is>
      </c>
      <c r="D419" s="16" t="inlineStr">
        <is>
          <t>Functional</t>
        </is>
      </c>
      <c r="E419" s="16" t="inlineStr">
        <is>
          <t>DELETE with body type 'raw-html'</t>
        </is>
      </c>
      <c r="F419" s="16" t="inlineStr">
        <is>
          <t>Editor open.</t>
        </is>
      </c>
      <c r="G419" s="16" t="inlineStr">
        <is>
          <t>1. New request; method DELETE.
2. Body type raw-html; provide minimal valid content.
3. Send to https://httpbin.org/anything (or equivalent echo).</t>
        </is>
      </c>
      <c r="H419" s="16" t="inlineStr">
        <is>
          <t>method=DELETE; body=raw-html</t>
        </is>
      </c>
      <c r="I419" s="16" t="inlineStr">
        <is>
          <t>DELETE sent with text/html body; server receives HTML.</t>
        </is>
      </c>
      <c r="J419" s="16" t="inlineStr"/>
      <c r="K419" s="16" t="inlineStr">
        <is>
          <t>Not Run</t>
        </is>
      </c>
      <c r="L419" s="16" t="inlineStr">
        <is>
          <t>Low</t>
        </is>
      </c>
      <c r="M419" s="16" t="inlineStr"/>
      <c r="N419" s="16" t="inlineStr"/>
      <c r="O419" s="16" t="inlineStr"/>
    </row>
    <row r="420" ht="72" customHeight="1">
      <c r="A420" s="16" t="inlineStr">
        <is>
          <t>TC-MM-0043</t>
        </is>
      </c>
      <c r="B420" s="16" t="inlineStr">
        <is>
          <t>Method x Body Matrix</t>
        </is>
      </c>
      <c r="C420" s="16" t="inlineStr">
        <is>
          <t>DELETE x raw-text</t>
        </is>
      </c>
      <c r="D420" s="16" t="inlineStr">
        <is>
          <t>Functional</t>
        </is>
      </c>
      <c r="E420" s="16" t="inlineStr">
        <is>
          <t>DELETE with body type 'raw-text'</t>
        </is>
      </c>
      <c r="F420" s="16" t="inlineStr">
        <is>
          <t>Editor open.</t>
        </is>
      </c>
      <c r="G420" s="16" t="inlineStr">
        <is>
          <t>1. New request; method DELETE.
2. Body type raw-text; provide minimal valid content.
3. Send to https://httpbin.org/anything (or equivalent echo).</t>
        </is>
      </c>
      <c r="H420" s="16" t="inlineStr">
        <is>
          <t>method=DELETE; body=raw-text</t>
        </is>
      </c>
      <c r="I420" s="16" t="inlineStr">
        <is>
          <t>DELETE sent with text/plain body.</t>
        </is>
      </c>
      <c r="J420" s="16" t="inlineStr"/>
      <c r="K420" s="16" t="inlineStr">
        <is>
          <t>Not Run</t>
        </is>
      </c>
      <c r="L420" s="16" t="inlineStr">
        <is>
          <t>Low</t>
        </is>
      </c>
      <c r="M420" s="16" t="inlineStr"/>
      <c r="N420" s="16" t="inlineStr"/>
      <c r="O420" s="16" t="inlineStr"/>
    </row>
    <row r="421" ht="72" customHeight="1">
      <c r="A421" s="16" t="inlineStr">
        <is>
          <t>TC-MM-0044</t>
        </is>
      </c>
      <c r="B421" s="16" t="inlineStr">
        <is>
          <t>Method x Body Matrix</t>
        </is>
      </c>
      <c r="C421" s="16" t="inlineStr">
        <is>
          <t>DELETE x binary</t>
        </is>
      </c>
      <c r="D421" s="16" t="inlineStr">
        <is>
          <t>Functional</t>
        </is>
      </c>
      <c r="E421" s="16" t="inlineStr">
        <is>
          <t>DELETE with body type 'binary'</t>
        </is>
      </c>
      <c r="F421" s="16" t="inlineStr">
        <is>
          <t>Editor open.</t>
        </is>
      </c>
      <c r="G421" s="16" t="inlineStr">
        <is>
          <t>1. New request; method DELETE.
2. Body type binary; provide minimal valid content.
3. Send to https://httpbin.org/anything (or equivalent echo).</t>
        </is>
      </c>
      <c r="H421" s="16" t="inlineStr">
        <is>
          <t>method=DELETE; body=binary</t>
        </is>
      </c>
      <c r="I421" s="16" t="inlineStr">
        <is>
          <t>DELETE sent with binary body and inferred Content-Type from picked file.</t>
        </is>
      </c>
      <c r="J421" s="16" t="inlineStr"/>
      <c r="K421" s="16" t="inlineStr">
        <is>
          <t>Not Run</t>
        </is>
      </c>
      <c r="L421" s="16" t="inlineStr">
        <is>
          <t>Medium</t>
        </is>
      </c>
      <c r="M421" s="16" t="inlineStr"/>
      <c r="N421" s="16" t="inlineStr"/>
      <c r="O421" s="16" t="inlineStr"/>
    </row>
    <row r="422" ht="72" customHeight="1">
      <c r="A422" s="16" t="inlineStr">
        <is>
          <t>TC-MM-0045</t>
        </is>
      </c>
      <c r="B422" s="16" t="inlineStr">
        <is>
          <t>Method x Body Matrix</t>
        </is>
      </c>
      <c r="C422" s="16" t="inlineStr">
        <is>
          <t>DELETE x graphql</t>
        </is>
      </c>
      <c r="D422" s="16" t="inlineStr">
        <is>
          <t>Edge Case</t>
        </is>
      </c>
      <c r="E422" s="16" t="inlineStr">
        <is>
          <t>DELETE with body type 'graphql'</t>
        </is>
      </c>
      <c r="F422" s="16" t="inlineStr">
        <is>
          <t>Editor open.</t>
        </is>
      </c>
      <c r="G422" s="16" t="inlineStr">
        <is>
          <t>1. New request; method DELETE.
2. Body type graphql; provide minimal valid content.
3. Send to https://httpbin.org/anything (or equivalent echo).</t>
        </is>
      </c>
      <c r="H422" s="16" t="inlineStr">
        <is>
          <t>method=DELETE; body=graphql</t>
        </is>
      </c>
      <c r="I422" s="16" t="inlineStr">
        <is>
          <t>DELETE with GraphQL body is unusual. Verify app either prevents this combination, warns, or sends as configured. No silent corruption.</t>
        </is>
      </c>
      <c r="J422" s="16" t="inlineStr"/>
      <c r="K422" s="16" t="inlineStr">
        <is>
          <t>Not Run</t>
        </is>
      </c>
      <c r="L422" s="16" t="inlineStr">
        <is>
          <t>Low</t>
        </is>
      </c>
      <c r="M422" s="16" t="inlineStr"/>
      <c r="N422" s="16" t="inlineStr"/>
      <c r="O422" s="16" t="inlineStr"/>
    </row>
    <row r="423" ht="72" customHeight="1">
      <c r="A423" s="16" t="inlineStr">
        <is>
          <t>TC-MM-0046</t>
        </is>
      </c>
      <c r="B423" s="16" t="inlineStr">
        <is>
          <t>Method x Body Matrix</t>
        </is>
      </c>
      <c r="C423" s="16" t="inlineStr">
        <is>
          <t>HEAD x none</t>
        </is>
      </c>
      <c r="D423" s="16" t="inlineStr">
        <is>
          <t>Functional</t>
        </is>
      </c>
      <c r="E423" s="16" t="inlineStr">
        <is>
          <t>HEAD with body type 'none'</t>
        </is>
      </c>
      <c r="F423" s="16" t="inlineStr">
        <is>
          <t>Editor open.</t>
        </is>
      </c>
      <c r="G423" s="16" t="inlineStr">
        <is>
          <t>1. New request; method HEAD.
2. Body type none; provide minimal valid content.
3. Send to https://httpbin.org/anything (or equivalent echo).</t>
        </is>
      </c>
      <c r="H423" s="16" t="inlineStr">
        <is>
          <t>method=HEAD; body=none</t>
        </is>
      </c>
      <c r="I423" s="16" t="inlineStr">
        <is>
          <t>Request sent with no body; Content-Type not set; server returns expected status.</t>
        </is>
      </c>
      <c r="J423" s="16" t="inlineStr"/>
      <c r="K423" s="16" t="inlineStr">
        <is>
          <t>Not Run</t>
        </is>
      </c>
      <c r="L423" s="16" t="inlineStr">
        <is>
          <t>High</t>
        </is>
      </c>
      <c r="M423" s="16" t="inlineStr"/>
      <c r="N423" s="16" t="inlineStr"/>
      <c r="O423" s="16" t="inlineStr"/>
    </row>
    <row r="424" ht="72" customHeight="1">
      <c r="A424" s="16" t="inlineStr">
        <is>
          <t>TC-MM-0047</t>
        </is>
      </c>
      <c r="B424" s="16" t="inlineStr">
        <is>
          <t>Method x Body Matrix</t>
        </is>
      </c>
      <c r="C424" s="16" t="inlineStr">
        <is>
          <t>HEAD x form-data</t>
        </is>
      </c>
      <c r="D424" s="16" t="inlineStr">
        <is>
          <t>Edge Case</t>
        </is>
      </c>
      <c r="E424" s="16" t="inlineStr">
        <is>
          <t>HEAD with body type 'form-data'</t>
        </is>
      </c>
      <c r="F424" s="16" t="inlineStr">
        <is>
          <t>Editor open.</t>
        </is>
      </c>
      <c r="G424" s="16" t="inlineStr">
        <is>
          <t>1. New request; method HEAD.
2. Body type form-data; provide minimal valid content.
3. Send to https://httpbin.org/anything (or equivalent echo).</t>
        </is>
      </c>
      <c r="H424" s="16" t="inlineStr">
        <is>
          <t>method=HEAD; body=form-data</t>
        </is>
      </c>
      <c r="I424" s="16" t="inlineStr">
        <is>
          <t>Client allows configuring a form-data body for HEAD; on send, RFC-discouraged combination is transmitted as-is. Verify httpbin/echo endpoint receives the body OR app warns about violation but still sends.</t>
        </is>
      </c>
      <c r="J424" s="16" t="inlineStr"/>
      <c r="K424" s="16" t="inlineStr">
        <is>
          <t>Not Run</t>
        </is>
      </c>
      <c r="L424" s="16" t="inlineStr">
        <is>
          <t>Medium</t>
        </is>
      </c>
      <c r="M424" s="16" t="inlineStr"/>
      <c r="N424" s="16" t="inlineStr"/>
      <c r="O424" s="16" t="inlineStr"/>
    </row>
    <row r="425" ht="72" customHeight="1">
      <c r="A425" s="16" t="inlineStr">
        <is>
          <t>TC-MM-0048</t>
        </is>
      </c>
      <c r="B425" s="16" t="inlineStr">
        <is>
          <t>Method x Body Matrix</t>
        </is>
      </c>
      <c r="C425" s="16" t="inlineStr">
        <is>
          <t>HEAD x x-www-form-urlencoded</t>
        </is>
      </c>
      <c r="D425" s="16" t="inlineStr">
        <is>
          <t>Edge Case</t>
        </is>
      </c>
      <c r="E425" s="16" t="inlineStr">
        <is>
          <t>HEAD with body type 'x-www-form-urlencoded'</t>
        </is>
      </c>
      <c r="F425" s="16" t="inlineStr">
        <is>
          <t>Editor open.</t>
        </is>
      </c>
      <c r="G425" s="16" t="inlineStr">
        <is>
          <t>1. New request; method HEAD.
2. Body type x-www-form-urlencoded; provide minimal valid content.
3. Send to https://httpbin.org/anything (or equivalent echo).</t>
        </is>
      </c>
      <c r="H425" s="16" t="inlineStr">
        <is>
          <t>method=HEAD; body=x-www-form-urlencoded</t>
        </is>
      </c>
      <c r="I425" s="16" t="inlineStr">
        <is>
          <t>Client allows configuring a x-www-form-urlencoded body for HEAD; on send, RFC-discouraged combination is transmitted as-is. Verify httpbin/echo endpoint receives the body OR app warns about violation but still sends.</t>
        </is>
      </c>
      <c r="J425" s="16" t="inlineStr"/>
      <c r="K425" s="16" t="inlineStr">
        <is>
          <t>Not Run</t>
        </is>
      </c>
      <c r="L425" s="16" t="inlineStr">
        <is>
          <t>Medium</t>
        </is>
      </c>
      <c r="M425" s="16" t="inlineStr"/>
      <c r="N425" s="16" t="inlineStr"/>
      <c r="O425" s="16" t="inlineStr"/>
    </row>
    <row r="426" ht="72" customHeight="1">
      <c r="A426" s="16" t="inlineStr">
        <is>
          <t>TC-MM-0049</t>
        </is>
      </c>
      <c r="B426" s="16" t="inlineStr">
        <is>
          <t>Method x Body Matrix</t>
        </is>
      </c>
      <c r="C426" s="16" t="inlineStr">
        <is>
          <t>HEAD x raw-json</t>
        </is>
      </c>
      <c r="D426" s="16" t="inlineStr">
        <is>
          <t>Edge Case</t>
        </is>
      </c>
      <c r="E426" s="16" t="inlineStr">
        <is>
          <t>HEAD with body type 'raw-json'</t>
        </is>
      </c>
      <c r="F426" s="16" t="inlineStr">
        <is>
          <t>Editor open.</t>
        </is>
      </c>
      <c r="G426" s="16" t="inlineStr">
        <is>
          <t>1. New request; method HEAD.
2. Body type raw-json; provide minimal valid content.
3. Send to https://httpbin.org/anything (or equivalent echo).</t>
        </is>
      </c>
      <c r="H426" s="16" t="inlineStr">
        <is>
          <t>method=HEAD; body=raw-json</t>
        </is>
      </c>
      <c r="I426" s="16" t="inlineStr">
        <is>
          <t>Client allows configuring a raw-json body for HEAD; on send, RFC-discouraged combination is transmitted as-is. Verify httpbin/echo endpoint receives the body OR app warns about violation but still sends.</t>
        </is>
      </c>
      <c r="J426" s="16" t="inlineStr"/>
      <c r="K426" s="16" t="inlineStr">
        <is>
          <t>Not Run</t>
        </is>
      </c>
      <c r="L426" s="16" t="inlineStr">
        <is>
          <t>Medium</t>
        </is>
      </c>
      <c r="M426" s="16" t="inlineStr"/>
      <c r="N426" s="16" t="inlineStr"/>
      <c r="O426" s="16" t="inlineStr"/>
    </row>
    <row r="427" ht="72" customHeight="1">
      <c r="A427" s="16" t="inlineStr">
        <is>
          <t>TC-MM-0050</t>
        </is>
      </c>
      <c r="B427" s="16" t="inlineStr">
        <is>
          <t>Method x Body Matrix</t>
        </is>
      </c>
      <c r="C427" s="16" t="inlineStr">
        <is>
          <t>HEAD x raw-xml</t>
        </is>
      </c>
      <c r="D427" s="16" t="inlineStr">
        <is>
          <t>Edge Case</t>
        </is>
      </c>
      <c r="E427" s="16" t="inlineStr">
        <is>
          <t>HEAD with body type 'raw-xml'</t>
        </is>
      </c>
      <c r="F427" s="16" t="inlineStr">
        <is>
          <t>Editor open.</t>
        </is>
      </c>
      <c r="G427" s="16" t="inlineStr">
        <is>
          <t>1. New request; method HEAD.
2. Body type raw-xml; provide minimal valid content.
3. Send to https://httpbin.org/anything (or equivalent echo).</t>
        </is>
      </c>
      <c r="H427" s="16" t="inlineStr">
        <is>
          <t>method=HEAD; body=raw-xml</t>
        </is>
      </c>
      <c r="I427" s="16" t="inlineStr">
        <is>
          <t>Client allows configuring a raw-xml body for HEAD; on send, RFC-discouraged combination is transmitted as-is. Verify httpbin/echo endpoint receives the body OR app warns about violation but still sends.</t>
        </is>
      </c>
      <c r="J427" s="16" t="inlineStr"/>
      <c r="K427" s="16" t="inlineStr">
        <is>
          <t>Not Run</t>
        </is>
      </c>
      <c r="L427" s="16" t="inlineStr">
        <is>
          <t>Medium</t>
        </is>
      </c>
      <c r="M427" s="16" t="inlineStr"/>
      <c r="N427" s="16" t="inlineStr"/>
      <c r="O427" s="16" t="inlineStr"/>
    </row>
    <row r="428" ht="72" customHeight="1">
      <c r="A428" s="16" t="inlineStr">
        <is>
          <t>TC-MM-0051</t>
        </is>
      </c>
      <c r="B428" s="16" t="inlineStr">
        <is>
          <t>Method x Body Matrix</t>
        </is>
      </c>
      <c r="C428" s="16" t="inlineStr">
        <is>
          <t>HEAD x raw-html</t>
        </is>
      </c>
      <c r="D428" s="16" t="inlineStr">
        <is>
          <t>Edge Case</t>
        </is>
      </c>
      <c r="E428" s="16" t="inlineStr">
        <is>
          <t>HEAD with body type 'raw-html'</t>
        </is>
      </c>
      <c r="F428" s="16" t="inlineStr">
        <is>
          <t>Editor open.</t>
        </is>
      </c>
      <c r="G428" s="16" t="inlineStr">
        <is>
          <t>1. New request; method HEAD.
2. Body type raw-html; provide minimal valid content.
3. Send to https://httpbin.org/anything (or equivalent echo).</t>
        </is>
      </c>
      <c r="H428" s="16" t="inlineStr">
        <is>
          <t>method=HEAD; body=raw-html</t>
        </is>
      </c>
      <c r="I428" s="16" t="inlineStr">
        <is>
          <t>Client allows configuring a raw-html body for HEAD; on send, RFC-discouraged combination is transmitted as-is. Verify httpbin/echo endpoint receives the body OR app warns about violation but still sends.</t>
        </is>
      </c>
      <c r="J428" s="16" t="inlineStr"/>
      <c r="K428" s="16" t="inlineStr">
        <is>
          <t>Not Run</t>
        </is>
      </c>
      <c r="L428" s="16" t="inlineStr">
        <is>
          <t>Medium</t>
        </is>
      </c>
      <c r="M428" s="16" t="inlineStr"/>
      <c r="N428" s="16" t="inlineStr"/>
      <c r="O428" s="16" t="inlineStr"/>
    </row>
    <row r="429" ht="72" customHeight="1">
      <c r="A429" s="16" t="inlineStr">
        <is>
          <t>TC-MM-0052</t>
        </is>
      </c>
      <c r="B429" s="16" t="inlineStr">
        <is>
          <t>Method x Body Matrix</t>
        </is>
      </c>
      <c r="C429" s="16" t="inlineStr">
        <is>
          <t>HEAD x raw-text</t>
        </is>
      </c>
      <c r="D429" s="16" t="inlineStr">
        <is>
          <t>Edge Case</t>
        </is>
      </c>
      <c r="E429" s="16" t="inlineStr">
        <is>
          <t>HEAD with body type 'raw-text'</t>
        </is>
      </c>
      <c r="F429" s="16" t="inlineStr">
        <is>
          <t>Editor open.</t>
        </is>
      </c>
      <c r="G429" s="16" t="inlineStr">
        <is>
          <t>1. New request; method HEAD.
2. Body type raw-text; provide minimal valid content.
3. Send to https://httpbin.org/anything (or equivalent echo).</t>
        </is>
      </c>
      <c r="H429" s="16" t="inlineStr">
        <is>
          <t>method=HEAD; body=raw-text</t>
        </is>
      </c>
      <c r="I429" s="16" t="inlineStr">
        <is>
          <t>Client allows configuring a raw-text body for HEAD; on send, RFC-discouraged combination is transmitted as-is. Verify httpbin/echo endpoint receives the body OR app warns about violation but still sends.</t>
        </is>
      </c>
      <c r="J429" s="16" t="inlineStr"/>
      <c r="K429" s="16" t="inlineStr">
        <is>
          <t>Not Run</t>
        </is>
      </c>
      <c r="L429" s="16" t="inlineStr">
        <is>
          <t>Medium</t>
        </is>
      </c>
      <c r="M429" s="16" t="inlineStr"/>
      <c r="N429" s="16" t="inlineStr"/>
      <c r="O429" s="16" t="inlineStr"/>
    </row>
    <row r="430" ht="72" customHeight="1">
      <c r="A430" s="16" t="inlineStr">
        <is>
          <t>TC-MM-0053</t>
        </is>
      </c>
      <c r="B430" s="16" t="inlineStr">
        <is>
          <t>Method x Body Matrix</t>
        </is>
      </c>
      <c r="C430" s="16" t="inlineStr">
        <is>
          <t>HEAD x binary</t>
        </is>
      </c>
      <c r="D430" s="16" t="inlineStr">
        <is>
          <t>Edge Case</t>
        </is>
      </c>
      <c r="E430" s="16" t="inlineStr">
        <is>
          <t>HEAD with body type 'binary'</t>
        </is>
      </c>
      <c r="F430" s="16" t="inlineStr">
        <is>
          <t>Editor open.</t>
        </is>
      </c>
      <c r="G430" s="16" t="inlineStr">
        <is>
          <t>1. New request; method HEAD.
2. Body type binary; provide minimal valid content.
3. Send to https://httpbin.org/anything (or equivalent echo).</t>
        </is>
      </c>
      <c r="H430" s="16" t="inlineStr">
        <is>
          <t>method=HEAD; body=binary</t>
        </is>
      </c>
      <c r="I430" s="16" t="inlineStr">
        <is>
          <t>Client allows configuring a binary body for HEAD; on send, RFC-discouraged combination is transmitted as-is. Verify httpbin/echo endpoint receives the body OR app warns about violation but still sends.</t>
        </is>
      </c>
      <c r="J430" s="16" t="inlineStr"/>
      <c r="K430" s="16" t="inlineStr">
        <is>
          <t>Not Run</t>
        </is>
      </c>
      <c r="L430" s="16" t="inlineStr">
        <is>
          <t>Medium</t>
        </is>
      </c>
      <c r="M430" s="16" t="inlineStr"/>
      <c r="N430" s="16" t="inlineStr"/>
      <c r="O430" s="16" t="inlineStr"/>
    </row>
    <row r="431" ht="72" customHeight="1">
      <c r="A431" s="16" t="inlineStr">
        <is>
          <t>TC-MM-0054</t>
        </is>
      </c>
      <c r="B431" s="16" t="inlineStr">
        <is>
          <t>Method x Body Matrix</t>
        </is>
      </c>
      <c r="C431" s="16" t="inlineStr">
        <is>
          <t>HEAD x graphql</t>
        </is>
      </c>
      <c r="D431" s="16" t="inlineStr">
        <is>
          <t>Edge Case</t>
        </is>
      </c>
      <c r="E431" s="16" t="inlineStr">
        <is>
          <t>HEAD with body type 'graphql'</t>
        </is>
      </c>
      <c r="F431" s="16" t="inlineStr">
        <is>
          <t>Editor open.</t>
        </is>
      </c>
      <c r="G431" s="16" t="inlineStr">
        <is>
          <t>1. New request; method HEAD.
2. Body type graphql; provide minimal valid content.
3. Send to https://httpbin.org/anything (or equivalent echo).</t>
        </is>
      </c>
      <c r="H431" s="16" t="inlineStr">
        <is>
          <t>method=HEAD; body=graphql</t>
        </is>
      </c>
      <c r="I431" s="16" t="inlineStr">
        <is>
          <t>Client allows configuring a graphql body for HEAD; on send, RFC-discouraged combination is transmitted as-is. Verify httpbin/echo endpoint receives the body OR app warns about violation but still sends.</t>
        </is>
      </c>
      <c r="J431" s="16" t="inlineStr"/>
      <c r="K431" s="16" t="inlineStr">
        <is>
          <t>Not Run</t>
        </is>
      </c>
      <c r="L431" s="16" t="inlineStr">
        <is>
          <t>Medium</t>
        </is>
      </c>
      <c r="M431" s="16" t="inlineStr"/>
      <c r="N431" s="16" t="inlineStr"/>
      <c r="O431" s="16" t="inlineStr"/>
    </row>
    <row r="432" ht="72" customHeight="1">
      <c r="A432" s="16" t="inlineStr">
        <is>
          <t>TC-MM-0055</t>
        </is>
      </c>
      <c r="B432" s="16" t="inlineStr">
        <is>
          <t>Method x Body Matrix</t>
        </is>
      </c>
      <c r="C432" s="16" t="inlineStr">
        <is>
          <t>OPTIONS x none</t>
        </is>
      </c>
      <c r="D432" s="16" t="inlineStr">
        <is>
          <t>Functional</t>
        </is>
      </c>
      <c r="E432" s="16" t="inlineStr">
        <is>
          <t>OPTIONS with body type 'none'</t>
        </is>
      </c>
      <c r="F432" s="16" t="inlineStr">
        <is>
          <t>Editor open.</t>
        </is>
      </c>
      <c r="G432" s="16" t="inlineStr">
        <is>
          <t>1. New request; method OPTIONS.
2. Body type none; provide minimal valid content.
3. Send to https://httpbin.org/anything (or equivalent echo).</t>
        </is>
      </c>
      <c r="H432" s="16" t="inlineStr">
        <is>
          <t>method=OPTIONS; body=none</t>
        </is>
      </c>
      <c r="I432" s="16" t="inlineStr">
        <is>
          <t>Request sent with no body; Content-Type not set; server returns expected status.</t>
        </is>
      </c>
      <c r="J432" s="16" t="inlineStr"/>
      <c r="K432" s="16" t="inlineStr">
        <is>
          <t>Not Run</t>
        </is>
      </c>
      <c r="L432" s="16" t="inlineStr">
        <is>
          <t>High</t>
        </is>
      </c>
      <c r="M432" s="16" t="inlineStr"/>
      <c r="N432" s="16" t="inlineStr"/>
      <c r="O432" s="16" t="inlineStr"/>
    </row>
    <row r="433" ht="72" customHeight="1">
      <c r="A433" s="16" t="inlineStr">
        <is>
          <t>TC-MM-0056</t>
        </is>
      </c>
      <c r="B433" s="16" t="inlineStr">
        <is>
          <t>Method x Body Matrix</t>
        </is>
      </c>
      <c r="C433" s="16" t="inlineStr">
        <is>
          <t>OPTIONS x form-data</t>
        </is>
      </c>
      <c r="D433" s="16" t="inlineStr">
        <is>
          <t>Edge Case</t>
        </is>
      </c>
      <c r="E433" s="16" t="inlineStr">
        <is>
          <t>OPTIONS with body type 'form-data'</t>
        </is>
      </c>
      <c r="F433" s="16" t="inlineStr">
        <is>
          <t>Editor open.</t>
        </is>
      </c>
      <c r="G433" s="16" t="inlineStr">
        <is>
          <t>1. New request; method OPTIONS.
2. Body type form-data; provide minimal valid content.
3. Send to https://httpbin.org/anything (or equivalent echo).</t>
        </is>
      </c>
      <c r="H433" s="16" t="inlineStr">
        <is>
          <t>method=OPTIONS; body=form-data</t>
        </is>
      </c>
      <c r="I433" s="16" t="inlineStr">
        <is>
          <t>Client allows configuring a form-data body for OPTIONS; on send, RFC-discouraged combination is transmitted as-is. Verify httpbin/echo endpoint receives the body OR app warns about violation but still sends.</t>
        </is>
      </c>
      <c r="J433" s="16" t="inlineStr"/>
      <c r="K433" s="16" t="inlineStr">
        <is>
          <t>Not Run</t>
        </is>
      </c>
      <c r="L433" s="16" t="inlineStr">
        <is>
          <t>Medium</t>
        </is>
      </c>
      <c r="M433" s="16" t="inlineStr"/>
      <c r="N433" s="16" t="inlineStr"/>
      <c r="O433" s="16" t="inlineStr"/>
    </row>
    <row r="434" ht="72" customHeight="1">
      <c r="A434" s="16" t="inlineStr">
        <is>
          <t>TC-MM-0057</t>
        </is>
      </c>
      <c r="B434" s="16" t="inlineStr">
        <is>
          <t>Method x Body Matrix</t>
        </is>
      </c>
      <c r="C434" s="16" t="inlineStr">
        <is>
          <t>OPTIONS x x-www-form-urlencoded</t>
        </is>
      </c>
      <c r="D434" s="16" t="inlineStr">
        <is>
          <t>Edge Case</t>
        </is>
      </c>
      <c r="E434" s="16" t="inlineStr">
        <is>
          <t>OPTIONS with body type 'x-www-form-urlencoded'</t>
        </is>
      </c>
      <c r="F434" s="16" t="inlineStr">
        <is>
          <t>Editor open.</t>
        </is>
      </c>
      <c r="G434" s="16" t="inlineStr">
        <is>
          <t>1. New request; method OPTIONS.
2. Body type x-www-form-urlencoded; provide minimal valid content.
3. Send to https://httpbin.org/anything (or equivalent echo).</t>
        </is>
      </c>
      <c r="H434" s="16" t="inlineStr">
        <is>
          <t>method=OPTIONS; body=x-www-form-urlencoded</t>
        </is>
      </c>
      <c r="I434" s="16" t="inlineStr">
        <is>
          <t>Client allows configuring a x-www-form-urlencoded body for OPTIONS; on send, RFC-discouraged combination is transmitted as-is. Verify httpbin/echo endpoint receives the body OR app warns about violation but still sends.</t>
        </is>
      </c>
      <c r="J434" s="16" t="inlineStr"/>
      <c r="K434" s="16" t="inlineStr">
        <is>
          <t>Not Run</t>
        </is>
      </c>
      <c r="L434" s="16" t="inlineStr">
        <is>
          <t>Medium</t>
        </is>
      </c>
      <c r="M434" s="16" t="inlineStr"/>
      <c r="N434" s="16" t="inlineStr"/>
      <c r="O434" s="16" t="inlineStr"/>
    </row>
    <row r="435" ht="72" customHeight="1">
      <c r="A435" s="16" t="inlineStr">
        <is>
          <t>TC-MM-0058</t>
        </is>
      </c>
      <c r="B435" s="16" t="inlineStr">
        <is>
          <t>Method x Body Matrix</t>
        </is>
      </c>
      <c r="C435" s="16" t="inlineStr">
        <is>
          <t>OPTIONS x raw-json</t>
        </is>
      </c>
      <c r="D435" s="16" t="inlineStr">
        <is>
          <t>Edge Case</t>
        </is>
      </c>
      <c r="E435" s="16" t="inlineStr">
        <is>
          <t>OPTIONS with body type 'raw-json'</t>
        </is>
      </c>
      <c r="F435" s="16" t="inlineStr">
        <is>
          <t>Editor open.</t>
        </is>
      </c>
      <c r="G435" s="16" t="inlineStr">
        <is>
          <t>1. New request; method OPTIONS.
2. Body type raw-json; provide minimal valid content.
3. Send to https://httpbin.org/anything (or equivalent echo).</t>
        </is>
      </c>
      <c r="H435" s="16" t="inlineStr">
        <is>
          <t>method=OPTIONS; body=raw-json</t>
        </is>
      </c>
      <c r="I435" s="16" t="inlineStr">
        <is>
          <t>Client allows configuring a raw-json body for OPTIONS; on send, RFC-discouraged combination is transmitted as-is. Verify httpbin/echo endpoint receives the body OR app warns about violation but still sends.</t>
        </is>
      </c>
      <c r="J435" s="16" t="inlineStr"/>
      <c r="K435" s="16" t="inlineStr">
        <is>
          <t>Not Run</t>
        </is>
      </c>
      <c r="L435" s="16" t="inlineStr">
        <is>
          <t>Medium</t>
        </is>
      </c>
      <c r="M435" s="16" t="inlineStr"/>
      <c r="N435" s="16" t="inlineStr"/>
      <c r="O435" s="16" t="inlineStr"/>
    </row>
    <row r="436" ht="72" customHeight="1">
      <c r="A436" s="16" t="inlineStr">
        <is>
          <t>TC-MM-0059</t>
        </is>
      </c>
      <c r="B436" s="16" t="inlineStr">
        <is>
          <t>Method x Body Matrix</t>
        </is>
      </c>
      <c r="C436" s="16" t="inlineStr">
        <is>
          <t>OPTIONS x raw-xml</t>
        </is>
      </c>
      <c r="D436" s="16" t="inlineStr">
        <is>
          <t>Edge Case</t>
        </is>
      </c>
      <c r="E436" s="16" t="inlineStr">
        <is>
          <t>OPTIONS with body type 'raw-xml'</t>
        </is>
      </c>
      <c r="F436" s="16" t="inlineStr">
        <is>
          <t>Editor open.</t>
        </is>
      </c>
      <c r="G436" s="16" t="inlineStr">
        <is>
          <t>1. New request; method OPTIONS.
2. Body type raw-xml; provide minimal valid content.
3. Send to https://httpbin.org/anything (or equivalent echo).</t>
        </is>
      </c>
      <c r="H436" s="16" t="inlineStr">
        <is>
          <t>method=OPTIONS; body=raw-xml</t>
        </is>
      </c>
      <c r="I436" s="16" t="inlineStr">
        <is>
          <t>Client allows configuring a raw-xml body for OPTIONS; on send, RFC-discouraged combination is transmitted as-is. Verify httpbin/echo endpoint receives the body OR app warns about violation but still sends.</t>
        </is>
      </c>
      <c r="J436" s="16" t="inlineStr"/>
      <c r="K436" s="16" t="inlineStr">
        <is>
          <t>Not Run</t>
        </is>
      </c>
      <c r="L436" s="16" t="inlineStr">
        <is>
          <t>Medium</t>
        </is>
      </c>
      <c r="M436" s="16" t="inlineStr"/>
      <c r="N436" s="16" t="inlineStr"/>
      <c r="O436" s="16" t="inlineStr"/>
    </row>
    <row r="437" ht="72" customHeight="1">
      <c r="A437" s="16" t="inlineStr">
        <is>
          <t>TC-MM-0060</t>
        </is>
      </c>
      <c r="B437" s="16" t="inlineStr">
        <is>
          <t>Method x Body Matrix</t>
        </is>
      </c>
      <c r="C437" s="16" t="inlineStr">
        <is>
          <t>OPTIONS x raw-html</t>
        </is>
      </c>
      <c r="D437" s="16" t="inlineStr">
        <is>
          <t>Edge Case</t>
        </is>
      </c>
      <c r="E437" s="16" t="inlineStr">
        <is>
          <t>OPTIONS with body type 'raw-html'</t>
        </is>
      </c>
      <c r="F437" s="16" t="inlineStr">
        <is>
          <t>Editor open.</t>
        </is>
      </c>
      <c r="G437" s="16" t="inlineStr">
        <is>
          <t>1. New request; method OPTIONS.
2. Body type raw-html; provide minimal valid content.
3. Send to https://httpbin.org/anything (or equivalent echo).</t>
        </is>
      </c>
      <c r="H437" s="16" t="inlineStr">
        <is>
          <t>method=OPTIONS; body=raw-html</t>
        </is>
      </c>
      <c r="I437" s="16" t="inlineStr">
        <is>
          <t>Client allows configuring a raw-html body for OPTIONS; on send, RFC-discouraged combination is transmitted as-is. Verify httpbin/echo endpoint receives the body OR app warns about violation but still sends.</t>
        </is>
      </c>
      <c r="J437" s="16" t="inlineStr"/>
      <c r="K437" s="16" t="inlineStr">
        <is>
          <t>Not Run</t>
        </is>
      </c>
      <c r="L437" s="16" t="inlineStr">
        <is>
          <t>Medium</t>
        </is>
      </c>
      <c r="M437" s="16" t="inlineStr"/>
      <c r="N437" s="16" t="inlineStr"/>
      <c r="O437" s="16" t="inlineStr"/>
    </row>
    <row r="438" ht="72" customHeight="1">
      <c r="A438" s="16" t="inlineStr">
        <is>
          <t>TC-MM-0061</t>
        </is>
      </c>
      <c r="B438" s="16" t="inlineStr">
        <is>
          <t>Method x Body Matrix</t>
        </is>
      </c>
      <c r="C438" s="16" t="inlineStr">
        <is>
          <t>OPTIONS x raw-text</t>
        </is>
      </c>
      <c r="D438" s="16" t="inlineStr">
        <is>
          <t>Edge Case</t>
        </is>
      </c>
      <c r="E438" s="16" t="inlineStr">
        <is>
          <t>OPTIONS with body type 'raw-text'</t>
        </is>
      </c>
      <c r="F438" s="16" t="inlineStr">
        <is>
          <t>Editor open.</t>
        </is>
      </c>
      <c r="G438" s="16" t="inlineStr">
        <is>
          <t>1. New request; method OPTIONS.
2. Body type raw-text; provide minimal valid content.
3. Send to https://httpbin.org/anything (or equivalent echo).</t>
        </is>
      </c>
      <c r="H438" s="16" t="inlineStr">
        <is>
          <t>method=OPTIONS; body=raw-text</t>
        </is>
      </c>
      <c r="I438" s="16" t="inlineStr">
        <is>
          <t>Client allows configuring a raw-text body for OPTIONS; on send, RFC-discouraged combination is transmitted as-is. Verify httpbin/echo endpoint receives the body OR app warns about violation but still sends.</t>
        </is>
      </c>
      <c r="J438" s="16" t="inlineStr"/>
      <c r="K438" s="16" t="inlineStr">
        <is>
          <t>Not Run</t>
        </is>
      </c>
      <c r="L438" s="16" t="inlineStr">
        <is>
          <t>Medium</t>
        </is>
      </c>
      <c r="M438" s="16" t="inlineStr"/>
      <c r="N438" s="16" t="inlineStr"/>
      <c r="O438" s="16" t="inlineStr"/>
    </row>
    <row r="439" ht="72" customHeight="1">
      <c r="A439" s="16" t="inlineStr">
        <is>
          <t>TC-MM-0062</t>
        </is>
      </c>
      <c r="B439" s="16" t="inlineStr">
        <is>
          <t>Method x Body Matrix</t>
        </is>
      </c>
      <c r="C439" s="16" t="inlineStr">
        <is>
          <t>OPTIONS x binary</t>
        </is>
      </c>
      <c r="D439" s="16" t="inlineStr">
        <is>
          <t>Edge Case</t>
        </is>
      </c>
      <c r="E439" s="16" t="inlineStr">
        <is>
          <t>OPTIONS with body type 'binary'</t>
        </is>
      </c>
      <c r="F439" s="16" t="inlineStr">
        <is>
          <t>Editor open.</t>
        </is>
      </c>
      <c r="G439" s="16" t="inlineStr">
        <is>
          <t>1. New request; method OPTIONS.
2. Body type binary; provide minimal valid content.
3. Send to https://httpbin.org/anything (or equivalent echo).</t>
        </is>
      </c>
      <c r="H439" s="16" t="inlineStr">
        <is>
          <t>method=OPTIONS; body=binary</t>
        </is>
      </c>
      <c r="I439" s="16" t="inlineStr">
        <is>
          <t>Client allows configuring a binary body for OPTIONS; on send, RFC-discouraged combination is transmitted as-is. Verify httpbin/echo endpoint receives the body OR app warns about violation but still sends.</t>
        </is>
      </c>
      <c r="J439" s="16" t="inlineStr"/>
      <c r="K439" s="16" t="inlineStr">
        <is>
          <t>Not Run</t>
        </is>
      </c>
      <c r="L439" s="16" t="inlineStr">
        <is>
          <t>Medium</t>
        </is>
      </c>
      <c r="M439" s="16" t="inlineStr"/>
      <c r="N439" s="16" t="inlineStr"/>
      <c r="O439" s="16" t="inlineStr"/>
    </row>
    <row r="440" ht="72" customHeight="1">
      <c r="A440" s="16" t="inlineStr">
        <is>
          <t>TC-MM-0063</t>
        </is>
      </c>
      <c r="B440" s="16" t="inlineStr">
        <is>
          <t>Method x Body Matrix</t>
        </is>
      </c>
      <c r="C440" s="16" t="inlineStr">
        <is>
          <t>OPTIONS x graphql</t>
        </is>
      </c>
      <c r="D440" s="16" t="inlineStr">
        <is>
          <t>Edge Case</t>
        </is>
      </c>
      <c r="E440" s="16" t="inlineStr">
        <is>
          <t>OPTIONS with body type 'graphql'</t>
        </is>
      </c>
      <c r="F440" s="16" t="inlineStr">
        <is>
          <t>Editor open.</t>
        </is>
      </c>
      <c r="G440" s="16" t="inlineStr">
        <is>
          <t>1. New request; method OPTIONS.
2. Body type graphql; provide minimal valid content.
3. Send to https://httpbin.org/anything (or equivalent echo).</t>
        </is>
      </c>
      <c r="H440" s="16" t="inlineStr">
        <is>
          <t>method=OPTIONS; body=graphql</t>
        </is>
      </c>
      <c r="I440" s="16" t="inlineStr">
        <is>
          <t>Client allows configuring a graphql body for OPTIONS; on send, RFC-discouraged combination is transmitted as-is. Verify httpbin/echo endpoint receives the body OR app warns about violation but still sends.</t>
        </is>
      </c>
      <c r="J440" s="16" t="inlineStr"/>
      <c r="K440" s="16" t="inlineStr">
        <is>
          <t>Not Run</t>
        </is>
      </c>
      <c r="L440" s="16" t="inlineStr">
        <is>
          <t>Medium</t>
        </is>
      </c>
      <c r="M440" s="16" t="inlineStr"/>
      <c r="N440" s="16" t="inlineStr"/>
      <c r="O440" s="16" t="inlineStr"/>
    </row>
    <row r="441" ht="72" customHeight="1">
      <c r="A441" s="16" t="inlineStr">
        <is>
          <t>TC-ME-0001</t>
        </is>
      </c>
      <c r="B441" s="16" t="inlineStr">
        <is>
          <t>HTTP Method Edge Cases</t>
        </is>
      </c>
      <c r="C441" s="16" t="inlineStr">
        <is>
          <t>GET</t>
        </is>
      </c>
      <c r="D441" s="16" t="inlineStr">
        <is>
          <t>Functional</t>
        </is>
      </c>
      <c r="E441" s="16" t="inlineStr">
        <is>
          <t>Send simple GET to echo endpoint</t>
        </is>
      </c>
      <c r="F441" s="16" t="inlineStr">
        <is>
          <t>URL https://httpbin.org/get; method GET.</t>
        </is>
      </c>
      <c r="G441" s="16" t="inlineStr">
        <is>
          <t>1. Send.</t>
        </is>
      </c>
      <c r="H441" s="16" t="inlineStr">
        <is>
          <t>method=GET</t>
        </is>
      </c>
      <c r="I441" s="16" t="inlineStr">
        <is>
          <t>200; response includes args/headers.</t>
        </is>
      </c>
      <c r="J441" s="16" t="inlineStr"/>
      <c r="K441" s="16" t="inlineStr">
        <is>
          <t>Not Run</t>
        </is>
      </c>
      <c r="L441" s="16" t="inlineStr">
        <is>
          <t>High</t>
        </is>
      </c>
      <c r="M441" s="16" t="inlineStr"/>
      <c r="N441" s="16" t="inlineStr"/>
      <c r="O441" s="16" t="inlineStr"/>
    </row>
    <row r="442" ht="72" customHeight="1">
      <c r="A442" s="16" t="inlineStr">
        <is>
          <t>TC-ME-0002</t>
        </is>
      </c>
      <c r="B442" s="16" t="inlineStr">
        <is>
          <t>HTTP Method Edge Cases</t>
        </is>
      </c>
      <c r="C442" s="16" t="inlineStr">
        <is>
          <t>GET</t>
        </is>
      </c>
      <c r="D442" s="16" t="inlineStr">
        <is>
          <t>Edge Case</t>
        </is>
      </c>
      <c r="E442" s="16" t="inlineStr">
        <is>
          <t>GET with attempted JSON body sent anyway</t>
        </is>
      </c>
      <c r="F442" s="16" t="inlineStr">
        <is>
          <t>Method GET; raw JSON body present.</t>
        </is>
      </c>
      <c r="G442" s="16" t="inlineStr">
        <is>
          <t>1. Send.</t>
        </is>
      </c>
      <c r="H442" s="16" t="inlineStr">
        <is>
          <t>method=GET</t>
        </is>
      </c>
      <c r="I442" s="16" t="inlineStr">
        <is>
          <t>Many clients strip body for GET; verify app behavior is documented and consistent. If sent, server may ignore. Important: app should not crash.</t>
        </is>
      </c>
      <c r="J442" s="16" t="inlineStr"/>
      <c r="K442" s="16" t="inlineStr">
        <is>
          <t>Not Run</t>
        </is>
      </c>
      <c r="L442" s="16" t="inlineStr">
        <is>
          <t>Medium</t>
        </is>
      </c>
      <c r="M442" s="16" t="inlineStr"/>
      <c r="N442" s="16" t="inlineStr"/>
      <c r="O442" s="16" t="inlineStr"/>
    </row>
    <row r="443" ht="72" customHeight="1">
      <c r="A443" s="16" t="inlineStr">
        <is>
          <t>TC-ME-0003</t>
        </is>
      </c>
      <c r="B443" s="16" t="inlineStr">
        <is>
          <t>HTTP Method Edge Cases</t>
        </is>
      </c>
      <c r="C443" s="16" t="inlineStr">
        <is>
          <t>POST</t>
        </is>
      </c>
      <c r="D443" s="16" t="inlineStr">
        <is>
          <t>Functional</t>
        </is>
      </c>
      <c r="E443" s="16" t="inlineStr">
        <is>
          <t>POST with empty body</t>
        </is>
      </c>
      <c r="F443" s="16" t="inlineStr">
        <is>
          <t>Method POST; body none.</t>
        </is>
      </c>
      <c r="G443" s="16" t="inlineStr">
        <is>
          <t>1. Send to httpbin/post.</t>
        </is>
      </c>
      <c r="H443" s="16" t="inlineStr">
        <is>
          <t>method=POST</t>
        </is>
      </c>
      <c r="I443" s="16" t="inlineStr">
        <is>
          <t>Content-Length=0 sent; server returns 200; empty form/data.</t>
        </is>
      </c>
      <c r="J443" s="16" t="inlineStr"/>
      <c r="K443" s="16" t="inlineStr">
        <is>
          <t>Not Run</t>
        </is>
      </c>
      <c r="L443" s="16" t="inlineStr">
        <is>
          <t>Medium</t>
        </is>
      </c>
      <c r="M443" s="16" t="inlineStr"/>
      <c r="N443" s="16" t="inlineStr"/>
      <c r="O443" s="16" t="inlineStr"/>
    </row>
    <row r="444" ht="72" customHeight="1">
      <c r="A444" s="16" t="inlineStr">
        <is>
          <t>TC-ME-0004</t>
        </is>
      </c>
      <c r="B444" s="16" t="inlineStr">
        <is>
          <t>HTTP Method Edge Cases</t>
        </is>
      </c>
      <c r="C444" s="16" t="inlineStr">
        <is>
          <t>POST</t>
        </is>
      </c>
      <c r="D444" s="16" t="inlineStr">
        <is>
          <t>Edge Case</t>
        </is>
      </c>
      <c r="E444" s="16" t="inlineStr">
        <is>
          <t>POST with empty JSON object</t>
        </is>
      </c>
      <c r="F444" s="16" t="inlineStr">
        <is>
          <t>Method POST; raw JSON '{}'.</t>
        </is>
      </c>
      <c r="G444" s="16" t="inlineStr">
        <is>
          <t>1. Send.</t>
        </is>
      </c>
      <c r="H444" s="16" t="inlineStr">
        <is>
          <t>method=POST</t>
        </is>
      </c>
      <c r="I444" s="16" t="inlineStr">
        <is>
          <t>Body sent as '{}'; Content-Type application/json.</t>
        </is>
      </c>
      <c r="J444" s="16" t="inlineStr"/>
      <c r="K444" s="16" t="inlineStr">
        <is>
          <t>Not Run</t>
        </is>
      </c>
      <c r="L444" s="16" t="inlineStr">
        <is>
          <t>Low</t>
        </is>
      </c>
      <c r="M444" s="16" t="inlineStr"/>
      <c r="N444" s="16" t="inlineStr"/>
      <c r="O444" s="16" t="inlineStr"/>
    </row>
    <row r="445" ht="72" customHeight="1">
      <c r="A445" s="16" t="inlineStr">
        <is>
          <t>TC-ME-0005</t>
        </is>
      </c>
      <c r="B445" s="16" t="inlineStr">
        <is>
          <t>HTTP Method Edge Cases</t>
        </is>
      </c>
      <c r="C445" s="16" t="inlineStr">
        <is>
          <t>PUT</t>
        </is>
      </c>
      <c r="D445" s="16" t="inlineStr">
        <is>
          <t>Functional</t>
        </is>
      </c>
      <c r="E445" s="16" t="inlineStr">
        <is>
          <t>PUT replaces resource</t>
        </is>
      </c>
      <c r="F445" s="16" t="inlineStr">
        <is>
          <t>Endpoint /items/1 expects PUT.</t>
        </is>
      </c>
      <c r="G445" s="16" t="inlineStr">
        <is>
          <t>1. Send PUT with JSON body.</t>
        </is>
      </c>
      <c r="H445" s="16" t="inlineStr">
        <is>
          <t>method=PUT</t>
        </is>
      </c>
      <c r="I445" s="16" t="inlineStr">
        <is>
          <t>Resource updated.</t>
        </is>
      </c>
      <c r="J445" s="16" t="inlineStr"/>
      <c r="K445" s="16" t="inlineStr">
        <is>
          <t>Not Run</t>
        </is>
      </c>
      <c r="L445" s="16" t="inlineStr">
        <is>
          <t>Medium</t>
        </is>
      </c>
      <c r="M445" s="16" t="inlineStr"/>
      <c r="N445" s="16" t="inlineStr"/>
      <c r="O445" s="16" t="inlineStr"/>
    </row>
    <row r="446" ht="72" customHeight="1">
      <c r="A446" s="16" t="inlineStr">
        <is>
          <t>TC-ME-0006</t>
        </is>
      </c>
      <c r="B446" s="16" t="inlineStr">
        <is>
          <t>HTTP Method Edge Cases</t>
        </is>
      </c>
      <c r="C446" s="16" t="inlineStr">
        <is>
          <t>PATCH</t>
        </is>
      </c>
      <c r="D446" s="16" t="inlineStr">
        <is>
          <t>Functional</t>
        </is>
      </c>
      <c r="E446" s="16" t="inlineStr">
        <is>
          <t>PATCH partial update</t>
        </is>
      </c>
      <c r="F446" s="16" t="inlineStr">
        <is>
          <t>Endpoint expects PATCH.</t>
        </is>
      </c>
      <c r="G446" s="16" t="inlineStr">
        <is>
          <t>1. Send PATCH JSON with single field.</t>
        </is>
      </c>
      <c r="H446" s="16" t="inlineStr">
        <is>
          <t>method=PATCH</t>
        </is>
      </c>
      <c r="I446" s="16" t="inlineStr">
        <is>
          <t>Field updated; other fields untouched.</t>
        </is>
      </c>
      <c r="J446" s="16" t="inlineStr"/>
      <c r="K446" s="16" t="inlineStr">
        <is>
          <t>Not Run</t>
        </is>
      </c>
      <c r="L446" s="16" t="inlineStr">
        <is>
          <t>Medium</t>
        </is>
      </c>
      <c r="M446" s="16" t="inlineStr"/>
      <c r="N446" s="16" t="inlineStr"/>
      <c r="O446" s="16" t="inlineStr"/>
    </row>
    <row r="447" ht="72" customHeight="1">
      <c r="A447" s="16" t="inlineStr">
        <is>
          <t>TC-ME-0007</t>
        </is>
      </c>
      <c r="B447" s="16" t="inlineStr">
        <is>
          <t>HTTP Method Edge Cases</t>
        </is>
      </c>
      <c r="C447" s="16" t="inlineStr">
        <is>
          <t>DELETE</t>
        </is>
      </c>
      <c r="D447" s="16" t="inlineStr">
        <is>
          <t>Functional</t>
        </is>
      </c>
      <c r="E447" s="16" t="inlineStr">
        <is>
          <t>DELETE without body</t>
        </is>
      </c>
      <c r="F447" s="16" t="inlineStr">
        <is>
          <t>Method DELETE.</t>
        </is>
      </c>
      <c r="G447" s="16" t="inlineStr">
        <is>
          <t>1. Send.</t>
        </is>
      </c>
      <c r="H447" s="16" t="inlineStr">
        <is>
          <t>method=DELETE</t>
        </is>
      </c>
      <c r="I447" s="16" t="inlineStr">
        <is>
          <t>Resource deleted; 204 or 200.</t>
        </is>
      </c>
      <c r="J447" s="16" t="inlineStr"/>
      <c r="K447" s="16" t="inlineStr">
        <is>
          <t>Not Run</t>
        </is>
      </c>
      <c r="L447" s="16" t="inlineStr">
        <is>
          <t>Medium</t>
        </is>
      </c>
      <c r="M447" s="16" t="inlineStr"/>
      <c r="N447" s="16" t="inlineStr"/>
      <c r="O447" s="16" t="inlineStr"/>
    </row>
    <row r="448" ht="72" customHeight="1">
      <c r="A448" s="16" t="inlineStr">
        <is>
          <t>TC-ME-0008</t>
        </is>
      </c>
      <c r="B448" s="16" t="inlineStr">
        <is>
          <t>HTTP Method Edge Cases</t>
        </is>
      </c>
      <c r="C448" s="16" t="inlineStr">
        <is>
          <t>DELETE</t>
        </is>
      </c>
      <c r="D448" s="16" t="inlineStr">
        <is>
          <t>Edge Case</t>
        </is>
      </c>
      <c r="E448" s="16" t="inlineStr">
        <is>
          <t>DELETE with body (e.g., Elasticsearch)</t>
        </is>
      </c>
      <c r="F448" s="16" t="inlineStr">
        <is>
          <t>DELETE + JSON body.</t>
        </is>
      </c>
      <c r="G448" s="16" t="inlineStr">
        <is>
          <t>1. Send to endpoint accepting body.</t>
        </is>
      </c>
      <c r="H448" s="16" t="inlineStr">
        <is>
          <t>method=DELETE</t>
        </is>
      </c>
      <c r="I448" s="16" t="inlineStr">
        <is>
          <t>Body sent; server processes (e.g., bulk delete by query).</t>
        </is>
      </c>
      <c r="J448" s="16" t="inlineStr"/>
      <c r="K448" s="16" t="inlineStr">
        <is>
          <t>Not Run</t>
        </is>
      </c>
      <c r="L448" s="16" t="inlineStr">
        <is>
          <t>Medium</t>
        </is>
      </c>
      <c r="M448" s="16" t="inlineStr"/>
      <c r="N448" s="16" t="inlineStr"/>
      <c r="O448" s="16" t="inlineStr"/>
    </row>
    <row r="449" ht="72" customHeight="1">
      <c r="A449" s="16" t="inlineStr">
        <is>
          <t>TC-ME-0009</t>
        </is>
      </c>
      <c r="B449" s="16" t="inlineStr">
        <is>
          <t>HTTP Method Edge Cases</t>
        </is>
      </c>
      <c r="C449" s="16" t="inlineStr">
        <is>
          <t>HEAD</t>
        </is>
      </c>
      <c r="D449" s="16" t="inlineStr">
        <is>
          <t>Functional</t>
        </is>
      </c>
      <c r="E449" s="16" t="inlineStr">
        <is>
          <t>HEAD returns headers only</t>
        </is>
      </c>
      <c r="F449" s="16" t="inlineStr">
        <is>
          <t>Method HEAD.</t>
        </is>
      </c>
      <c r="G449" s="16" t="inlineStr">
        <is>
          <t>1. Send to GET endpoint as HEAD.</t>
        </is>
      </c>
      <c r="H449" s="16" t="inlineStr">
        <is>
          <t>method=HEAD</t>
        </is>
      </c>
      <c r="I449" s="16" t="inlineStr">
        <is>
          <t>Status + headers shown; body empty.</t>
        </is>
      </c>
      <c r="J449" s="16" t="inlineStr"/>
      <c r="K449" s="16" t="inlineStr">
        <is>
          <t>Not Run</t>
        </is>
      </c>
      <c r="L449" s="16" t="inlineStr">
        <is>
          <t>Medium</t>
        </is>
      </c>
      <c r="M449" s="16" t="inlineStr"/>
      <c r="N449" s="16" t="inlineStr"/>
      <c r="O449" s="16" t="inlineStr"/>
    </row>
    <row r="450" ht="72" customHeight="1">
      <c r="A450" s="16" t="inlineStr">
        <is>
          <t>TC-ME-0010</t>
        </is>
      </c>
      <c r="B450" s="16" t="inlineStr">
        <is>
          <t>HTTP Method Edge Cases</t>
        </is>
      </c>
      <c r="C450" s="16" t="inlineStr">
        <is>
          <t>HEAD</t>
        </is>
      </c>
      <c r="D450" s="16" t="inlineStr">
        <is>
          <t>Edge Case</t>
        </is>
      </c>
      <c r="E450" s="16" t="inlineStr">
        <is>
          <t>HEAD with body configured</t>
        </is>
      </c>
      <c r="F450" s="16" t="inlineStr">
        <is>
          <t>HEAD + body.</t>
        </is>
      </c>
      <c r="G450" s="16" t="inlineStr">
        <is>
          <t>1. Send.</t>
        </is>
      </c>
      <c r="H450" s="16" t="inlineStr">
        <is>
          <t>method=HEAD</t>
        </is>
      </c>
      <c r="I450" s="16" t="inlineStr">
        <is>
          <t>App should either strip body or warn; no crash.</t>
        </is>
      </c>
      <c r="J450" s="16" t="inlineStr"/>
      <c r="K450" s="16" t="inlineStr">
        <is>
          <t>Not Run</t>
        </is>
      </c>
      <c r="L450" s="16" t="inlineStr">
        <is>
          <t>Low</t>
        </is>
      </c>
      <c r="M450" s="16" t="inlineStr"/>
      <c r="N450" s="16" t="inlineStr"/>
      <c r="O450" s="16" t="inlineStr"/>
    </row>
    <row r="451" ht="72" customHeight="1">
      <c r="A451" s="16" t="inlineStr">
        <is>
          <t>TC-ME-0011</t>
        </is>
      </c>
      <c r="B451" s="16" t="inlineStr">
        <is>
          <t>HTTP Method Edge Cases</t>
        </is>
      </c>
      <c r="C451" s="16" t="inlineStr">
        <is>
          <t>OPTIONS</t>
        </is>
      </c>
      <c r="D451" s="16" t="inlineStr">
        <is>
          <t>Functional</t>
        </is>
      </c>
      <c r="E451" s="16" t="inlineStr">
        <is>
          <t>OPTIONS lists allowed methods</t>
        </is>
      </c>
      <c r="F451" s="16" t="inlineStr">
        <is>
          <t>Method OPTIONS.</t>
        </is>
      </c>
      <c r="G451" s="16" t="inlineStr">
        <is>
          <t>1. Send to CORS-aware endpoint.</t>
        </is>
      </c>
      <c r="H451" s="16" t="inlineStr">
        <is>
          <t>method=OPTIONS</t>
        </is>
      </c>
      <c r="I451" s="16" t="inlineStr">
        <is>
          <t>Response shows Allow header.</t>
        </is>
      </c>
      <c r="J451" s="16" t="inlineStr"/>
      <c r="K451" s="16" t="inlineStr">
        <is>
          <t>Not Run</t>
        </is>
      </c>
      <c r="L451" s="16" t="inlineStr">
        <is>
          <t>Medium</t>
        </is>
      </c>
      <c r="M451" s="16" t="inlineStr"/>
      <c r="N451" s="16" t="inlineStr"/>
      <c r="O451" s="16" t="inlineStr"/>
    </row>
    <row r="452" ht="72" customHeight="1">
      <c r="A452" s="16" t="inlineStr">
        <is>
          <t>TC-ME-0012</t>
        </is>
      </c>
      <c r="B452" s="16" t="inlineStr">
        <is>
          <t>HTTP Method Edge Cases</t>
        </is>
      </c>
      <c r="C452" s="16" t="inlineStr">
        <is>
          <t>OPTIONS</t>
        </is>
      </c>
      <c r="D452" s="16" t="inlineStr">
        <is>
          <t>Edge Case</t>
        </is>
      </c>
      <c r="E452" s="16" t="inlineStr">
        <is>
          <t>OPTIONS preflight headers shown</t>
        </is>
      </c>
      <c r="F452" s="16" t="inlineStr">
        <is>
          <t>OPTIONS with Origin/Access-Control-Request-* headers.</t>
        </is>
      </c>
      <c r="G452" s="16" t="inlineStr">
        <is>
          <t>1. Send.</t>
        </is>
      </c>
      <c r="H452" s="16" t="inlineStr">
        <is>
          <t>method=OPTIONS</t>
        </is>
      </c>
      <c r="I452" s="16" t="inlineStr">
        <is>
          <t>Response Access-Control-Allow-* headers visible.</t>
        </is>
      </c>
      <c r="J452" s="16" t="inlineStr"/>
      <c r="K452" s="16" t="inlineStr">
        <is>
          <t>Not Run</t>
        </is>
      </c>
      <c r="L452" s="16" t="inlineStr">
        <is>
          <t>Medium</t>
        </is>
      </c>
      <c r="M452" s="16" t="inlineStr"/>
      <c r="N452" s="16" t="inlineStr"/>
      <c r="O452" s="16" t="inlineStr"/>
    </row>
    <row r="453" ht="72" customHeight="1">
      <c r="A453" s="16" t="inlineStr">
        <is>
          <t>TC-ME-0013</t>
        </is>
      </c>
      <c r="B453" s="16" t="inlineStr">
        <is>
          <t>HTTP Method Edge Cases</t>
        </is>
      </c>
      <c r="C453" s="16" t="inlineStr">
        <is>
          <t>Casing</t>
        </is>
      </c>
      <c r="D453" s="16" t="inlineStr">
        <is>
          <t>Edge Case</t>
        </is>
      </c>
      <c r="E453" s="16" t="inlineStr">
        <is>
          <t>Lowercase method 'get' normalized</t>
        </is>
      </c>
      <c r="F453" s="16" t="inlineStr">
        <is>
          <t>Method 'get' (lower).</t>
        </is>
      </c>
      <c r="G453" s="16" t="inlineStr">
        <is>
          <t>1. Send.</t>
        </is>
      </c>
      <c r="H453" s="16" t="inlineStr">
        <is>
          <t>method=get</t>
        </is>
      </c>
      <c r="I453" s="16" t="inlineStr">
        <is>
          <t>Either normalized to GET or sent as-is; server typically case-insensitive.</t>
        </is>
      </c>
      <c r="J453" s="16" t="inlineStr"/>
      <c r="K453" s="16" t="inlineStr">
        <is>
          <t>Not Run</t>
        </is>
      </c>
      <c r="L453" s="16" t="inlineStr">
        <is>
          <t>Low</t>
        </is>
      </c>
      <c r="M453" s="16" t="inlineStr"/>
      <c r="N453" s="16" t="inlineStr"/>
      <c r="O453" s="16" t="inlineStr"/>
    </row>
    <row r="454" ht="72" customHeight="1">
      <c r="A454" s="16" t="inlineStr">
        <is>
          <t>TC-ME-0014</t>
        </is>
      </c>
      <c r="B454" s="16" t="inlineStr">
        <is>
          <t>HTTP Method Edge Cases</t>
        </is>
      </c>
      <c r="C454" s="16" t="inlineStr">
        <is>
          <t>Custom</t>
        </is>
      </c>
      <c r="D454" s="16" t="inlineStr">
        <is>
          <t>Edge Case</t>
        </is>
      </c>
      <c r="E454" s="16" t="inlineStr">
        <is>
          <t>Custom HTTP method 'PURGE'</t>
        </is>
      </c>
      <c r="F454" s="16" t="inlineStr">
        <is>
          <t>Method PURGE (Varnish-style).</t>
        </is>
      </c>
      <c r="G454" s="16" t="inlineStr">
        <is>
          <t>1. Send.</t>
        </is>
      </c>
      <c r="H454" s="16" t="inlineStr">
        <is>
          <t>method=PURGE</t>
        </is>
      </c>
      <c r="I454" s="16" t="inlineStr">
        <is>
          <t>If supported, sent verbatim; otherwise picker disallows.</t>
        </is>
      </c>
      <c r="J454" s="16" t="inlineStr"/>
      <c r="K454" s="16" t="inlineStr">
        <is>
          <t>Not Run</t>
        </is>
      </c>
      <c r="L454" s="16" t="inlineStr">
        <is>
          <t>Low</t>
        </is>
      </c>
      <c r="M454" s="16" t="inlineStr"/>
      <c r="N454" s="16" t="inlineStr"/>
      <c r="O454" s="16" t="inlineStr"/>
    </row>
    <row r="455" ht="72" customHeight="1">
      <c r="A455" s="16" t="inlineStr">
        <is>
          <t>TC-AM-0001</t>
        </is>
      </c>
      <c r="B455" s="16" t="inlineStr">
        <is>
          <t>Auth x Method Matrix</t>
        </is>
      </c>
      <c r="C455" s="16" t="inlineStr">
        <is>
          <t>Bearer x GET</t>
        </is>
      </c>
      <c r="D455" s="16" t="inlineStr">
        <is>
          <t>Functional</t>
        </is>
      </c>
      <c r="E455" s="16" t="inlineStr">
        <is>
          <t>Bearer authentication on GET</t>
        </is>
      </c>
      <c r="F455" s="16" t="inlineStr">
        <is>
          <t>Editor open.</t>
        </is>
      </c>
      <c r="G455" s="16" t="inlineStr">
        <is>
          <t>1. New GET request to a representative endpoint.
2. Auth type Bearer; configure minimum credentials.
3. Send and inspect outgoing request.</t>
        </is>
      </c>
      <c r="H455" s="16" t="inlineStr">
        <is>
          <t>auth=Bearer; method=GET</t>
        </is>
      </c>
      <c r="I455" s="16" t="inlineStr">
        <is>
          <t>Authorization or custom header attached; GET request includes it; server returns 200 for valid creds.</t>
        </is>
      </c>
      <c r="J455" s="16" t="inlineStr"/>
      <c r="K455" s="16" t="inlineStr">
        <is>
          <t>Not Run</t>
        </is>
      </c>
      <c r="L455" s="16" t="inlineStr">
        <is>
          <t>High</t>
        </is>
      </c>
      <c r="M455" s="16" t="inlineStr"/>
      <c r="N455" s="16" t="inlineStr"/>
      <c r="O455" s="16" t="inlineStr"/>
    </row>
    <row r="456" ht="72" customHeight="1">
      <c r="A456" s="16" t="inlineStr">
        <is>
          <t>TC-AM-0002</t>
        </is>
      </c>
      <c r="B456" s="16" t="inlineStr">
        <is>
          <t>Auth x Method Matrix</t>
        </is>
      </c>
      <c r="C456" s="16" t="inlineStr">
        <is>
          <t>Bearer x POST</t>
        </is>
      </c>
      <c r="D456" s="16" t="inlineStr">
        <is>
          <t>Functional</t>
        </is>
      </c>
      <c r="E456" s="16" t="inlineStr">
        <is>
          <t>Bearer authentication on POST</t>
        </is>
      </c>
      <c r="F456" s="16" t="inlineStr">
        <is>
          <t>Editor open.</t>
        </is>
      </c>
      <c r="G456" s="16" t="inlineStr">
        <is>
          <t>1. New POST request to a representative endpoint.
2. Auth type Bearer; configure minimum credentials.
3. Send and inspect outgoing request.</t>
        </is>
      </c>
      <c r="H456" s="16" t="inlineStr">
        <is>
          <t>auth=Bearer; method=POST</t>
        </is>
      </c>
      <c r="I456" s="16" t="inlineStr">
        <is>
          <t>Authorization or custom header attached; POST request includes it; server returns 200 for valid creds.</t>
        </is>
      </c>
      <c r="J456" s="16" t="inlineStr"/>
      <c r="K456" s="16" t="inlineStr">
        <is>
          <t>Not Run</t>
        </is>
      </c>
      <c r="L456" s="16" t="inlineStr">
        <is>
          <t>High</t>
        </is>
      </c>
      <c r="M456" s="16" t="inlineStr"/>
      <c r="N456" s="16" t="inlineStr"/>
      <c r="O456" s="16" t="inlineStr"/>
    </row>
    <row r="457" ht="72" customHeight="1">
      <c r="A457" s="16" t="inlineStr">
        <is>
          <t>TC-AM-0003</t>
        </is>
      </c>
      <c r="B457" s="16" t="inlineStr">
        <is>
          <t>Auth x Method Matrix</t>
        </is>
      </c>
      <c r="C457" s="16" t="inlineStr">
        <is>
          <t>Bearer x PUT</t>
        </is>
      </c>
      <c r="D457" s="16" t="inlineStr">
        <is>
          <t>Functional</t>
        </is>
      </c>
      <c r="E457" s="16" t="inlineStr">
        <is>
          <t>Bearer authentication on PUT</t>
        </is>
      </c>
      <c r="F457" s="16" t="inlineStr">
        <is>
          <t>Editor open.</t>
        </is>
      </c>
      <c r="G457" s="16" t="inlineStr">
        <is>
          <t>1. New PUT request to a representative endpoint.
2. Auth type Bearer; configure minimum credentials.
3. Send and inspect outgoing request.</t>
        </is>
      </c>
      <c r="H457" s="16" t="inlineStr">
        <is>
          <t>auth=Bearer; method=PUT</t>
        </is>
      </c>
      <c r="I457" s="16" t="inlineStr">
        <is>
          <t>Authorization or custom header attached; PUT request includes it; server returns 200 for valid creds.</t>
        </is>
      </c>
      <c r="J457" s="16" t="inlineStr"/>
      <c r="K457" s="16" t="inlineStr">
        <is>
          <t>Not Run</t>
        </is>
      </c>
      <c r="L457" s="16" t="inlineStr">
        <is>
          <t>High</t>
        </is>
      </c>
      <c r="M457" s="16" t="inlineStr"/>
      <c r="N457" s="16" t="inlineStr"/>
      <c r="O457" s="16" t="inlineStr"/>
    </row>
    <row r="458" ht="72" customHeight="1">
      <c r="A458" s="16" t="inlineStr">
        <is>
          <t>TC-AM-0004</t>
        </is>
      </c>
      <c r="B458" s="16" t="inlineStr">
        <is>
          <t>Auth x Method Matrix</t>
        </is>
      </c>
      <c r="C458" s="16" t="inlineStr">
        <is>
          <t>Bearer x DELETE</t>
        </is>
      </c>
      <c r="D458" s="16" t="inlineStr">
        <is>
          <t>Functional</t>
        </is>
      </c>
      <c r="E458" s="16" t="inlineStr">
        <is>
          <t>Bearer authentication on DELETE</t>
        </is>
      </c>
      <c r="F458" s="16" t="inlineStr">
        <is>
          <t>Editor open.</t>
        </is>
      </c>
      <c r="G458" s="16" t="inlineStr">
        <is>
          <t>1. New DELETE request to a representative endpoint.
2. Auth type Bearer; configure minimum credentials.
3. Send and inspect outgoing request.</t>
        </is>
      </c>
      <c r="H458" s="16" t="inlineStr">
        <is>
          <t>auth=Bearer; method=DELETE</t>
        </is>
      </c>
      <c r="I458" s="16" t="inlineStr">
        <is>
          <t>Authorization or custom header attached; DELETE request includes it; server returns 200 for valid creds.</t>
        </is>
      </c>
      <c r="J458" s="16" t="inlineStr"/>
      <c r="K458" s="16" t="inlineStr">
        <is>
          <t>Not Run</t>
        </is>
      </c>
      <c r="L458" s="16" t="inlineStr">
        <is>
          <t>High</t>
        </is>
      </c>
      <c r="M458" s="16" t="inlineStr"/>
      <c r="N458" s="16" t="inlineStr"/>
      <c r="O458" s="16" t="inlineStr"/>
    </row>
    <row r="459" ht="72" customHeight="1">
      <c r="A459" s="16" t="inlineStr">
        <is>
          <t>TC-AM-0005</t>
        </is>
      </c>
      <c r="B459" s="16" t="inlineStr">
        <is>
          <t>Auth x Method Matrix</t>
        </is>
      </c>
      <c r="C459" s="16" t="inlineStr">
        <is>
          <t>Basic x GET</t>
        </is>
      </c>
      <c r="D459" s="16" t="inlineStr">
        <is>
          <t>Functional</t>
        </is>
      </c>
      <c r="E459" s="16" t="inlineStr">
        <is>
          <t>Basic authentication on GET</t>
        </is>
      </c>
      <c r="F459" s="16" t="inlineStr">
        <is>
          <t>Editor open.</t>
        </is>
      </c>
      <c r="G459" s="16" t="inlineStr">
        <is>
          <t>1. New GET request to a representative endpoint.
2. Auth type Basic; configure minimum credentials.
3. Send and inspect outgoing request.</t>
        </is>
      </c>
      <c r="H459" s="16" t="inlineStr">
        <is>
          <t>auth=Basic; method=GET</t>
        </is>
      </c>
      <c r="I459" s="16" t="inlineStr">
        <is>
          <t>Authorization or custom header attached; GET request includes it; server returns 200 for valid creds.</t>
        </is>
      </c>
      <c r="J459" s="16" t="inlineStr"/>
      <c r="K459" s="16" t="inlineStr">
        <is>
          <t>Not Run</t>
        </is>
      </c>
      <c r="L459" s="16" t="inlineStr">
        <is>
          <t>High</t>
        </is>
      </c>
      <c r="M459" s="16" t="inlineStr"/>
      <c r="N459" s="16" t="inlineStr"/>
      <c r="O459" s="16" t="inlineStr"/>
    </row>
    <row r="460" ht="72" customHeight="1">
      <c r="A460" s="16" t="inlineStr">
        <is>
          <t>TC-AM-0006</t>
        </is>
      </c>
      <c r="B460" s="16" t="inlineStr">
        <is>
          <t>Auth x Method Matrix</t>
        </is>
      </c>
      <c r="C460" s="16" t="inlineStr">
        <is>
          <t>Basic x POST</t>
        </is>
      </c>
      <c r="D460" s="16" t="inlineStr">
        <is>
          <t>Functional</t>
        </is>
      </c>
      <c r="E460" s="16" t="inlineStr">
        <is>
          <t>Basic authentication on POST</t>
        </is>
      </c>
      <c r="F460" s="16" t="inlineStr">
        <is>
          <t>Editor open.</t>
        </is>
      </c>
      <c r="G460" s="16" t="inlineStr">
        <is>
          <t>1. New POST request to a representative endpoint.
2. Auth type Basic; configure minimum credentials.
3. Send and inspect outgoing request.</t>
        </is>
      </c>
      <c r="H460" s="16" t="inlineStr">
        <is>
          <t>auth=Basic; method=POST</t>
        </is>
      </c>
      <c r="I460" s="16" t="inlineStr">
        <is>
          <t>Authorization or custom header attached; POST request includes it; server returns 200 for valid creds.</t>
        </is>
      </c>
      <c r="J460" s="16" t="inlineStr"/>
      <c r="K460" s="16" t="inlineStr">
        <is>
          <t>Not Run</t>
        </is>
      </c>
      <c r="L460" s="16" t="inlineStr">
        <is>
          <t>High</t>
        </is>
      </c>
      <c r="M460" s="16" t="inlineStr"/>
      <c r="N460" s="16" t="inlineStr"/>
      <c r="O460" s="16" t="inlineStr"/>
    </row>
    <row r="461" ht="72" customHeight="1">
      <c r="A461" s="16" t="inlineStr">
        <is>
          <t>TC-AM-0007</t>
        </is>
      </c>
      <c r="B461" s="16" t="inlineStr">
        <is>
          <t>Auth x Method Matrix</t>
        </is>
      </c>
      <c r="C461" s="16" t="inlineStr">
        <is>
          <t>Basic x PUT</t>
        </is>
      </c>
      <c r="D461" s="16" t="inlineStr">
        <is>
          <t>Functional</t>
        </is>
      </c>
      <c r="E461" s="16" t="inlineStr">
        <is>
          <t>Basic authentication on PUT</t>
        </is>
      </c>
      <c r="F461" s="16" t="inlineStr">
        <is>
          <t>Editor open.</t>
        </is>
      </c>
      <c r="G461" s="16" t="inlineStr">
        <is>
          <t>1. New PUT request to a representative endpoint.
2. Auth type Basic; configure minimum credentials.
3. Send and inspect outgoing request.</t>
        </is>
      </c>
      <c r="H461" s="16" t="inlineStr">
        <is>
          <t>auth=Basic; method=PUT</t>
        </is>
      </c>
      <c r="I461" s="16" t="inlineStr">
        <is>
          <t>Authorization or custom header attached; PUT request includes it; server returns 200 for valid creds.</t>
        </is>
      </c>
      <c r="J461" s="16" t="inlineStr"/>
      <c r="K461" s="16" t="inlineStr">
        <is>
          <t>Not Run</t>
        </is>
      </c>
      <c r="L461" s="16" t="inlineStr">
        <is>
          <t>High</t>
        </is>
      </c>
      <c r="M461" s="16" t="inlineStr"/>
      <c r="N461" s="16" t="inlineStr"/>
      <c r="O461" s="16" t="inlineStr"/>
    </row>
    <row r="462" ht="72" customHeight="1">
      <c r="A462" s="16" t="inlineStr">
        <is>
          <t>TC-AM-0008</t>
        </is>
      </c>
      <c r="B462" s="16" t="inlineStr">
        <is>
          <t>Auth x Method Matrix</t>
        </is>
      </c>
      <c r="C462" s="16" t="inlineStr">
        <is>
          <t>Basic x DELETE</t>
        </is>
      </c>
      <c r="D462" s="16" t="inlineStr">
        <is>
          <t>Functional</t>
        </is>
      </c>
      <c r="E462" s="16" t="inlineStr">
        <is>
          <t>Basic authentication on DELETE</t>
        </is>
      </c>
      <c r="F462" s="16" t="inlineStr">
        <is>
          <t>Editor open.</t>
        </is>
      </c>
      <c r="G462" s="16" t="inlineStr">
        <is>
          <t>1. New DELETE request to a representative endpoint.
2. Auth type Basic; configure minimum credentials.
3. Send and inspect outgoing request.</t>
        </is>
      </c>
      <c r="H462" s="16" t="inlineStr">
        <is>
          <t>auth=Basic; method=DELETE</t>
        </is>
      </c>
      <c r="I462" s="16" t="inlineStr">
        <is>
          <t>Authorization or custom header attached; DELETE request includes it; server returns 200 for valid creds.</t>
        </is>
      </c>
      <c r="J462" s="16" t="inlineStr"/>
      <c r="K462" s="16" t="inlineStr">
        <is>
          <t>Not Run</t>
        </is>
      </c>
      <c r="L462" s="16" t="inlineStr">
        <is>
          <t>High</t>
        </is>
      </c>
      <c r="M462" s="16" t="inlineStr"/>
      <c r="N462" s="16" t="inlineStr"/>
      <c r="O462" s="16" t="inlineStr"/>
    </row>
    <row r="463" ht="72" customHeight="1">
      <c r="A463" s="16" t="inlineStr">
        <is>
          <t>TC-AM-0009</t>
        </is>
      </c>
      <c r="B463" s="16" t="inlineStr">
        <is>
          <t>Auth x Method Matrix</t>
        </is>
      </c>
      <c r="C463" s="16" t="inlineStr">
        <is>
          <t>ApiKeyHeader x GET</t>
        </is>
      </c>
      <c r="D463" s="16" t="inlineStr">
        <is>
          <t>Functional</t>
        </is>
      </c>
      <c r="E463" s="16" t="inlineStr">
        <is>
          <t>ApiKeyHeader authentication on GET</t>
        </is>
      </c>
      <c r="F463" s="16" t="inlineStr">
        <is>
          <t>Editor open.</t>
        </is>
      </c>
      <c r="G463" s="16" t="inlineStr">
        <is>
          <t>1. New GET request to a representative endpoint.
2. Auth type ApiKeyHeader; configure minimum credentials.
3. Send and inspect outgoing request.</t>
        </is>
      </c>
      <c r="H463" s="16" t="inlineStr">
        <is>
          <t>auth=ApiKeyHeader; method=GET</t>
        </is>
      </c>
      <c r="I463" s="16" t="inlineStr">
        <is>
          <t>Authorization or custom header attached; GET request includes it; server returns 200 for valid creds.</t>
        </is>
      </c>
      <c r="J463" s="16" t="inlineStr"/>
      <c r="K463" s="16" t="inlineStr">
        <is>
          <t>Not Run</t>
        </is>
      </c>
      <c r="L463" s="16" t="inlineStr">
        <is>
          <t>Medium</t>
        </is>
      </c>
      <c r="M463" s="16" t="inlineStr"/>
      <c r="N463" s="16" t="inlineStr"/>
      <c r="O463" s="16" t="inlineStr"/>
    </row>
    <row r="464" ht="72" customHeight="1">
      <c r="A464" s="16" t="inlineStr">
        <is>
          <t>TC-AM-0010</t>
        </is>
      </c>
      <c r="B464" s="16" t="inlineStr">
        <is>
          <t>Auth x Method Matrix</t>
        </is>
      </c>
      <c r="C464" s="16" t="inlineStr">
        <is>
          <t>ApiKeyHeader x POST</t>
        </is>
      </c>
      <c r="D464" s="16" t="inlineStr">
        <is>
          <t>Functional</t>
        </is>
      </c>
      <c r="E464" s="16" t="inlineStr">
        <is>
          <t>ApiKeyHeader authentication on POST</t>
        </is>
      </c>
      <c r="F464" s="16" t="inlineStr">
        <is>
          <t>Editor open.</t>
        </is>
      </c>
      <c r="G464" s="16" t="inlineStr">
        <is>
          <t>1. New POST request to a representative endpoint.
2. Auth type ApiKeyHeader; configure minimum credentials.
3. Send and inspect outgoing request.</t>
        </is>
      </c>
      <c r="H464" s="16" t="inlineStr">
        <is>
          <t>auth=ApiKeyHeader; method=POST</t>
        </is>
      </c>
      <c r="I464" s="16" t="inlineStr">
        <is>
          <t>Authorization or custom header attached; POST request includes it; server returns 200 for valid creds.</t>
        </is>
      </c>
      <c r="J464" s="16" t="inlineStr"/>
      <c r="K464" s="16" t="inlineStr">
        <is>
          <t>Not Run</t>
        </is>
      </c>
      <c r="L464" s="16" t="inlineStr">
        <is>
          <t>Medium</t>
        </is>
      </c>
      <c r="M464" s="16" t="inlineStr"/>
      <c r="N464" s="16" t="inlineStr"/>
      <c r="O464" s="16" t="inlineStr"/>
    </row>
    <row r="465" ht="72" customHeight="1">
      <c r="A465" s="16" t="inlineStr">
        <is>
          <t>TC-AM-0011</t>
        </is>
      </c>
      <c r="B465" s="16" t="inlineStr">
        <is>
          <t>Auth x Method Matrix</t>
        </is>
      </c>
      <c r="C465" s="16" t="inlineStr">
        <is>
          <t>ApiKeyHeader x PUT</t>
        </is>
      </c>
      <c r="D465" s="16" t="inlineStr">
        <is>
          <t>Functional</t>
        </is>
      </c>
      <c r="E465" s="16" t="inlineStr">
        <is>
          <t>ApiKeyHeader authentication on PUT</t>
        </is>
      </c>
      <c r="F465" s="16" t="inlineStr">
        <is>
          <t>Editor open.</t>
        </is>
      </c>
      <c r="G465" s="16" t="inlineStr">
        <is>
          <t>1. New PUT request to a representative endpoint.
2. Auth type ApiKeyHeader; configure minimum credentials.
3. Send and inspect outgoing request.</t>
        </is>
      </c>
      <c r="H465" s="16" t="inlineStr">
        <is>
          <t>auth=ApiKeyHeader; method=PUT</t>
        </is>
      </c>
      <c r="I465" s="16" t="inlineStr">
        <is>
          <t>Authorization or custom header attached; PUT request includes it; server returns 200 for valid creds.</t>
        </is>
      </c>
      <c r="J465" s="16" t="inlineStr"/>
      <c r="K465" s="16" t="inlineStr">
        <is>
          <t>Not Run</t>
        </is>
      </c>
      <c r="L465" s="16" t="inlineStr">
        <is>
          <t>Medium</t>
        </is>
      </c>
      <c r="M465" s="16" t="inlineStr"/>
      <c r="N465" s="16" t="inlineStr"/>
      <c r="O465" s="16" t="inlineStr"/>
    </row>
    <row r="466" ht="72" customHeight="1">
      <c r="A466" s="16" t="inlineStr">
        <is>
          <t>TC-AM-0012</t>
        </is>
      </c>
      <c r="B466" s="16" t="inlineStr">
        <is>
          <t>Auth x Method Matrix</t>
        </is>
      </c>
      <c r="C466" s="16" t="inlineStr">
        <is>
          <t>ApiKeyHeader x DELETE</t>
        </is>
      </c>
      <c r="D466" s="16" t="inlineStr">
        <is>
          <t>Functional</t>
        </is>
      </c>
      <c r="E466" s="16" t="inlineStr">
        <is>
          <t>ApiKeyHeader authentication on DELETE</t>
        </is>
      </c>
      <c r="F466" s="16" t="inlineStr">
        <is>
          <t>Editor open.</t>
        </is>
      </c>
      <c r="G466" s="16" t="inlineStr">
        <is>
          <t>1. New DELETE request to a representative endpoint.
2. Auth type ApiKeyHeader; configure minimum credentials.
3. Send and inspect outgoing request.</t>
        </is>
      </c>
      <c r="H466" s="16" t="inlineStr">
        <is>
          <t>auth=ApiKeyHeader; method=DELETE</t>
        </is>
      </c>
      <c r="I466" s="16" t="inlineStr">
        <is>
          <t>Authorization or custom header attached; DELETE request includes it; server returns 200 for valid creds.</t>
        </is>
      </c>
      <c r="J466" s="16" t="inlineStr"/>
      <c r="K466" s="16" t="inlineStr">
        <is>
          <t>Not Run</t>
        </is>
      </c>
      <c r="L466" s="16" t="inlineStr">
        <is>
          <t>Medium</t>
        </is>
      </c>
      <c r="M466" s="16" t="inlineStr"/>
      <c r="N466" s="16" t="inlineStr"/>
      <c r="O466" s="16" t="inlineStr"/>
    </row>
    <row r="467" ht="72" customHeight="1">
      <c r="A467" s="16" t="inlineStr">
        <is>
          <t>TC-AM-0013</t>
        </is>
      </c>
      <c r="B467" s="16" t="inlineStr">
        <is>
          <t>Auth x Method Matrix</t>
        </is>
      </c>
      <c r="C467" s="16" t="inlineStr">
        <is>
          <t>ApiKeyQuery x GET</t>
        </is>
      </c>
      <c r="D467" s="16" t="inlineStr">
        <is>
          <t>Functional</t>
        </is>
      </c>
      <c r="E467" s="16" t="inlineStr">
        <is>
          <t>ApiKeyQuery authentication on GET</t>
        </is>
      </c>
      <c r="F467" s="16" t="inlineStr">
        <is>
          <t>Editor open.</t>
        </is>
      </c>
      <c r="G467" s="16" t="inlineStr">
        <is>
          <t>1. New GET request to a representative endpoint.
2. Auth type ApiKeyQuery; configure minimum credentials.
3. Send and inspect outgoing request.</t>
        </is>
      </c>
      <c r="H467" s="16" t="inlineStr">
        <is>
          <t>auth=ApiKeyQuery; method=GET</t>
        </is>
      </c>
      <c r="I467" s="16" t="inlineStr">
        <is>
          <t>API key appended to query string on GET; URL retains other params.</t>
        </is>
      </c>
      <c r="J467" s="16" t="inlineStr"/>
      <c r="K467" s="16" t="inlineStr">
        <is>
          <t>Not Run</t>
        </is>
      </c>
      <c r="L467" s="16" t="inlineStr">
        <is>
          <t>Medium</t>
        </is>
      </c>
      <c r="M467" s="16" t="inlineStr"/>
      <c r="N467" s="16" t="inlineStr"/>
      <c r="O467" s="16" t="inlineStr"/>
    </row>
    <row r="468" ht="72" customHeight="1">
      <c r="A468" s="16" t="inlineStr">
        <is>
          <t>TC-AM-0014</t>
        </is>
      </c>
      <c r="B468" s="16" t="inlineStr">
        <is>
          <t>Auth x Method Matrix</t>
        </is>
      </c>
      <c r="C468" s="16" t="inlineStr">
        <is>
          <t>ApiKeyQuery x POST</t>
        </is>
      </c>
      <c r="D468" s="16" t="inlineStr">
        <is>
          <t>Functional</t>
        </is>
      </c>
      <c r="E468" s="16" t="inlineStr">
        <is>
          <t>ApiKeyQuery authentication on POST</t>
        </is>
      </c>
      <c r="F468" s="16" t="inlineStr">
        <is>
          <t>Editor open.</t>
        </is>
      </c>
      <c r="G468" s="16" t="inlineStr">
        <is>
          <t>1. New POST request to a representative endpoint.
2. Auth type ApiKeyQuery; configure minimum credentials.
3. Send and inspect outgoing request.</t>
        </is>
      </c>
      <c r="H468" s="16" t="inlineStr">
        <is>
          <t>auth=ApiKeyQuery; method=POST</t>
        </is>
      </c>
      <c r="I468" s="16" t="inlineStr">
        <is>
          <t>API key appended to query string on POST; URL retains other params.</t>
        </is>
      </c>
      <c r="J468" s="16" t="inlineStr"/>
      <c r="K468" s="16" t="inlineStr">
        <is>
          <t>Not Run</t>
        </is>
      </c>
      <c r="L468" s="16" t="inlineStr">
        <is>
          <t>Medium</t>
        </is>
      </c>
      <c r="M468" s="16" t="inlineStr"/>
      <c r="N468" s="16" t="inlineStr"/>
      <c r="O468" s="16" t="inlineStr"/>
    </row>
    <row r="469" ht="72" customHeight="1">
      <c r="A469" s="16" t="inlineStr">
        <is>
          <t>TC-AM-0015</t>
        </is>
      </c>
      <c r="B469" s="16" t="inlineStr">
        <is>
          <t>Auth x Method Matrix</t>
        </is>
      </c>
      <c r="C469" s="16" t="inlineStr">
        <is>
          <t>ApiKeyQuery x PUT</t>
        </is>
      </c>
      <c r="D469" s="16" t="inlineStr">
        <is>
          <t>Functional</t>
        </is>
      </c>
      <c r="E469" s="16" t="inlineStr">
        <is>
          <t>ApiKeyQuery authentication on PUT</t>
        </is>
      </c>
      <c r="F469" s="16" t="inlineStr">
        <is>
          <t>Editor open.</t>
        </is>
      </c>
      <c r="G469" s="16" t="inlineStr">
        <is>
          <t>1. New PUT request to a representative endpoint.
2. Auth type ApiKeyQuery; configure minimum credentials.
3. Send and inspect outgoing request.</t>
        </is>
      </c>
      <c r="H469" s="16" t="inlineStr">
        <is>
          <t>auth=ApiKeyQuery; method=PUT</t>
        </is>
      </c>
      <c r="I469" s="16" t="inlineStr">
        <is>
          <t>API key appended to query string on PUT; URL retains other params.</t>
        </is>
      </c>
      <c r="J469" s="16" t="inlineStr"/>
      <c r="K469" s="16" t="inlineStr">
        <is>
          <t>Not Run</t>
        </is>
      </c>
      <c r="L469" s="16" t="inlineStr">
        <is>
          <t>Medium</t>
        </is>
      </c>
      <c r="M469" s="16" t="inlineStr"/>
      <c r="N469" s="16" t="inlineStr"/>
      <c r="O469" s="16" t="inlineStr"/>
    </row>
    <row r="470" ht="72" customHeight="1">
      <c r="A470" s="16" t="inlineStr">
        <is>
          <t>TC-AM-0016</t>
        </is>
      </c>
      <c r="B470" s="16" t="inlineStr">
        <is>
          <t>Auth x Method Matrix</t>
        </is>
      </c>
      <c r="C470" s="16" t="inlineStr">
        <is>
          <t>ApiKeyQuery x DELETE</t>
        </is>
      </c>
      <c r="D470" s="16" t="inlineStr">
        <is>
          <t>Functional</t>
        </is>
      </c>
      <c r="E470" s="16" t="inlineStr">
        <is>
          <t>ApiKeyQuery authentication on DELETE</t>
        </is>
      </c>
      <c r="F470" s="16" t="inlineStr">
        <is>
          <t>Editor open.</t>
        </is>
      </c>
      <c r="G470" s="16" t="inlineStr">
        <is>
          <t>1. New DELETE request to a representative endpoint.
2. Auth type ApiKeyQuery; configure minimum credentials.
3. Send and inspect outgoing request.</t>
        </is>
      </c>
      <c r="H470" s="16" t="inlineStr">
        <is>
          <t>auth=ApiKeyQuery; method=DELETE</t>
        </is>
      </c>
      <c r="I470" s="16" t="inlineStr">
        <is>
          <t>API key appended to query string on DELETE; URL retains other params.</t>
        </is>
      </c>
      <c r="J470" s="16" t="inlineStr"/>
      <c r="K470" s="16" t="inlineStr">
        <is>
          <t>Not Run</t>
        </is>
      </c>
      <c r="L470" s="16" t="inlineStr">
        <is>
          <t>Medium</t>
        </is>
      </c>
      <c r="M470" s="16" t="inlineStr"/>
      <c r="N470" s="16" t="inlineStr"/>
      <c r="O470" s="16" t="inlineStr"/>
    </row>
    <row r="471" ht="72" customHeight="1">
      <c r="A471" s="16" t="inlineStr">
        <is>
          <t>TC-AM-0017</t>
        </is>
      </c>
      <c r="B471" s="16" t="inlineStr">
        <is>
          <t>Auth x Method Matrix</t>
        </is>
      </c>
      <c r="C471" s="16" t="inlineStr">
        <is>
          <t>Digest x GET</t>
        </is>
      </c>
      <c r="D471" s="16" t="inlineStr">
        <is>
          <t>Functional</t>
        </is>
      </c>
      <c r="E471" s="16" t="inlineStr">
        <is>
          <t>Digest authentication on GET</t>
        </is>
      </c>
      <c r="F471" s="16" t="inlineStr">
        <is>
          <t>Editor open.</t>
        </is>
      </c>
      <c r="G471" s="16" t="inlineStr">
        <is>
          <t>1. New GET request to a representative endpoint.
2. Auth type Digest; configure minimum credentials.
3. Send and inspect outgoing request.</t>
        </is>
      </c>
      <c r="H471" s="16" t="inlineStr">
        <is>
          <t>auth=Digest; method=GET</t>
        </is>
      </c>
      <c r="I471" s="16" t="inlineStr">
        <is>
          <t>401 challenge -&gt; retry with response hash -&gt; GET succeeds.</t>
        </is>
      </c>
      <c r="J471" s="16" t="inlineStr"/>
      <c r="K471" s="16" t="inlineStr">
        <is>
          <t>Not Run</t>
        </is>
      </c>
      <c r="L471" s="16" t="inlineStr">
        <is>
          <t>Medium</t>
        </is>
      </c>
      <c r="M471" s="16" t="inlineStr"/>
      <c r="N471" s="16" t="inlineStr"/>
      <c r="O471" s="16" t="inlineStr"/>
    </row>
    <row r="472" ht="72" customHeight="1">
      <c r="A472" s="16" t="inlineStr">
        <is>
          <t>TC-AM-0018</t>
        </is>
      </c>
      <c r="B472" s="16" t="inlineStr">
        <is>
          <t>Auth x Method Matrix</t>
        </is>
      </c>
      <c r="C472" s="16" t="inlineStr">
        <is>
          <t>Digest x POST</t>
        </is>
      </c>
      <c r="D472" s="16" t="inlineStr">
        <is>
          <t>Functional</t>
        </is>
      </c>
      <c r="E472" s="16" t="inlineStr">
        <is>
          <t>Digest authentication on POST</t>
        </is>
      </c>
      <c r="F472" s="16" t="inlineStr">
        <is>
          <t>Editor open.</t>
        </is>
      </c>
      <c r="G472" s="16" t="inlineStr">
        <is>
          <t>1. New POST request to a representative endpoint.
2. Auth type Digest; configure minimum credentials.
3. Send and inspect outgoing request.</t>
        </is>
      </c>
      <c r="H472" s="16" t="inlineStr">
        <is>
          <t>auth=Digest; method=POST</t>
        </is>
      </c>
      <c r="I472" s="16" t="inlineStr">
        <is>
          <t>401 challenge -&gt; retry with response hash -&gt; POST succeeds.</t>
        </is>
      </c>
      <c r="J472" s="16" t="inlineStr"/>
      <c r="K472" s="16" t="inlineStr">
        <is>
          <t>Not Run</t>
        </is>
      </c>
      <c r="L472" s="16" t="inlineStr">
        <is>
          <t>Medium</t>
        </is>
      </c>
      <c r="M472" s="16" t="inlineStr"/>
      <c r="N472" s="16" t="inlineStr"/>
      <c r="O472" s="16" t="inlineStr"/>
    </row>
    <row r="473" ht="72" customHeight="1">
      <c r="A473" s="16" t="inlineStr">
        <is>
          <t>TC-AM-0019</t>
        </is>
      </c>
      <c r="B473" s="16" t="inlineStr">
        <is>
          <t>Auth x Method Matrix</t>
        </is>
      </c>
      <c r="C473" s="16" t="inlineStr">
        <is>
          <t>Digest x PUT</t>
        </is>
      </c>
      <c r="D473" s="16" t="inlineStr">
        <is>
          <t>Functional</t>
        </is>
      </c>
      <c r="E473" s="16" t="inlineStr">
        <is>
          <t>Digest authentication on PUT</t>
        </is>
      </c>
      <c r="F473" s="16" t="inlineStr">
        <is>
          <t>Editor open.</t>
        </is>
      </c>
      <c r="G473" s="16" t="inlineStr">
        <is>
          <t>1. New PUT request to a representative endpoint.
2. Auth type Digest; configure minimum credentials.
3. Send and inspect outgoing request.</t>
        </is>
      </c>
      <c r="H473" s="16" t="inlineStr">
        <is>
          <t>auth=Digest; method=PUT</t>
        </is>
      </c>
      <c r="I473" s="16" t="inlineStr">
        <is>
          <t>401 challenge -&gt; retry with response hash -&gt; PUT succeeds.</t>
        </is>
      </c>
      <c r="J473" s="16" t="inlineStr"/>
      <c r="K473" s="16" t="inlineStr">
        <is>
          <t>Not Run</t>
        </is>
      </c>
      <c r="L473" s="16" t="inlineStr">
        <is>
          <t>Medium</t>
        </is>
      </c>
      <c r="M473" s="16" t="inlineStr"/>
      <c r="N473" s="16" t="inlineStr"/>
      <c r="O473" s="16" t="inlineStr"/>
    </row>
    <row r="474" ht="72" customHeight="1">
      <c r="A474" s="16" t="inlineStr">
        <is>
          <t>TC-AM-0020</t>
        </is>
      </c>
      <c r="B474" s="16" t="inlineStr">
        <is>
          <t>Auth x Method Matrix</t>
        </is>
      </c>
      <c r="C474" s="16" t="inlineStr">
        <is>
          <t>Digest x DELETE</t>
        </is>
      </c>
      <c r="D474" s="16" t="inlineStr">
        <is>
          <t>Functional</t>
        </is>
      </c>
      <c r="E474" s="16" t="inlineStr">
        <is>
          <t>Digest authentication on DELETE</t>
        </is>
      </c>
      <c r="F474" s="16" t="inlineStr">
        <is>
          <t>Editor open.</t>
        </is>
      </c>
      <c r="G474" s="16" t="inlineStr">
        <is>
          <t>1. New DELETE request to a representative endpoint.
2. Auth type Digest; configure minimum credentials.
3. Send and inspect outgoing request.</t>
        </is>
      </c>
      <c r="H474" s="16" t="inlineStr">
        <is>
          <t>auth=Digest; method=DELETE</t>
        </is>
      </c>
      <c r="I474" s="16" t="inlineStr">
        <is>
          <t>401 challenge -&gt; retry with response hash -&gt; DELETE succeeds.</t>
        </is>
      </c>
      <c r="J474" s="16" t="inlineStr"/>
      <c r="K474" s="16" t="inlineStr">
        <is>
          <t>Not Run</t>
        </is>
      </c>
      <c r="L474" s="16" t="inlineStr">
        <is>
          <t>Medium</t>
        </is>
      </c>
      <c r="M474" s="16" t="inlineStr"/>
      <c r="N474" s="16" t="inlineStr"/>
      <c r="O474" s="16" t="inlineStr"/>
    </row>
    <row r="475" ht="72" customHeight="1">
      <c r="A475" s="16" t="inlineStr">
        <is>
          <t>TC-AM-0021</t>
        </is>
      </c>
      <c r="B475" s="16" t="inlineStr">
        <is>
          <t>Auth x Method Matrix</t>
        </is>
      </c>
      <c r="C475" s="16" t="inlineStr">
        <is>
          <t>NTLM x GET</t>
        </is>
      </c>
      <c r="D475" s="16" t="inlineStr">
        <is>
          <t>Functional</t>
        </is>
      </c>
      <c r="E475" s="16" t="inlineStr">
        <is>
          <t>NTLM authentication on GET</t>
        </is>
      </c>
      <c r="F475" s="16" t="inlineStr">
        <is>
          <t>Editor open.</t>
        </is>
      </c>
      <c r="G475" s="16" t="inlineStr">
        <is>
          <t>1. New GET request to a representative endpoint.
2. Auth type NTLM; configure minimum credentials.
3. Send and inspect outgoing request.</t>
        </is>
      </c>
      <c r="H475" s="16" t="inlineStr">
        <is>
          <t>auth=NTLM; method=GET</t>
        </is>
      </c>
      <c r="I475" s="16" t="inlineStr">
        <is>
          <t>NTLM 3-way handshake completes; GET request authenticated; if the request body would be sent before authentication is complete, client handles re-send correctly.</t>
        </is>
      </c>
      <c r="J475" s="16" t="inlineStr"/>
      <c r="K475" s="16" t="inlineStr">
        <is>
          <t>Not Run</t>
        </is>
      </c>
      <c r="L475" s="16" t="inlineStr">
        <is>
          <t>Medium</t>
        </is>
      </c>
      <c r="M475" s="16" t="inlineStr"/>
      <c r="N475" s="16" t="inlineStr"/>
      <c r="O475" s="16" t="inlineStr"/>
    </row>
    <row r="476" ht="72" customHeight="1">
      <c r="A476" s="16" t="inlineStr">
        <is>
          <t>TC-AM-0022</t>
        </is>
      </c>
      <c r="B476" s="16" t="inlineStr">
        <is>
          <t>Auth x Method Matrix</t>
        </is>
      </c>
      <c r="C476" s="16" t="inlineStr">
        <is>
          <t>NTLM x POST</t>
        </is>
      </c>
      <c r="D476" s="16" t="inlineStr">
        <is>
          <t>Functional</t>
        </is>
      </c>
      <c r="E476" s="16" t="inlineStr">
        <is>
          <t>NTLM authentication on POST</t>
        </is>
      </c>
      <c r="F476" s="16" t="inlineStr">
        <is>
          <t>Editor open.</t>
        </is>
      </c>
      <c r="G476" s="16" t="inlineStr">
        <is>
          <t>1. New POST request to a representative endpoint.
2. Auth type NTLM; configure minimum credentials.
3. Send and inspect outgoing request.</t>
        </is>
      </c>
      <c r="H476" s="16" t="inlineStr">
        <is>
          <t>auth=NTLM; method=POST</t>
        </is>
      </c>
      <c r="I476" s="16" t="inlineStr">
        <is>
          <t>NTLM 3-way handshake completes; POST request authenticated; if the request body would be sent before authentication is complete, client handles re-send correctly.</t>
        </is>
      </c>
      <c r="J476" s="16" t="inlineStr"/>
      <c r="K476" s="16" t="inlineStr">
        <is>
          <t>Not Run</t>
        </is>
      </c>
      <c r="L476" s="16" t="inlineStr">
        <is>
          <t>Medium</t>
        </is>
      </c>
      <c r="M476" s="16" t="inlineStr"/>
      <c r="N476" s="16" t="inlineStr"/>
      <c r="O476" s="16" t="inlineStr"/>
    </row>
    <row r="477" ht="72" customHeight="1">
      <c r="A477" s="16" t="inlineStr">
        <is>
          <t>TC-AM-0023</t>
        </is>
      </c>
      <c r="B477" s="16" t="inlineStr">
        <is>
          <t>Auth x Method Matrix</t>
        </is>
      </c>
      <c r="C477" s="16" t="inlineStr">
        <is>
          <t>NTLM x PUT</t>
        </is>
      </c>
      <c r="D477" s="16" t="inlineStr">
        <is>
          <t>Edge Case</t>
        </is>
      </c>
      <c r="E477" s="16" t="inlineStr">
        <is>
          <t>NTLM authentication on PUT</t>
        </is>
      </c>
      <c r="F477" s="16" t="inlineStr">
        <is>
          <t>Editor open.</t>
        </is>
      </c>
      <c r="G477" s="16" t="inlineStr">
        <is>
          <t>1. New PUT request to a representative endpoint.
2. Auth type NTLM; configure minimum credentials.
3. Send and inspect outgoing request.</t>
        </is>
      </c>
      <c r="H477" s="16" t="inlineStr">
        <is>
          <t>auth=NTLM; method=PUT</t>
        </is>
      </c>
      <c r="I477" s="16" t="inlineStr">
        <is>
          <t>NTLM 3-way handshake completes; PUT request authenticated; if the request body would be sent before authentication is complete, client handles re-send correctly.</t>
        </is>
      </c>
      <c r="J477" s="16" t="inlineStr"/>
      <c r="K477" s="16" t="inlineStr">
        <is>
          <t>Not Run</t>
        </is>
      </c>
      <c r="L477" s="16" t="inlineStr">
        <is>
          <t>Medium</t>
        </is>
      </c>
      <c r="M477" s="16" t="inlineStr"/>
      <c r="N477" s="16" t="inlineStr"/>
      <c r="O477" s="16" t="inlineStr"/>
    </row>
    <row r="478" ht="72" customHeight="1">
      <c r="A478" s="16" t="inlineStr">
        <is>
          <t>TC-AM-0024</t>
        </is>
      </c>
      <c r="B478" s="16" t="inlineStr">
        <is>
          <t>Auth x Method Matrix</t>
        </is>
      </c>
      <c r="C478" s="16" t="inlineStr">
        <is>
          <t>NTLM x DELETE</t>
        </is>
      </c>
      <c r="D478" s="16" t="inlineStr">
        <is>
          <t>Edge Case</t>
        </is>
      </c>
      <c r="E478" s="16" t="inlineStr">
        <is>
          <t>NTLM authentication on DELETE</t>
        </is>
      </c>
      <c r="F478" s="16" t="inlineStr">
        <is>
          <t>Editor open.</t>
        </is>
      </c>
      <c r="G478" s="16" t="inlineStr">
        <is>
          <t>1. New DELETE request to a representative endpoint.
2. Auth type NTLM; configure minimum credentials.
3. Send and inspect outgoing request.</t>
        </is>
      </c>
      <c r="H478" s="16" t="inlineStr">
        <is>
          <t>auth=NTLM; method=DELETE</t>
        </is>
      </c>
      <c r="I478" s="16" t="inlineStr">
        <is>
          <t>NTLM 3-way handshake completes; DELETE request authenticated; if the request body would be sent before authentication is complete, client handles re-send correctly.</t>
        </is>
      </c>
      <c r="J478" s="16" t="inlineStr"/>
      <c r="K478" s="16" t="inlineStr">
        <is>
          <t>Not Run</t>
        </is>
      </c>
      <c r="L478" s="16" t="inlineStr">
        <is>
          <t>Medium</t>
        </is>
      </c>
      <c r="M478" s="16" t="inlineStr"/>
      <c r="N478" s="16" t="inlineStr"/>
      <c r="O478" s="16" t="inlineStr"/>
    </row>
    <row r="479" ht="72" customHeight="1">
      <c r="A479" s="16" t="inlineStr">
        <is>
          <t>TC-AM-0025</t>
        </is>
      </c>
      <c r="B479" s="16" t="inlineStr">
        <is>
          <t>Auth x Method Matrix</t>
        </is>
      </c>
      <c r="C479" s="16" t="inlineStr">
        <is>
          <t>Hawk x GET</t>
        </is>
      </c>
      <c r="D479" s="16" t="inlineStr">
        <is>
          <t>Functional</t>
        </is>
      </c>
      <c r="E479" s="16" t="inlineStr">
        <is>
          <t>Hawk authentication on GET</t>
        </is>
      </c>
      <c r="F479" s="16" t="inlineStr">
        <is>
          <t>Editor open.</t>
        </is>
      </c>
      <c r="G479" s="16" t="inlineStr">
        <is>
          <t>1. New GET request to a representative endpoint.
2. Auth type Hawk; configure minimum credentials.
3. Send and inspect outgoing request.</t>
        </is>
      </c>
      <c r="H479" s="16" t="inlineStr">
        <is>
          <t>auth=Hawk; method=GET</t>
        </is>
      </c>
      <c r="I479" s="16" t="inlineStr">
        <is>
          <t>Hawk MAC computed including method, URL, and body (POST/PUT) or empty payload (GET/DELETE); server verifies.</t>
        </is>
      </c>
      <c r="J479" s="16" t="inlineStr"/>
      <c r="K479" s="16" t="inlineStr">
        <is>
          <t>Not Run</t>
        </is>
      </c>
      <c r="L479" s="16" t="inlineStr">
        <is>
          <t>Low</t>
        </is>
      </c>
      <c r="M479" s="16" t="inlineStr"/>
      <c r="N479" s="16" t="inlineStr"/>
      <c r="O479" s="16" t="inlineStr"/>
    </row>
    <row r="480" ht="72" customHeight="1">
      <c r="A480" s="16" t="inlineStr">
        <is>
          <t>TC-AM-0026</t>
        </is>
      </c>
      <c r="B480" s="16" t="inlineStr">
        <is>
          <t>Auth x Method Matrix</t>
        </is>
      </c>
      <c r="C480" s="16" t="inlineStr">
        <is>
          <t>Hawk x POST</t>
        </is>
      </c>
      <c r="D480" s="16" t="inlineStr">
        <is>
          <t>Functional</t>
        </is>
      </c>
      <c r="E480" s="16" t="inlineStr">
        <is>
          <t>Hawk authentication on POST</t>
        </is>
      </c>
      <c r="F480" s="16" t="inlineStr">
        <is>
          <t>Editor open.</t>
        </is>
      </c>
      <c r="G480" s="16" t="inlineStr">
        <is>
          <t>1. New POST request to a representative endpoint.
2. Auth type Hawk; configure minimum credentials.
3. Send and inspect outgoing request.</t>
        </is>
      </c>
      <c r="H480" s="16" t="inlineStr">
        <is>
          <t>auth=Hawk; method=POST</t>
        </is>
      </c>
      <c r="I480" s="16" t="inlineStr">
        <is>
          <t>Hawk MAC computed including method, URL, and body (POST/PUT) or empty payload (GET/DELETE); server verifies.</t>
        </is>
      </c>
      <c r="J480" s="16" t="inlineStr"/>
      <c r="K480" s="16" t="inlineStr">
        <is>
          <t>Not Run</t>
        </is>
      </c>
      <c r="L480" s="16" t="inlineStr">
        <is>
          <t>Low</t>
        </is>
      </c>
      <c r="M480" s="16" t="inlineStr"/>
      <c r="N480" s="16" t="inlineStr"/>
      <c r="O480" s="16" t="inlineStr"/>
    </row>
    <row r="481" ht="72" customHeight="1">
      <c r="A481" s="16" t="inlineStr">
        <is>
          <t>TC-AM-0027</t>
        </is>
      </c>
      <c r="B481" s="16" t="inlineStr">
        <is>
          <t>Auth x Method Matrix</t>
        </is>
      </c>
      <c r="C481" s="16" t="inlineStr">
        <is>
          <t>Hawk x PUT</t>
        </is>
      </c>
      <c r="D481" s="16" t="inlineStr">
        <is>
          <t>Functional</t>
        </is>
      </c>
      <c r="E481" s="16" t="inlineStr">
        <is>
          <t>Hawk authentication on PUT</t>
        </is>
      </c>
      <c r="F481" s="16" t="inlineStr">
        <is>
          <t>Editor open.</t>
        </is>
      </c>
      <c r="G481" s="16" t="inlineStr">
        <is>
          <t>1. New PUT request to a representative endpoint.
2. Auth type Hawk; configure minimum credentials.
3. Send and inspect outgoing request.</t>
        </is>
      </c>
      <c r="H481" s="16" t="inlineStr">
        <is>
          <t>auth=Hawk; method=PUT</t>
        </is>
      </c>
      <c r="I481" s="16" t="inlineStr">
        <is>
          <t>Hawk MAC computed including method, URL, and body (POST/PUT) or empty payload (GET/DELETE); server verifies.</t>
        </is>
      </c>
      <c r="J481" s="16" t="inlineStr"/>
      <c r="K481" s="16" t="inlineStr">
        <is>
          <t>Not Run</t>
        </is>
      </c>
      <c r="L481" s="16" t="inlineStr">
        <is>
          <t>Low</t>
        </is>
      </c>
      <c r="M481" s="16" t="inlineStr"/>
      <c r="N481" s="16" t="inlineStr"/>
      <c r="O481" s="16" t="inlineStr"/>
    </row>
    <row r="482" ht="72" customHeight="1">
      <c r="A482" s="16" t="inlineStr">
        <is>
          <t>TC-AM-0028</t>
        </is>
      </c>
      <c r="B482" s="16" t="inlineStr">
        <is>
          <t>Auth x Method Matrix</t>
        </is>
      </c>
      <c r="C482" s="16" t="inlineStr">
        <is>
          <t>Hawk x DELETE</t>
        </is>
      </c>
      <c r="D482" s="16" t="inlineStr">
        <is>
          <t>Functional</t>
        </is>
      </c>
      <c r="E482" s="16" t="inlineStr">
        <is>
          <t>Hawk authentication on DELETE</t>
        </is>
      </c>
      <c r="F482" s="16" t="inlineStr">
        <is>
          <t>Editor open.</t>
        </is>
      </c>
      <c r="G482" s="16" t="inlineStr">
        <is>
          <t>1. New DELETE request to a representative endpoint.
2. Auth type Hawk; configure minimum credentials.
3. Send and inspect outgoing request.</t>
        </is>
      </c>
      <c r="H482" s="16" t="inlineStr">
        <is>
          <t>auth=Hawk; method=DELETE</t>
        </is>
      </c>
      <c r="I482" s="16" t="inlineStr">
        <is>
          <t>Hawk MAC computed including method, URL, and body (POST/PUT) or empty payload (GET/DELETE); server verifies.</t>
        </is>
      </c>
      <c r="J482" s="16" t="inlineStr"/>
      <c r="K482" s="16" t="inlineStr">
        <is>
          <t>Not Run</t>
        </is>
      </c>
      <c r="L482" s="16" t="inlineStr">
        <is>
          <t>Low</t>
        </is>
      </c>
      <c r="M482" s="16" t="inlineStr"/>
      <c r="N482" s="16" t="inlineStr"/>
      <c r="O482" s="16" t="inlineStr"/>
    </row>
    <row r="483" ht="72" customHeight="1">
      <c r="A483" s="16" t="inlineStr">
        <is>
          <t>TC-AM-0029</t>
        </is>
      </c>
      <c r="B483" s="16" t="inlineStr">
        <is>
          <t>Auth x Method Matrix</t>
        </is>
      </c>
      <c r="C483" s="16" t="inlineStr">
        <is>
          <t>AwsSigV4 x GET</t>
        </is>
      </c>
      <c r="D483" s="16" t="inlineStr">
        <is>
          <t>Functional</t>
        </is>
      </c>
      <c r="E483" s="16" t="inlineStr">
        <is>
          <t>AwsSigV4 authentication on GET</t>
        </is>
      </c>
      <c r="F483" s="16" t="inlineStr">
        <is>
          <t>Editor open.</t>
        </is>
      </c>
      <c r="G483" s="16" t="inlineStr">
        <is>
          <t>1. New GET request to a representative endpoint.
2. Auth type AwsSigV4; configure minimum credentials.
3. Send and inspect outgoing request.</t>
        </is>
      </c>
      <c r="H483" s="16" t="inlineStr">
        <is>
          <t>auth=AwsSigV4; method=GET</t>
        </is>
      </c>
      <c r="I483" s="16" t="inlineStr">
        <is>
          <t>Auth applied to GET correctly.</t>
        </is>
      </c>
      <c r="J483" s="16" t="inlineStr"/>
      <c r="K483" s="16" t="inlineStr">
        <is>
          <t>Not Run</t>
        </is>
      </c>
      <c r="L483" s="16" t="inlineStr">
        <is>
          <t>High</t>
        </is>
      </c>
      <c r="M483" s="16" t="inlineStr"/>
      <c r="N483" s="16" t="inlineStr"/>
      <c r="O483" s="16" t="inlineStr"/>
    </row>
    <row r="484" ht="72" customHeight="1">
      <c r="A484" s="16" t="inlineStr">
        <is>
          <t>TC-AM-0030</t>
        </is>
      </c>
      <c r="B484" s="16" t="inlineStr">
        <is>
          <t>Auth x Method Matrix</t>
        </is>
      </c>
      <c r="C484" s="16" t="inlineStr">
        <is>
          <t>AwsSigV4 x POST</t>
        </is>
      </c>
      <c r="D484" s="16" t="inlineStr">
        <is>
          <t>Functional</t>
        </is>
      </c>
      <c r="E484" s="16" t="inlineStr">
        <is>
          <t>AwsSigV4 authentication on POST</t>
        </is>
      </c>
      <c r="F484" s="16" t="inlineStr">
        <is>
          <t>Editor open.</t>
        </is>
      </c>
      <c r="G484" s="16" t="inlineStr">
        <is>
          <t>1. New POST request to a representative endpoint.
2. Auth type AwsSigV4; configure minimum credentials.
3. Send and inspect outgoing request.</t>
        </is>
      </c>
      <c r="H484" s="16" t="inlineStr">
        <is>
          <t>auth=AwsSigV4; method=POST</t>
        </is>
      </c>
      <c r="I484" s="16" t="inlineStr">
        <is>
          <t>AWS SigV4 signs the body: x-amz-content-sha256 reflects SHA256(payload); signature verifies; server returns expected status.</t>
        </is>
      </c>
      <c r="J484" s="16" t="inlineStr"/>
      <c r="K484" s="16" t="inlineStr">
        <is>
          <t>Not Run</t>
        </is>
      </c>
      <c r="L484" s="16" t="inlineStr">
        <is>
          <t>High</t>
        </is>
      </c>
      <c r="M484" s="16" t="inlineStr"/>
      <c r="N484" s="16" t="inlineStr"/>
      <c r="O484" s="16" t="inlineStr"/>
    </row>
    <row r="485" ht="72" customHeight="1">
      <c r="A485" s="16" t="inlineStr">
        <is>
          <t>TC-AM-0031</t>
        </is>
      </c>
      <c r="B485" s="16" t="inlineStr">
        <is>
          <t>Auth x Method Matrix</t>
        </is>
      </c>
      <c r="C485" s="16" t="inlineStr">
        <is>
          <t>AwsSigV4 x PUT</t>
        </is>
      </c>
      <c r="D485" s="16" t="inlineStr">
        <is>
          <t>Functional</t>
        </is>
      </c>
      <c r="E485" s="16" t="inlineStr">
        <is>
          <t>AwsSigV4 authentication on PUT</t>
        </is>
      </c>
      <c r="F485" s="16" t="inlineStr">
        <is>
          <t>Editor open.</t>
        </is>
      </c>
      <c r="G485" s="16" t="inlineStr">
        <is>
          <t>1. New PUT request to a representative endpoint.
2. Auth type AwsSigV4; configure minimum credentials.
3. Send and inspect outgoing request.</t>
        </is>
      </c>
      <c r="H485" s="16" t="inlineStr">
        <is>
          <t>auth=AwsSigV4; method=PUT</t>
        </is>
      </c>
      <c r="I485" s="16" t="inlineStr">
        <is>
          <t>AWS SigV4 signs the body: x-amz-content-sha256 reflects SHA256(payload); signature verifies; server returns expected status.</t>
        </is>
      </c>
      <c r="J485" s="16" t="inlineStr"/>
      <c r="K485" s="16" t="inlineStr">
        <is>
          <t>Not Run</t>
        </is>
      </c>
      <c r="L485" s="16" t="inlineStr">
        <is>
          <t>High</t>
        </is>
      </c>
      <c r="M485" s="16" t="inlineStr"/>
      <c r="N485" s="16" t="inlineStr"/>
      <c r="O485" s="16" t="inlineStr"/>
    </row>
    <row r="486" ht="72" customHeight="1">
      <c r="A486" s="16" t="inlineStr">
        <is>
          <t>TC-AM-0032</t>
        </is>
      </c>
      <c r="B486" s="16" t="inlineStr">
        <is>
          <t>Auth x Method Matrix</t>
        </is>
      </c>
      <c r="C486" s="16" t="inlineStr">
        <is>
          <t>AwsSigV4 x DELETE</t>
        </is>
      </c>
      <c r="D486" s="16" t="inlineStr">
        <is>
          <t>Functional</t>
        </is>
      </c>
      <c r="E486" s="16" t="inlineStr">
        <is>
          <t>AwsSigV4 authentication on DELETE</t>
        </is>
      </c>
      <c r="F486" s="16" t="inlineStr">
        <is>
          <t>Editor open.</t>
        </is>
      </c>
      <c r="G486" s="16" t="inlineStr">
        <is>
          <t>1. New DELETE request to a representative endpoint.
2. Auth type AwsSigV4; configure minimum credentials.
3. Send and inspect outgoing request.</t>
        </is>
      </c>
      <c r="H486" s="16" t="inlineStr">
        <is>
          <t>auth=AwsSigV4; method=DELETE</t>
        </is>
      </c>
      <c r="I486" s="16" t="inlineStr">
        <is>
          <t>Auth applied to DELETE correctly.</t>
        </is>
      </c>
      <c r="J486" s="16" t="inlineStr"/>
      <c r="K486" s="16" t="inlineStr">
        <is>
          <t>Not Run</t>
        </is>
      </c>
      <c r="L486" s="16" t="inlineStr">
        <is>
          <t>High</t>
        </is>
      </c>
      <c r="M486" s="16" t="inlineStr"/>
      <c r="N486" s="16" t="inlineStr"/>
      <c r="O486" s="16" t="inlineStr"/>
    </row>
    <row r="487" ht="72" customHeight="1">
      <c r="A487" s="16" t="inlineStr">
        <is>
          <t>TC-AM-0033</t>
        </is>
      </c>
      <c r="B487" s="16" t="inlineStr">
        <is>
          <t>Auth x Method Matrix</t>
        </is>
      </c>
      <c r="C487" s="16" t="inlineStr">
        <is>
          <t>JwtHS256 x GET</t>
        </is>
      </c>
      <c r="D487" s="16" t="inlineStr">
        <is>
          <t>Functional</t>
        </is>
      </c>
      <c r="E487" s="16" t="inlineStr">
        <is>
          <t>JwtHS256 authentication on GET</t>
        </is>
      </c>
      <c r="F487" s="16" t="inlineStr">
        <is>
          <t>Editor open.</t>
        </is>
      </c>
      <c r="G487" s="16" t="inlineStr">
        <is>
          <t>1. New GET request to a representative endpoint.
2. Auth type JwtHS256; configure minimum credentials.
3. Send and inspect outgoing request.</t>
        </is>
      </c>
      <c r="H487" s="16" t="inlineStr">
        <is>
          <t>auth=JwtHS256; method=GET</t>
        </is>
      </c>
      <c r="I487" s="16" t="inlineStr">
        <is>
          <t>JWT signed and attached as Bearer; GET succeeds.</t>
        </is>
      </c>
      <c r="J487" s="16" t="inlineStr"/>
      <c r="K487" s="16" t="inlineStr">
        <is>
          <t>Not Run</t>
        </is>
      </c>
      <c r="L487" s="16" t="inlineStr">
        <is>
          <t>Medium</t>
        </is>
      </c>
      <c r="M487" s="16" t="inlineStr"/>
      <c r="N487" s="16" t="inlineStr"/>
      <c r="O487" s="16" t="inlineStr"/>
    </row>
    <row r="488" ht="72" customHeight="1">
      <c r="A488" s="16" t="inlineStr">
        <is>
          <t>TC-AM-0034</t>
        </is>
      </c>
      <c r="B488" s="16" t="inlineStr">
        <is>
          <t>Auth x Method Matrix</t>
        </is>
      </c>
      <c r="C488" s="16" t="inlineStr">
        <is>
          <t>JwtHS256 x POST</t>
        </is>
      </c>
      <c r="D488" s="16" t="inlineStr">
        <is>
          <t>Functional</t>
        </is>
      </c>
      <c r="E488" s="16" t="inlineStr">
        <is>
          <t>JwtHS256 authentication on POST</t>
        </is>
      </c>
      <c r="F488" s="16" t="inlineStr">
        <is>
          <t>Editor open.</t>
        </is>
      </c>
      <c r="G488" s="16" t="inlineStr">
        <is>
          <t>1. New POST request to a representative endpoint.
2. Auth type JwtHS256; configure minimum credentials.
3. Send and inspect outgoing request.</t>
        </is>
      </c>
      <c r="H488" s="16" t="inlineStr">
        <is>
          <t>auth=JwtHS256; method=POST</t>
        </is>
      </c>
      <c r="I488" s="16" t="inlineStr">
        <is>
          <t>JWT signed and attached as Bearer; POST succeeds.</t>
        </is>
      </c>
      <c r="J488" s="16" t="inlineStr"/>
      <c r="K488" s="16" t="inlineStr">
        <is>
          <t>Not Run</t>
        </is>
      </c>
      <c r="L488" s="16" t="inlineStr">
        <is>
          <t>Medium</t>
        </is>
      </c>
      <c r="M488" s="16" t="inlineStr"/>
      <c r="N488" s="16" t="inlineStr"/>
      <c r="O488" s="16" t="inlineStr"/>
    </row>
    <row r="489" ht="72" customHeight="1">
      <c r="A489" s="16" t="inlineStr">
        <is>
          <t>TC-AM-0035</t>
        </is>
      </c>
      <c r="B489" s="16" t="inlineStr">
        <is>
          <t>Auth x Method Matrix</t>
        </is>
      </c>
      <c r="C489" s="16" t="inlineStr">
        <is>
          <t>JwtHS256 x PUT</t>
        </is>
      </c>
      <c r="D489" s="16" t="inlineStr">
        <is>
          <t>Functional</t>
        </is>
      </c>
      <c r="E489" s="16" t="inlineStr">
        <is>
          <t>JwtHS256 authentication on PUT</t>
        </is>
      </c>
      <c r="F489" s="16" t="inlineStr">
        <is>
          <t>Editor open.</t>
        </is>
      </c>
      <c r="G489" s="16" t="inlineStr">
        <is>
          <t>1. New PUT request to a representative endpoint.
2. Auth type JwtHS256; configure minimum credentials.
3. Send and inspect outgoing request.</t>
        </is>
      </c>
      <c r="H489" s="16" t="inlineStr">
        <is>
          <t>auth=JwtHS256; method=PUT</t>
        </is>
      </c>
      <c r="I489" s="16" t="inlineStr">
        <is>
          <t>JWT signed and attached as Bearer; PUT succeeds.</t>
        </is>
      </c>
      <c r="J489" s="16" t="inlineStr"/>
      <c r="K489" s="16" t="inlineStr">
        <is>
          <t>Not Run</t>
        </is>
      </c>
      <c r="L489" s="16" t="inlineStr">
        <is>
          <t>Medium</t>
        </is>
      </c>
      <c r="M489" s="16" t="inlineStr"/>
      <c r="N489" s="16" t="inlineStr"/>
      <c r="O489" s="16" t="inlineStr"/>
    </row>
    <row r="490" ht="72" customHeight="1">
      <c r="A490" s="16" t="inlineStr">
        <is>
          <t>TC-AM-0036</t>
        </is>
      </c>
      <c r="B490" s="16" t="inlineStr">
        <is>
          <t>Auth x Method Matrix</t>
        </is>
      </c>
      <c r="C490" s="16" t="inlineStr">
        <is>
          <t>JwtHS256 x DELETE</t>
        </is>
      </c>
      <c r="D490" s="16" t="inlineStr">
        <is>
          <t>Functional</t>
        </is>
      </c>
      <c r="E490" s="16" t="inlineStr">
        <is>
          <t>JwtHS256 authentication on DELETE</t>
        </is>
      </c>
      <c r="F490" s="16" t="inlineStr">
        <is>
          <t>Editor open.</t>
        </is>
      </c>
      <c r="G490" s="16" t="inlineStr">
        <is>
          <t>1. New DELETE request to a representative endpoint.
2. Auth type JwtHS256; configure minimum credentials.
3. Send and inspect outgoing request.</t>
        </is>
      </c>
      <c r="H490" s="16" t="inlineStr">
        <is>
          <t>auth=JwtHS256; method=DELETE</t>
        </is>
      </c>
      <c r="I490" s="16" t="inlineStr">
        <is>
          <t>JWT signed and attached as Bearer; DELETE succeeds.</t>
        </is>
      </c>
      <c r="J490" s="16" t="inlineStr"/>
      <c r="K490" s="16" t="inlineStr">
        <is>
          <t>Not Run</t>
        </is>
      </c>
      <c r="L490" s="16" t="inlineStr">
        <is>
          <t>Medium</t>
        </is>
      </c>
      <c r="M490" s="16" t="inlineStr"/>
      <c r="N490" s="16" t="inlineStr"/>
      <c r="O490" s="16" t="inlineStr"/>
    </row>
    <row r="491" ht="72" customHeight="1">
      <c r="A491" s="16" t="inlineStr">
        <is>
          <t>TC-AM-0037</t>
        </is>
      </c>
      <c r="B491" s="16" t="inlineStr">
        <is>
          <t>Auth x Method Matrix</t>
        </is>
      </c>
      <c r="C491" s="16" t="inlineStr">
        <is>
          <t>JwtRS256 x GET</t>
        </is>
      </c>
      <c r="D491" s="16" t="inlineStr">
        <is>
          <t>Functional</t>
        </is>
      </c>
      <c r="E491" s="16" t="inlineStr">
        <is>
          <t>JwtRS256 authentication on GET</t>
        </is>
      </c>
      <c r="F491" s="16" t="inlineStr">
        <is>
          <t>Editor open.</t>
        </is>
      </c>
      <c r="G491" s="16" t="inlineStr">
        <is>
          <t>1. New GET request to a representative endpoint.
2. Auth type JwtRS256; configure minimum credentials.
3. Send and inspect outgoing request.</t>
        </is>
      </c>
      <c r="H491" s="16" t="inlineStr">
        <is>
          <t>auth=JwtRS256; method=GET</t>
        </is>
      </c>
      <c r="I491" s="16" t="inlineStr">
        <is>
          <t>JWT signed and attached as Bearer; GET succeeds.</t>
        </is>
      </c>
      <c r="J491" s="16" t="inlineStr"/>
      <c r="K491" s="16" t="inlineStr">
        <is>
          <t>Not Run</t>
        </is>
      </c>
      <c r="L491" s="16" t="inlineStr">
        <is>
          <t>Medium</t>
        </is>
      </c>
      <c r="M491" s="16" t="inlineStr"/>
      <c r="N491" s="16" t="inlineStr"/>
      <c r="O491" s="16" t="inlineStr"/>
    </row>
    <row r="492" ht="72" customHeight="1">
      <c r="A492" s="16" t="inlineStr">
        <is>
          <t>TC-AM-0038</t>
        </is>
      </c>
      <c r="B492" s="16" t="inlineStr">
        <is>
          <t>Auth x Method Matrix</t>
        </is>
      </c>
      <c r="C492" s="16" t="inlineStr">
        <is>
          <t>JwtRS256 x POST</t>
        </is>
      </c>
      <c r="D492" s="16" t="inlineStr">
        <is>
          <t>Functional</t>
        </is>
      </c>
      <c r="E492" s="16" t="inlineStr">
        <is>
          <t>JwtRS256 authentication on POST</t>
        </is>
      </c>
      <c r="F492" s="16" t="inlineStr">
        <is>
          <t>Editor open.</t>
        </is>
      </c>
      <c r="G492" s="16" t="inlineStr">
        <is>
          <t>1. New POST request to a representative endpoint.
2. Auth type JwtRS256; configure minimum credentials.
3. Send and inspect outgoing request.</t>
        </is>
      </c>
      <c r="H492" s="16" t="inlineStr">
        <is>
          <t>auth=JwtRS256; method=POST</t>
        </is>
      </c>
      <c r="I492" s="16" t="inlineStr">
        <is>
          <t>JWT signed and attached as Bearer; POST succeeds.</t>
        </is>
      </c>
      <c r="J492" s="16" t="inlineStr"/>
      <c r="K492" s="16" t="inlineStr">
        <is>
          <t>Not Run</t>
        </is>
      </c>
      <c r="L492" s="16" t="inlineStr">
        <is>
          <t>Medium</t>
        </is>
      </c>
      <c r="M492" s="16" t="inlineStr"/>
      <c r="N492" s="16" t="inlineStr"/>
      <c r="O492" s="16" t="inlineStr"/>
    </row>
    <row r="493" ht="72" customHeight="1">
      <c r="A493" s="16" t="inlineStr">
        <is>
          <t>TC-AM-0039</t>
        </is>
      </c>
      <c r="B493" s="16" t="inlineStr">
        <is>
          <t>Auth x Method Matrix</t>
        </is>
      </c>
      <c r="C493" s="16" t="inlineStr">
        <is>
          <t>JwtRS256 x PUT</t>
        </is>
      </c>
      <c r="D493" s="16" t="inlineStr">
        <is>
          <t>Functional</t>
        </is>
      </c>
      <c r="E493" s="16" t="inlineStr">
        <is>
          <t>JwtRS256 authentication on PUT</t>
        </is>
      </c>
      <c r="F493" s="16" t="inlineStr">
        <is>
          <t>Editor open.</t>
        </is>
      </c>
      <c r="G493" s="16" t="inlineStr">
        <is>
          <t>1. New PUT request to a representative endpoint.
2. Auth type JwtRS256; configure minimum credentials.
3. Send and inspect outgoing request.</t>
        </is>
      </c>
      <c r="H493" s="16" t="inlineStr">
        <is>
          <t>auth=JwtRS256; method=PUT</t>
        </is>
      </c>
      <c r="I493" s="16" t="inlineStr">
        <is>
          <t>JWT signed and attached as Bearer; PUT succeeds.</t>
        </is>
      </c>
      <c r="J493" s="16" t="inlineStr"/>
      <c r="K493" s="16" t="inlineStr">
        <is>
          <t>Not Run</t>
        </is>
      </c>
      <c r="L493" s="16" t="inlineStr">
        <is>
          <t>Medium</t>
        </is>
      </c>
      <c r="M493" s="16" t="inlineStr"/>
      <c r="N493" s="16" t="inlineStr"/>
      <c r="O493" s="16" t="inlineStr"/>
    </row>
    <row r="494" ht="72" customHeight="1">
      <c r="A494" s="16" t="inlineStr">
        <is>
          <t>TC-AM-0040</t>
        </is>
      </c>
      <c r="B494" s="16" t="inlineStr">
        <is>
          <t>Auth x Method Matrix</t>
        </is>
      </c>
      <c r="C494" s="16" t="inlineStr">
        <is>
          <t>JwtRS256 x DELETE</t>
        </is>
      </c>
      <c r="D494" s="16" t="inlineStr">
        <is>
          <t>Functional</t>
        </is>
      </c>
      <c r="E494" s="16" t="inlineStr">
        <is>
          <t>JwtRS256 authentication on DELETE</t>
        </is>
      </c>
      <c r="F494" s="16" t="inlineStr">
        <is>
          <t>Editor open.</t>
        </is>
      </c>
      <c r="G494" s="16" t="inlineStr">
        <is>
          <t>1. New DELETE request to a representative endpoint.
2. Auth type JwtRS256; configure minimum credentials.
3. Send and inspect outgoing request.</t>
        </is>
      </c>
      <c r="H494" s="16" t="inlineStr">
        <is>
          <t>auth=JwtRS256; method=DELETE</t>
        </is>
      </c>
      <c r="I494" s="16" t="inlineStr">
        <is>
          <t>JWT signed and attached as Bearer; DELETE succeeds.</t>
        </is>
      </c>
      <c r="J494" s="16" t="inlineStr"/>
      <c r="K494" s="16" t="inlineStr">
        <is>
          <t>Not Run</t>
        </is>
      </c>
      <c r="L494" s="16" t="inlineStr">
        <is>
          <t>Medium</t>
        </is>
      </c>
      <c r="M494" s="16" t="inlineStr"/>
      <c r="N494" s="16" t="inlineStr"/>
      <c r="O494" s="16" t="inlineStr"/>
    </row>
    <row r="495" ht="72" customHeight="1">
      <c r="A495" s="16" t="inlineStr">
        <is>
          <t>TC-AM-0041</t>
        </is>
      </c>
      <c r="B495" s="16" t="inlineStr">
        <is>
          <t>Auth x Method Matrix</t>
        </is>
      </c>
      <c r="C495" s="16" t="inlineStr">
        <is>
          <t>OAuth2ClientCreds x GET</t>
        </is>
      </c>
      <c r="D495" s="16" t="inlineStr">
        <is>
          <t>Functional</t>
        </is>
      </c>
      <c r="E495" s="16" t="inlineStr">
        <is>
          <t>OAuth2ClientCreds authentication on GET</t>
        </is>
      </c>
      <c r="F495" s="16" t="inlineStr">
        <is>
          <t>Editor open.</t>
        </is>
      </c>
      <c r="G495" s="16" t="inlineStr">
        <is>
          <t>1. New GET request to a representative endpoint.
2. Auth type OAuth2ClientCreds; configure minimum credentials.
3. Send and inspect outgoing request.</t>
        </is>
      </c>
      <c r="H495" s="16" t="inlineStr">
        <is>
          <t>auth=OAuth2ClientCreds; method=GET</t>
        </is>
      </c>
      <c r="I495" s="16" t="inlineStr">
        <is>
          <t>OAuth2 access token obtained (if not present); Authorization: Bearer &lt;token&gt; attached; GET succeeds.</t>
        </is>
      </c>
      <c r="J495" s="16" t="inlineStr"/>
      <c r="K495" s="16" t="inlineStr">
        <is>
          <t>Not Run</t>
        </is>
      </c>
      <c r="L495" s="16" t="inlineStr">
        <is>
          <t>High</t>
        </is>
      </c>
      <c r="M495" s="16" t="inlineStr"/>
      <c r="N495" s="16" t="inlineStr"/>
      <c r="O495" s="16" t="inlineStr"/>
    </row>
    <row r="496" ht="72" customHeight="1">
      <c r="A496" s="16" t="inlineStr">
        <is>
          <t>TC-AM-0042</t>
        </is>
      </c>
      <c r="B496" s="16" t="inlineStr">
        <is>
          <t>Auth x Method Matrix</t>
        </is>
      </c>
      <c r="C496" s="16" t="inlineStr">
        <is>
          <t>OAuth2ClientCreds x POST</t>
        </is>
      </c>
      <c r="D496" s="16" t="inlineStr">
        <is>
          <t>Functional</t>
        </is>
      </c>
      <c r="E496" s="16" t="inlineStr">
        <is>
          <t>OAuth2ClientCreds authentication on POST</t>
        </is>
      </c>
      <c r="F496" s="16" t="inlineStr">
        <is>
          <t>Editor open.</t>
        </is>
      </c>
      <c r="G496" s="16" t="inlineStr">
        <is>
          <t>1. New POST request to a representative endpoint.
2. Auth type OAuth2ClientCreds; configure minimum credentials.
3. Send and inspect outgoing request.</t>
        </is>
      </c>
      <c r="H496" s="16" t="inlineStr">
        <is>
          <t>auth=OAuth2ClientCreds; method=POST</t>
        </is>
      </c>
      <c r="I496" s="16" t="inlineStr">
        <is>
          <t>OAuth2 access token obtained (if not present); Authorization: Bearer &lt;token&gt; attached; POST succeeds.</t>
        </is>
      </c>
      <c r="J496" s="16" t="inlineStr"/>
      <c r="K496" s="16" t="inlineStr">
        <is>
          <t>Not Run</t>
        </is>
      </c>
      <c r="L496" s="16" t="inlineStr">
        <is>
          <t>High</t>
        </is>
      </c>
      <c r="M496" s="16" t="inlineStr"/>
      <c r="N496" s="16" t="inlineStr"/>
      <c r="O496" s="16" t="inlineStr"/>
    </row>
    <row r="497" ht="72" customHeight="1">
      <c r="A497" s="16" t="inlineStr">
        <is>
          <t>TC-AM-0043</t>
        </is>
      </c>
      <c r="B497" s="16" t="inlineStr">
        <is>
          <t>Auth x Method Matrix</t>
        </is>
      </c>
      <c r="C497" s="16" t="inlineStr">
        <is>
          <t>OAuth2ClientCreds x PUT</t>
        </is>
      </c>
      <c r="D497" s="16" t="inlineStr">
        <is>
          <t>Functional</t>
        </is>
      </c>
      <c r="E497" s="16" t="inlineStr">
        <is>
          <t>OAuth2ClientCreds authentication on PUT</t>
        </is>
      </c>
      <c r="F497" s="16" t="inlineStr">
        <is>
          <t>Editor open.</t>
        </is>
      </c>
      <c r="G497" s="16" t="inlineStr">
        <is>
          <t>1. New PUT request to a representative endpoint.
2. Auth type OAuth2ClientCreds; configure minimum credentials.
3. Send and inspect outgoing request.</t>
        </is>
      </c>
      <c r="H497" s="16" t="inlineStr">
        <is>
          <t>auth=OAuth2ClientCreds; method=PUT</t>
        </is>
      </c>
      <c r="I497" s="16" t="inlineStr">
        <is>
          <t>OAuth2 access token obtained (if not present); Authorization: Bearer &lt;token&gt; attached; PUT succeeds.</t>
        </is>
      </c>
      <c r="J497" s="16" t="inlineStr"/>
      <c r="K497" s="16" t="inlineStr">
        <is>
          <t>Not Run</t>
        </is>
      </c>
      <c r="L497" s="16" t="inlineStr">
        <is>
          <t>High</t>
        </is>
      </c>
      <c r="M497" s="16" t="inlineStr"/>
      <c r="N497" s="16" t="inlineStr"/>
      <c r="O497" s="16" t="inlineStr"/>
    </row>
    <row r="498" ht="72" customHeight="1">
      <c r="A498" s="16" t="inlineStr">
        <is>
          <t>TC-AM-0044</t>
        </is>
      </c>
      <c r="B498" s="16" t="inlineStr">
        <is>
          <t>Auth x Method Matrix</t>
        </is>
      </c>
      <c r="C498" s="16" t="inlineStr">
        <is>
          <t>OAuth2ClientCreds x DELETE</t>
        </is>
      </c>
      <c r="D498" s="16" t="inlineStr">
        <is>
          <t>Functional</t>
        </is>
      </c>
      <c r="E498" s="16" t="inlineStr">
        <is>
          <t>OAuth2ClientCreds authentication on DELETE</t>
        </is>
      </c>
      <c r="F498" s="16" t="inlineStr">
        <is>
          <t>Editor open.</t>
        </is>
      </c>
      <c r="G498" s="16" t="inlineStr">
        <is>
          <t>1. New DELETE request to a representative endpoint.
2. Auth type OAuth2ClientCreds; configure minimum credentials.
3. Send and inspect outgoing request.</t>
        </is>
      </c>
      <c r="H498" s="16" t="inlineStr">
        <is>
          <t>auth=OAuth2ClientCreds; method=DELETE</t>
        </is>
      </c>
      <c r="I498" s="16" t="inlineStr">
        <is>
          <t>OAuth2 access token obtained (if not present); Authorization: Bearer &lt;token&gt; attached; DELETE succeeds.</t>
        </is>
      </c>
      <c r="J498" s="16" t="inlineStr"/>
      <c r="K498" s="16" t="inlineStr">
        <is>
          <t>Not Run</t>
        </is>
      </c>
      <c r="L498" s="16" t="inlineStr">
        <is>
          <t>High</t>
        </is>
      </c>
      <c r="M498" s="16" t="inlineStr"/>
      <c r="N498" s="16" t="inlineStr"/>
      <c r="O498" s="16" t="inlineStr"/>
    </row>
    <row r="499" ht="72" customHeight="1">
      <c r="A499" s="16" t="inlineStr">
        <is>
          <t>TC-AM-0045</t>
        </is>
      </c>
      <c r="B499" s="16" t="inlineStr">
        <is>
          <t>Auth x Method Matrix</t>
        </is>
      </c>
      <c r="C499" s="16" t="inlineStr">
        <is>
          <t>OAuth2AuthCode x GET</t>
        </is>
      </c>
      <c r="D499" s="16" t="inlineStr">
        <is>
          <t>Functional</t>
        </is>
      </c>
      <c r="E499" s="16" t="inlineStr">
        <is>
          <t>OAuth2AuthCode authentication on GET</t>
        </is>
      </c>
      <c r="F499" s="16" t="inlineStr">
        <is>
          <t>Editor open.</t>
        </is>
      </c>
      <c r="G499" s="16" t="inlineStr">
        <is>
          <t>1. New GET request to a representative endpoint.
2. Auth type OAuth2AuthCode; configure minimum credentials.
3. Send and inspect outgoing request.</t>
        </is>
      </c>
      <c r="H499" s="16" t="inlineStr">
        <is>
          <t>auth=OAuth2AuthCode; method=GET</t>
        </is>
      </c>
      <c r="I499" s="16" t="inlineStr">
        <is>
          <t>OAuth2 access token obtained (if not present); Authorization: Bearer &lt;token&gt; attached; GET succeeds.</t>
        </is>
      </c>
      <c r="J499" s="16" t="inlineStr"/>
      <c r="K499" s="16" t="inlineStr">
        <is>
          <t>Not Run</t>
        </is>
      </c>
      <c r="L499" s="16" t="inlineStr">
        <is>
          <t>High</t>
        </is>
      </c>
      <c r="M499" s="16" t="inlineStr"/>
      <c r="N499" s="16" t="inlineStr"/>
      <c r="O499" s="16" t="inlineStr"/>
    </row>
    <row r="500" ht="72" customHeight="1">
      <c r="A500" s="16" t="inlineStr">
        <is>
          <t>TC-AM-0046</t>
        </is>
      </c>
      <c r="B500" s="16" t="inlineStr">
        <is>
          <t>Auth x Method Matrix</t>
        </is>
      </c>
      <c r="C500" s="16" t="inlineStr">
        <is>
          <t>OAuth2AuthCode x POST</t>
        </is>
      </c>
      <c r="D500" s="16" t="inlineStr">
        <is>
          <t>Functional</t>
        </is>
      </c>
      <c r="E500" s="16" t="inlineStr">
        <is>
          <t>OAuth2AuthCode authentication on POST</t>
        </is>
      </c>
      <c r="F500" s="16" t="inlineStr">
        <is>
          <t>Editor open.</t>
        </is>
      </c>
      <c r="G500" s="16" t="inlineStr">
        <is>
          <t>1. New POST request to a representative endpoint.
2. Auth type OAuth2AuthCode; configure minimum credentials.
3. Send and inspect outgoing request.</t>
        </is>
      </c>
      <c r="H500" s="16" t="inlineStr">
        <is>
          <t>auth=OAuth2AuthCode; method=POST</t>
        </is>
      </c>
      <c r="I500" s="16" t="inlineStr">
        <is>
          <t>OAuth2 access token obtained (if not present); Authorization: Bearer &lt;token&gt; attached; POST succeeds.</t>
        </is>
      </c>
      <c r="J500" s="16" t="inlineStr"/>
      <c r="K500" s="16" t="inlineStr">
        <is>
          <t>Not Run</t>
        </is>
      </c>
      <c r="L500" s="16" t="inlineStr">
        <is>
          <t>High</t>
        </is>
      </c>
      <c r="M500" s="16" t="inlineStr"/>
      <c r="N500" s="16" t="inlineStr"/>
      <c r="O500" s="16" t="inlineStr"/>
    </row>
    <row r="501" ht="72" customHeight="1">
      <c r="A501" s="16" t="inlineStr">
        <is>
          <t>TC-AM-0047</t>
        </is>
      </c>
      <c r="B501" s="16" t="inlineStr">
        <is>
          <t>Auth x Method Matrix</t>
        </is>
      </c>
      <c r="C501" s="16" t="inlineStr">
        <is>
          <t>OAuth2AuthCode x PUT</t>
        </is>
      </c>
      <c r="D501" s="16" t="inlineStr">
        <is>
          <t>Functional</t>
        </is>
      </c>
      <c r="E501" s="16" t="inlineStr">
        <is>
          <t>OAuth2AuthCode authentication on PUT</t>
        </is>
      </c>
      <c r="F501" s="16" t="inlineStr">
        <is>
          <t>Editor open.</t>
        </is>
      </c>
      <c r="G501" s="16" t="inlineStr">
        <is>
          <t>1. New PUT request to a representative endpoint.
2. Auth type OAuth2AuthCode; configure minimum credentials.
3. Send and inspect outgoing request.</t>
        </is>
      </c>
      <c r="H501" s="16" t="inlineStr">
        <is>
          <t>auth=OAuth2AuthCode; method=PUT</t>
        </is>
      </c>
      <c r="I501" s="16" t="inlineStr">
        <is>
          <t>OAuth2 access token obtained (if not present); Authorization: Bearer &lt;token&gt; attached; PUT succeeds.</t>
        </is>
      </c>
      <c r="J501" s="16" t="inlineStr"/>
      <c r="K501" s="16" t="inlineStr">
        <is>
          <t>Not Run</t>
        </is>
      </c>
      <c r="L501" s="16" t="inlineStr">
        <is>
          <t>High</t>
        </is>
      </c>
      <c r="M501" s="16" t="inlineStr"/>
      <c r="N501" s="16" t="inlineStr"/>
      <c r="O501" s="16" t="inlineStr"/>
    </row>
    <row r="502" ht="72" customHeight="1">
      <c r="A502" s="16" t="inlineStr">
        <is>
          <t>TC-AM-0048</t>
        </is>
      </c>
      <c r="B502" s="16" t="inlineStr">
        <is>
          <t>Auth x Method Matrix</t>
        </is>
      </c>
      <c r="C502" s="16" t="inlineStr">
        <is>
          <t>OAuth2AuthCode x DELETE</t>
        </is>
      </c>
      <c r="D502" s="16" t="inlineStr">
        <is>
          <t>Functional</t>
        </is>
      </c>
      <c r="E502" s="16" t="inlineStr">
        <is>
          <t>OAuth2AuthCode authentication on DELETE</t>
        </is>
      </c>
      <c r="F502" s="16" t="inlineStr">
        <is>
          <t>Editor open.</t>
        </is>
      </c>
      <c r="G502" s="16" t="inlineStr">
        <is>
          <t>1. New DELETE request to a representative endpoint.
2. Auth type OAuth2AuthCode; configure minimum credentials.
3. Send and inspect outgoing request.</t>
        </is>
      </c>
      <c r="H502" s="16" t="inlineStr">
        <is>
          <t>auth=OAuth2AuthCode; method=DELETE</t>
        </is>
      </c>
      <c r="I502" s="16" t="inlineStr">
        <is>
          <t>OAuth2 access token obtained (if not present); Authorization: Bearer &lt;token&gt; attached; DELETE succeeds.</t>
        </is>
      </c>
      <c r="J502" s="16" t="inlineStr"/>
      <c r="K502" s="16" t="inlineStr">
        <is>
          <t>Not Run</t>
        </is>
      </c>
      <c r="L502" s="16" t="inlineStr">
        <is>
          <t>High</t>
        </is>
      </c>
      <c r="M502" s="16" t="inlineStr"/>
      <c r="N502" s="16" t="inlineStr"/>
      <c r="O502" s="16" t="inlineStr"/>
    </row>
    <row r="503" ht="72" customHeight="1">
      <c r="A503" s="16" t="inlineStr">
        <is>
          <t>TC-AM-0049</t>
        </is>
      </c>
      <c r="B503" s="16" t="inlineStr">
        <is>
          <t>Auth x Method Matrix</t>
        </is>
      </c>
      <c r="C503" s="16" t="inlineStr">
        <is>
          <t>OAuth2PKCE x GET</t>
        </is>
      </c>
      <c r="D503" s="16" t="inlineStr">
        <is>
          <t>Functional</t>
        </is>
      </c>
      <c r="E503" s="16" t="inlineStr">
        <is>
          <t>OAuth2PKCE authentication on GET</t>
        </is>
      </c>
      <c r="F503" s="16" t="inlineStr">
        <is>
          <t>Editor open.</t>
        </is>
      </c>
      <c r="G503" s="16" t="inlineStr">
        <is>
          <t>1. New GET request to a representative endpoint.
2. Auth type OAuth2PKCE; configure minimum credentials.
3. Send and inspect outgoing request.</t>
        </is>
      </c>
      <c r="H503" s="16" t="inlineStr">
        <is>
          <t>auth=OAuth2PKCE; method=GET</t>
        </is>
      </c>
      <c r="I503" s="16" t="inlineStr">
        <is>
          <t>OAuth2 access token obtained (if not present); Authorization: Bearer &lt;token&gt; attached; GET succeeds.</t>
        </is>
      </c>
      <c r="J503" s="16" t="inlineStr"/>
      <c r="K503" s="16" t="inlineStr">
        <is>
          <t>Not Run</t>
        </is>
      </c>
      <c r="L503" s="16" t="inlineStr">
        <is>
          <t>High</t>
        </is>
      </c>
      <c r="M503" s="16" t="inlineStr"/>
      <c r="N503" s="16" t="inlineStr"/>
      <c r="O503" s="16" t="inlineStr"/>
    </row>
    <row r="504" ht="72" customHeight="1">
      <c r="A504" s="16" t="inlineStr">
        <is>
          <t>TC-AM-0050</t>
        </is>
      </c>
      <c r="B504" s="16" t="inlineStr">
        <is>
          <t>Auth x Method Matrix</t>
        </is>
      </c>
      <c r="C504" s="16" t="inlineStr">
        <is>
          <t>OAuth2PKCE x POST</t>
        </is>
      </c>
      <c r="D504" s="16" t="inlineStr">
        <is>
          <t>Functional</t>
        </is>
      </c>
      <c r="E504" s="16" t="inlineStr">
        <is>
          <t>OAuth2PKCE authentication on POST</t>
        </is>
      </c>
      <c r="F504" s="16" t="inlineStr">
        <is>
          <t>Editor open.</t>
        </is>
      </c>
      <c r="G504" s="16" t="inlineStr">
        <is>
          <t>1. New POST request to a representative endpoint.
2. Auth type OAuth2PKCE; configure minimum credentials.
3. Send and inspect outgoing request.</t>
        </is>
      </c>
      <c r="H504" s="16" t="inlineStr">
        <is>
          <t>auth=OAuth2PKCE; method=POST</t>
        </is>
      </c>
      <c r="I504" s="16" t="inlineStr">
        <is>
          <t>OAuth2 access token obtained (if not present); Authorization: Bearer &lt;token&gt; attached; POST succeeds.</t>
        </is>
      </c>
      <c r="J504" s="16" t="inlineStr"/>
      <c r="K504" s="16" t="inlineStr">
        <is>
          <t>Not Run</t>
        </is>
      </c>
      <c r="L504" s="16" t="inlineStr">
        <is>
          <t>High</t>
        </is>
      </c>
      <c r="M504" s="16" t="inlineStr"/>
      <c r="N504" s="16" t="inlineStr"/>
      <c r="O504" s="16" t="inlineStr"/>
    </row>
    <row r="505" ht="72" customHeight="1">
      <c r="A505" s="16" t="inlineStr">
        <is>
          <t>TC-AM-0051</t>
        </is>
      </c>
      <c r="B505" s="16" t="inlineStr">
        <is>
          <t>Auth x Method Matrix</t>
        </is>
      </c>
      <c r="C505" s="16" t="inlineStr">
        <is>
          <t>OAuth2PKCE x PUT</t>
        </is>
      </c>
      <c r="D505" s="16" t="inlineStr">
        <is>
          <t>Functional</t>
        </is>
      </c>
      <c r="E505" s="16" t="inlineStr">
        <is>
          <t>OAuth2PKCE authentication on PUT</t>
        </is>
      </c>
      <c r="F505" s="16" t="inlineStr">
        <is>
          <t>Editor open.</t>
        </is>
      </c>
      <c r="G505" s="16" t="inlineStr">
        <is>
          <t>1. New PUT request to a representative endpoint.
2. Auth type OAuth2PKCE; configure minimum credentials.
3. Send and inspect outgoing request.</t>
        </is>
      </c>
      <c r="H505" s="16" t="inlineStr">
        <is>
          <t>auth=OAuth2PKCE; method=PUT</t>
        </is>
      </c>
      <c r="I505" s="16" t="inlineStr">
        <is>
          <t>OAuth2 access token obtained (if not present); Authorization: Bearer &lt;token&gt; attached; PUT succeeds.</t>
        </is>
      </c>
      <c r="J505" s="16" t="inlineStr"/>
      <c r="K505" s="16" t="inlineStr">
        <is>
          <t>Not Run</t>
        </is>
      </c>
      <c r="L505" s="16" t="inlineStr">
        <is>
          <t>High</t>
        </is>
      </c>
      <c r="M505" s="16" t="inlineStr"/>
      <c r="N505" s="16" t="inlineStr"/>
      <c r="O505" s="16" t="inlineStr"/>
    </row>
    <row r="506" ht="72" customHeight="1">
      <c r="A506" s="16" t="inlineStr">
        <is>
          <t>TC-AM-0052</t>
        </is>
      </c>
      <c r="B506" s="16" t="inlineStr">
        <is>
          <t>Auth x Method Matrix</t>
        </is>
      </c>
      <c r="C506" s="16" t="inlineStr">
        <is>
          <t>OAuth2PKCE x DELETE</t>
        </is>
      </c>
      <c r="D506" s="16" t="inlineStr">
        <is>
          <t>Functional</t>
        </is>
      </c>
      <c r="E506" s="16" t="inlineStr">
        <is>
          <t>OAuth2PKCE authentication on DELETE</t>
        </is>
      </c>
      <c r="F506" s="16" t="inlineStr">
        <is>
          <t>Editor open.</t>
        </is>
      </c>
      <c r="G506" s="16" t="inlineStr">
        <is>
          <t>1. New DELETE request to a representative endpoint.
2. Auth type OAuth2PKCE; configure minimum credentials.
3. Send and inspect outgoing request.</t>
        </is>
      </c>
      <c r="H506" s="16" t="inlineStr">
        <is>
          <t>auth=OAuth2PKCE; method=DELETE</t>
        </is>
      </c>
      <c r="I506" s="16" t="inlineStr">
        <is>
          <t>OAuth2 access token obtained (if not present); Authorization: Bearer &lt;token&gt; attached; DELETE succeeds.</t>
        </is>
      </c>
      <c r="J506" s="16" t="inlineStr"/>
      <c r="K506" s="16" t="inlineStr">
        <is>
          <t>Not Run</t>
        </is>
      </c>
      <c r="L506" s="16" t="inlineStr">
        <is>
          <t>High</t>
        </is>
      </c>
      <c r="M506" s="16" t="inlineStr"/>
      <c r="N506" s="16" t="inlineStr"/>
      <c r="O506" s="16" t="inlineStr"/>
    </row>
    <row r="507" ht="72" customHeight="1">
      <c r="A507" s="16" t="inlineStr">
        <is>
          <t>TC-AM-0053</t>
        </is>
      </c>
      <c r="B507" s="16" t="inlineStr">
        <is>
          <t>Auth x Method Matrix</t>
        </is>
      </c>
      <c r="C507" s="16" t="inlineStr">
        <is>
          <t>OAuth2Refresh x GET</t>
        </is>
      </c>
      <c r="D507" s="16" t="inlineStr">
        <is>
          <t>Functional</t>
        </is>
      </c>
      <c r="E507" s="16" t="inlineStr">
        <is>
          <t>OAuth2Refresh authentication on GET</t>
        </is>
      </c>
      <c r="F507" s="16" t="inlineStr">
        <is>
          <t>Editor open.</t>
        </is>
      </c>
      <c r="G507" s="16" t="inlineStr">
        <is>
          <t>1. New GET request to a representative endpoint.
2. Auth type OAuth2Refresh; configure minimum credentials.
3. Send and inspect outgoing request.</t>
        </is>
      </c>
      <c r="H507" s="16" t="inlineStr">
        <is>
          <t>auth=OAuth2Refresh; method=GET</t>
        </is>
      </c>
      <c r="I507" s="16" t="inlineStr">
        <is>
          <t>OAuth2 access token obtained (if not present); Authorization: Bearer &lt;token&gt; attached; GET succeeds.</t>
        </is>
      </c>
      <c r="J507" s="16" t="inlineStr"/>
      <c r="K507" s="16" t="inlineStr">
        <is>
          <t>Not Run</t>
        </is>
      </c>
      <c r="L507" s="16" t="inlineStr">
        <is>
          <t>Medium</t>
        </is>
      </c>
      <c r="M507" s="16" t="inlineStr"/>
      <c r="N507" s="16" t="inlineStr"/>
      <c r="O507" s="16" t="inlineStr"/>
    </row>
    <row r="508" ht="72" customHeight="1">
      <c r="A508" s="16" t="inlineStr">
        <is>
          <t>TC-AM-0054</t>
        </is>
      </c>
      <c r="B508" s="16" t="inlineStr">
        <is>
          <t>Auth x Method Matrix</t>
        </is>
      </c>
      <c r="C508" s="16" t="inlineStr">
        <is>
          <t>OAuth2Refresh x POST</t>
        </is>
      </c>
      <c r="D508" s="16" t="inlineStr">
        <is>
          <t>Functional</t>
        </is>
      </c>
      <c r="E508" s="16" t="inlineStr">
        <is>
          <t>OAuth2Refresh authentication on POST</t>
        </is>
      </c>
      <c r="F508" s="16" t="inlineStr">
        <is>
          <t>Editor open.</t>
        </is>
      </c>
      <c r="G508" s="16" t="inlineStr">
        <is>
          <t>1. New POST request to a representative endpoint.
2. Auth type OAuth2Refresh; configure minimum credentials.
3. Send and inspect outgoing request.</t>
        </is>
      </c>
      <c r="H508" s="16" t="inlineStr">
        <is>
          <t>auth=OAuth2Refresh; method=POST</t>
        </is>
      </c>
      <c r="I508" s="16" t="inlineStr">
        <is>
          <t>OAuth2 access token obtained (if not present); Authorization: Bearer &lt;token&gt; attached; POST succeeds.</t>
        </is>
      </c>
      <c r="J508" s="16" t="inlineStr"/>
      <c r="K508" s="16" t="inlineStr">
        <is>
          <t>Not Run</t>
        </is>
      </c>
      <c r="L508" s="16" t="inlineStr">
        <is>
          <t>Medium</t>
        </is>
      </c>
      <c r="M508" s="16" t="inlineStr"/>
      <c r="N508" s="16" t="inlineStr"/>
      <c r="O508" s="16" t="inlineStr"/>
    </row>
    <row r="509" ht="72" customHeight="1">
      <c r="A509" s="16" t="inlineStr">
        <is>
          <t>TC-AM-0055</t>
        </is>
      </c>
      <c r="B509" s="16" t="inlineStr">
        <is>
          <t>Auth x Method Matrix</t>
        </is>
      </c>
      <c r="C509" s="16" t="inlineStr">
        <is>
          <t>OAuth2Refresh x PUT</t>
        </is>
      </c>
      <c r="D509" s="16" t="inlineStr">
        <is>
          <t>Functional</t>
        </is>
      </c>
      <c r="E509" s="16" t="inlineStr">
        <is>
          <t>OAuth2Refresh authentication on PUT</t>
        </is>
      </c>
      <c r="F509" s="16" t="inlineStr">
        <is>
          <t>Editor open.</t>
        </is>
      </c>
      <c r="G509" s="16" t="inlineStr">
        <is>
          <t>1. New PUT request to a representative endpoint.
2. Auth type OAuth2Refresh; configure minimum credentials.
3. Send and inspect outgoing request.</t>
        </is>
      </c>
      <c r="H509" s="16" t="inlineStr">
        <is>
          <t>auth=OAuth2Refresh; method=PUT</t>
        </is>
      </c>
      <c r="I509" s="16" t="inlineStr">
        <is>
          <t>OAuth2 access token obtained (if not present); Authorization: Bearer &lt;token&gt; attached; PUT succeeds.</t>
        </is>
      </c>
      <c r="J509" s="16" t="inlineStr"/>
      <c r="K509" s="16" t="inlineStr">
        <is>
          <t>Not Run</t>
        </is>
      </c>
      <c r="L509" s="16" t="inlineStr">
        <is>
          <t>Medium</t>
        </is>
      </c>
      <c r="M509" s="16" t="inlineStr"/>
      <c r="N509" s="16" t="inlineStr"/>
      <c r="O509" s="16" t="inlineStr"/>
    </row>
    <row r="510" ht="72" customHeight="1">
      <c r="A510" s="16" t="inlineStr">
        <is>
          <t>TC-AM-0056</t>
        </is>
      </c>
      <c r="B510" s="16" t="inlineStr">
        <is>
          <t>Auth x Method Matrix</t>
        </is>
      </c>
      <c r="C510" s="16" t="inlineStr">
        <is>
          <t>OAuth2Refresh x DELETE</t>
        </is>
      </c>
      <c r="D510" s="16" t="inlineStr">
        <is>
          <t>Functional</t>
        </is>
      </c>
      <c r="E510" s="16" t="inlineStr">
        <is>
          <t>OAuth2Refresh authentication on DELETE</t>
        </is>
      </c>
      <c r="F510" s="16" t="inlineStr">
        <is>
          <t>Editor open.</t>
        </is>
      </c>
      <c r="G510" s="16" t="inlineStr">
        <is>
          <t>1. New DELETE request to a representative endpoint.
2. Auth type OAuth2Refresh; configure minimum credentials.
3. Send and inspect outgoing request.</t>
        </is>
      </c>
      <c r="H510" s="16" t="inlineStr">
        <is>
          <t>auth=OAuth2Refresh; method=DELETE</t>
        </is>
      </c>
      <c r="I510" s="16" t="inlineStr">
        <is>
          <t>OAuth2 access token obtained (if not present); Authorization: Bearer &lt;token&gt; attached; DELETE succeeds.</t>
        </is>
      </c>
      <c r="J510" s="16" t="inlineStr"/>
      <c r="K510" s="16" t="inlineStr">
        <is>
          <t>Not Run</t>
        </is>
      </c>
      <c r="L510" s="16" t="inlineStr">
        <is>
          <t>Medium</t>
        </is>
      </c>
      <c r="M510" s="16" t="inlineStr"/>
      <c r="N510" s="16" t="inlineStr"/>
      <c r="O510" s="16" t="inlineStr"/>
    </row>
    <row r="511" ht="72" customHeight="1">
      <c r="A511" s="16" t="inlineStr">
        <is>
          <t>TC-AM-0057</t>
        </is>
      </c>
      <c r="B511" s="16" t="inlineStr">
        <is>
          <t>Auth x Method Matrix</t>
        </is>
      </c>
      <c r="C511" s="16" t="inlineStr">
        <is>
          <t>Asap x GET</t>
        </is>
      </c>
      <c r="D511" s="16" t="inlineStr">
        <is>
          <t>Functional</t>
        </is>
      </c>
      <c r="E511" s="16" t="inlineStr">
        <is>
          <t>Asap authentication on GET</t>
        </is>
      </c>
      <c r="F511" s="16" t="inlineStr">
        <is>
          <t>Editor open.</t>
        </is>
      </c>
      <c r="G511" s="16" t="inlineStr">
        <is>
          <t>1. New GET request to a representative endpoint.
2. Auth type Asap; configure minimum credentials.
3. Send and inspect outgoing request.</t>
        </is>
      </c>
      <c r="H511" s="16" t="inlineStr">
        <is>
          <t>auth=Asap; method=GET</t>
        </is>
      </c>
      <c r="I511" s="16" t="inlineStr">
        <is>
          <t>Auth scheme applied to GET; server accepts.</t>
        </is>
      </c>
      <c r="J511" s="16" t="inlineStr"/>
      <c r="K511" s="16" t="inlineStr">
        <is>
          <t>Not Run</t>
        </is>
      </c>
      <c r="L511" s="16" t="inlineStr">
        <is>
          <t>Low</t>
        </is>
      </c>
      <c r="M511" s="16" t="inlineStr"/>
      <c r="N511" s="16" t="inlineStr"/>
      <c r="O511" s="16" t="inlineStr"/>
    </row>
    <row r="512" ht="72" customHeight="1">
      <c r="A512" s="16" t="inlineStr">
        <is>
          <t>TC-AM-0058</t>
        </is>
      </c>
      <c r="B512" s="16" t="inlineStr">
        <is>
          <t>Auth x Method Matrix</t>
        </is>
      </c>
      <c r="C512" s="16" t="inlineStr">
        <is>
          <t>Asap x POST</t>
        </is>
      </c>
      <c r="D512" s="16" t="inlineStr">
        <is>
          <t>Functional</t>
        </is>
      </c>
      <c r="E512" s="16" t="inlineStr">
        <is>
          <t>Asap authentication on POST</t>
        </is>
      </c>
      <c r="F512" s="16" t="inlineStr">
        <is>
          <t>Editor open.</t>
        </is>
      </c>
      <c r="G512" s="16" t="inlineStr">
        <is>
          <t>1. New POST request to a representative endpoint.
2. Auth type Asap; configure minimum credentials.
3. Send and inspect outgoing request.</t>
        </is>
      </c>
      <c r="H512" s="16" t="inlineStr">
        <is>
          <t>auth=Asap; method=POST</t>
        </is>
      </c>
      <c r="I512" s="16" t="inlineStr">
        <is>
          <t>Auth scheme applied to POST; server accepts.</t>
        </is>
      </c>
      <c r="J512" s="16" t="inlineStr"/>
      <c r="K512" s="16" t="inlineStr">
        <is>
          <t>Not Run</t>
        </is>
      </c>
      <c r="L512" s="16" t="inlineStr">
        <is>
          <t>Low</t>
        </is>
      </c>
      <c r="M512" s="16" t="inlineStr"/>
      <c r="N512" s="16" t="inlineStr"/>
      <c r="O512" s="16" t="inlineStr"/>
    </row>
    <row r="513" ht="72" customHeight="1">
      <c r="A513" s="16" t="inlineStr">
        <is>
          <t>TC-AM-0059</t>
        </is>
      </c>
      <c r="B513" s="16" t="inlineStr">
        <is>
          <t>Auth x Method Matrix</t>
        </is>
      </c>
      <c r="C513" s="16" t="inlineStr">
        <is>
          <t>Asap x PUT</t>
        </is>
      </c>
      <c r="D513" s="16" t="inlineStr">
        <is>
          <t>Functional</t>
        </is>
      </c>
      <c r="E513" s="16" t="inlineStr">
        <is>
          <t>Asap authentication on PUT</t>
        </is>
      </c>
      <c r="F513" s="16" t="inlineStr">
        <is>
          <t>Editor open.</t>
        </is>
      </c>
      <c r="G513" s="16" t="inlineStr">
        <is>
          <t>1. New PUT request to a representative endpoint.
2. Auth type Asap; configure minimum credentials.
3. Send and inspect outgoing request.</t>
        </is>
      </c>
      <c r="H513" s="16" t="inlineStr">
        <is>
          <t>auth=Asap; method=PUT</t>
        </is>
      </c>
      <c r="I513" s="16" t="inlineStr">
        <is>
          <t>Auth scheme applied to PUT; server accepts.</t>
        </is>
      </c>
      <c r="J513" s="16" t="inlineStr"/>
      <c r="K513" s="16" t="inlineStr">
        <is>
          <t>Not Run</t>
        </is>
      </c>
      <c r="L513" s="16" t="inlineStr">
        <is>
          <t>Low</t>
        </is>
      </c>
      <c r="M513" s="16" t="inlineStr"/>
      <c r="N513" s="16" t="inlineStr"/>
      <c r="O513" s="16" t="inlineStr"/>
    </row>
    <row r="514" ht="72" customHeight="1">
      <c r="A514" s="16" t="inlineStr">
        <is>
          <t>TC-AM-0060</t>
        </is>
      </c>
      <c r="B514" s="16" t="inlineStr">
        <is>
          <t>Auth x Method Matrix</t>
        </is>
      </c>
      <c r="C514" s="16" t="inlineStr">
        <is>
          <t>Asap x DELETE</t>
        </is>
      </c>
      <c r="D514" s="16" t="inlineStr">
        <is>
          <t>Functional</t>
        </is>
      </c>
      <c r="E514" s="16" t="inlineStr">
        <is>
          <t>Asap authentication on DELETE</t>
        </is>
      </c>
      <c r="F514" s="16" t="inlineStr">
        <is>
          <t>Editor open.</t>
        </is>
      </c>
      <c r="G514" s="16" t="inlineStr">
        <is>
          <t>1. New DELETE request to a representative endpoint.
2. Auth type Asap; configure minimum credentials.
3. Send and inspect outgoing request.</t>
        </is>
      </c>
      <c r="H514" s="16" t="inlineStr">
        <is>
          <t>auth=Asap; method=DELETE</t>
        </is>
      </c>
      <c r="I514" s="16" t="inlineStr">
        <is>
          <t>Auth scheme applied to DELETE; server accepts.</t>
        </is>
      </c>
      <c r="J514" s="16" t="inlineStr"/>
      <c r="K514" s="16" t="inlineStr">
        <is>
          <t>Not Run</t>
        </is>
      </c>
      <c r="L514" s="16" t="inlineStr">
        <is>
          <t>Low</t>
        </is>
      </c>
      <c r="M514" s="16" t="inlineStr"/>
      <c r="N514" s="16" t="inlineStr"/>
      <c r="O514" s="16" t="inlineStr"/>
    </row>
    <row r="515" ht="72" customHeight="1">
      <c r="A515" s="16" t="inlineStr">
        <is>
          <t>TC-AM-0061</t>
        </is>
      </c>
      <c r="B515" s="16" t="inlineStr">
        <is>
          <t>Auth x Method Matrix</t>
        </is>
      </c>
      <c r="C515" s="16" t="inlineStr">
        <is>
          <t>EdgeGrid x GET</t>
        </is>
      </c>
      <c r="D515" s="16" t="inlineStr">
        <is>
          <t>Functional</t>
        </is>
      </c>
      <c r="E515" s="16" t="inlineStr">
        <is>
          <t>EdgeGrid authentication on GET</t>
        </is>
      </c>
      <c r="F515" s="16" t="inlineStr">
        <is>
          <t>Editor open.</t>
        </is>
      </c>
      <c r="G515" s="16" t="inlineStr">
        <is>
          <t>1. New GET request to a representative endpoint.
2. Auth type EdgeGrid; configure minimum credentials.
3. Send and inspect outgoing request.</t>
        </is>
      </c>
      <c r="H515" s="16" t="inlineStr">
        <is>
          <t>auth=EdgeGrid; method=GET</t>
        </is>
      </c>
      <c r="I515" s="16" t="inlineStr">
        <is>
          <t>Auth scheme applied to GET; server accepts.</t>
        </is>
      </c>
      <c r="J515" s="16" t="inlineStr"/>
      <c r="K515" s="16" t="inlineStr">
        <is>
          <t>Not Run</t>
        </is>
      </c>
      <c r="L515" s="16" t="inlineStr">
        <is>
          <t>Low</t>
        </is>
      </c>
      <c r="M515" s="16" t="inlineStr"/>
      <c r="N515" s="16" t="inlineStr"/>
      <c r="O515" s="16" t="inlineStr"/>
    </row>
    <row r="516" ht="72" customHeight="1">
      <c r="A516" s="16" t="inlineStr">
        <is>
          <t>TC-AM-0062</t>
        </is>
      </c>
      <c r="B516" s="16" t="inlineStr">
        <is>
          <t>Auth x Method Matrix</t>
        </is>
      </c>
      <c r="C516" s="16" t="inlineStr">
        <is>
          <t>EdgeGrid x POST</t>
        </is>
      </c>
      <c r="D516" s="16" t="inlineStr">
        <is>
          <t>Functional</t>
        </is>
      </c>
      <c r="E516" s="16" t="inlineStr">
        <is>
          <t>EdgeGrid authentication on POST</t>
        </is>
      </c>
      <c r="F516" s="16" t="inlineStr">
        <is>
          <t>Editor open.</t>
        </is>
      </c>
      <c r="G516" s="16" t="inlineStr">
        <is>
          <t>1. New POST request to a representative endpoint.
2. Auth type EdgeGrid; configure minimum credentials.
3. Send and inspect outgoing request.</t>
        </is>
      </c>
      <c r="H516" s="16" t="inlineStr">
        <is>
          <t>auth=EdgeGrid; method=POST</t>
        </is>
      </c>
      <c r="I516" s="16" t="inlineStr">
        <is>
          <t>Auth scheme applied to POST; server accepts.</t>
        </is>
      </c>
      <c r="J516" s="16" t="inlineStr"/>
      <c r="K516" s="16" t="inlineStr">
        <is>
          <t>Not Run</t>
        </is>
      </c>
      <c r="L516" s="16" t="inlineStr">
        <is>
          <t>Low</t>
        </is>
      </c>
      <c r="M516" s="16" t="inlineStr"/>
      <c r="N516" s="16" t="inlineStr"/>
      <c r="O516" s="16" t="inlineStr"/>
    </row>
    <row r="517" ht="72" customHeight="1">
      <c r="A517" s="16" t="inlineStr">
        <is>
          <t>TC-AM-0063</t>
        </is>
      </c>
      <c r="B517" s="16" t="inlineStr">
        <is>
          <t>Auth x Method Matrix</t>
        </is>
      </c>
      <c r="C517" s="16" t="inlineStr">
        <is>
          <t>EdgeGrid x PUT</t>
        </is>
      </c>
      <c r="D517" s="16" t="inlineStr">
        <is>
          <t>Functional</t>
        </is>
      </c>
      <c r="E517" s="16" t="inlineStr">
        <is>
          <t>EdgeGrid authentication on PUT</t>
        </is>
      </c>
      <c r="F517" s="16" t="inlineStr">
        <is>
          <t>Editor open.</t>
        </is>
      </c>
      <c r="G517" s="16" t="inlineStr">
        <is>
          <t>1. New PUT request to a representative endpoint.
2. Auth type EdgeGrid; configure minimum credentials.
3. Send and inspect outgoing request.</t>
        </is>
      </c>
      <c r="H517" s="16" t="inlineStr">
        <is>
          <t>auth=EdgeGrid; method=PUT</t>
        </is>
      </c>
      <c r="I517" s="16" t="inlineStr">
        <is>
          <t>Auth scheme applied to PUT; server accepts.</t>
        </is>
      </c>
      <c r="J517" s="16" t="inlineStr"/>
      <c r="K517" s="16" t="inlineStr">
        <is>
          <t>Not Run</t>
        </is>
      </c>
      <c r="L517" s="16" t="inlineStr">
        <is>
          <t>Low</t>
        </is>
      </c>
      <c r="M517" s="16" t="inlineStr"/>
      <c r="N517" s="16" t="inlineStr"/>
      <c r="O517" s="16" t="inlineStr"/>
    </row>
    <row r="518" ht="72" customHeight="1">
      <c r="A518" s="16" t="inlineStr">
        <is>
          <t>TC-AM-0064</t>
        </is>
      </c>
      <c r="B518" s="16" t="inlineStr">
        <is>
          <t>Auth x Method Matrix</t>
        </is>
      </c>
      <c r="C518" s="16" t="inlineStr">
        <is>
          <t>EdgeGrid x DELETE</t>
        </is>
      </c>
      <c r="D518" s="16" t="inlineStr">
        <is>
          <t>Functional</t>
        </is>
      </c>
      <c r="E518" s="16" t="inlineStr">
        <is>
          <t>EdgeGrid authentication on DELETE</t>
        </is>
      </c>
      <c r="F518" s="16" t="inlineStr">
        <is>
          <t>Editor open.</t>
        </is>
      </c>
      <c r="G518" s="16" t="inlineStr">
        <is>
          <t>1. New DELETE request to a representative endpoint.
2. Auth type EdgeGrid; configure minimum credentials.
3. Send and inspect outgoing request.</t>
        </is>
      </c>
      <c r="H518" s="16" t="inlineStr">
        <is>
          <t>auth=EdgeGrid; method=DELETE</t>
        </is>
      </c>
      <c r="I518" s="16" t="inlineStr">
        <is>
          <t>Auth scheme applied to DELETE; server accepts.</t>
        </is>
      </c>
      <c r="J518" s="16" t="inlineStr"/>
      <c r="K518" s="16" t="inlineStr">
        <is>
          <t>Not Run</t>
        </is>
      </c>
      <c r="L518" s="16" t="inlineStr">
        <is>
          <t>Low</t>
        </is>
      </c>
      <c r="M518" s="16" t="inlineStr"/>
      <c r="N518" s="16" t="inlineStr"/>
      <c r="O518" s="16" t="inlineStr"/>
    </row>
    <row r="519" ht="72" customHeight="1">
      <c r="A519" s="16" t="inlineStr">
        <is>
          <t>TC-AM-0065</t>
        </is>
      </c>
      <c r="B519" s="16" t="inlineStr">
        <is>
          <t>Auth x Method Matrix</t>
        </is>
      </c>
      <c r="C519" s="16" t="inlineStr">
        <is>
          <t>CustomHeader x GET</t>
        </is>
      </c>
      <c r="D519" s="16" t="inlineStr">
        <is>
          <t>Functional</t>
        </is>
      </c>
      <c r="E519" s="16" t="inlineStr">
        <is>
          <t>CustomHeader authentication on GET</t>
        </is>
      </c>
      <c r="F519" s="16" t="inlineStr">
        <is>
          <t>Editor open.</t>
        </is>
      </c>
      <c r="G519" s="16" t="inlineStr">
        <is>
          <t>1. New GET request to a representative endpoint.
2. Auth type CustomHeader; configure minimum credentials.
3. Send and inspect outgoing request.</t>
        </is>
      </c>
      <c r="H519" s="16" t="inlineStr">
        <is>
          <t>auth=CustomHeader; method=GET</t>
        </is>
      </c>
      <c r="I519" s="16" t="inlineStr">
        <is>
          <t>Authorization or custom header attached; GET request includes it; server returns 200 for valid creds.</t>
        </is>
      </c>
      <c r="J519" s="16" t="inlineStr"/>
      <c r="K519" s="16" t="inlineStr">
        <is>
          <t>Not Run</t>
        </is>
      </c>
      <c r="L519" s="16" t="inlineStr">
        <is>
          <t>Medium</t>
        </is>
      </c>
      <c r="M519" s="16" t="inlineStr"/>
      <c r="N519" s="16" t="inlineStr"/>
      <c r="O519" s="16" t="inlineStr"/>
    </row>
    <row r="520" ht="72" customHeight="1">
      <c r="A520" s="16" t="inlineStr">
        <is>
          <t>TC-AM-0066</t>
        </is>
      </c>
      <c r="B520" s="16" t="inlineStr">
        <is>
          <t>Auth x Method Matrix</t>
        </is>
      </c>
      <c r="C520" s="16" t="inlineStr">
        <is>
          <t>CustomHeader x POST</t>
        </is>
      </c>
      <c r="D520" s="16" t="inlineStr">
        <is>
          <t>Functional</t>
        </is>
      </c>
      <c r="E520" s="16" t="inlineStr">
        <is>
          <t>CustomHeader authentication on POST</t>
        </is>
      </c>
      <c r="F520" s="16" t="inlineStr">
        <is>
          <t>Editor open.</t>
        </is>
      </c>
      <c r="G520" s="16" t="inlineStr">
        <is>
          <t>1. New POST request to a representative endpoint.
2. Auth type CustomHeader; configure minimum credentials.
3. Send and inspect outgoing request.</t>
        </is>
      </c>
      <c r="H520" s="16" t="inlineStr">
        <is>
          <t>auth=CustomHeader; method=POST</t>
        </is>
      </c>
      <c r="I520" s="16" t="inlineStr">
        <is>
          <t>Authorization or custom header attached; POST request includes it; server returns 200 for valid creds.</t>
        </is>
      </c>
      <c r="J520" s="16" t="inlineStr"/>
      <c r="K520" s="16" t="inlineStr">
        <is>
          <t>Not Run</t>
        </is>
      </c>
      <c r="L520" s="16" t="inlineStr">
        <is>
          <t>Medium</t>
        </is>
      </c>
      <c r="M520" s="16" t="inlineStr"/>
      <c r="N520" s="16" t="inlineStr"/>
      <c r="O520" s="16" t="inlineStr"/>
    </row>
    <row r="521" ht="72" customHeight="1">
      <c r="A521" s="16" t="inlineStr">
        <is>
          <t>TC-AM-0067</t>
        </is>
      </c>
      <c r="B521" s="16" t="inlineStr">
        <is>
          <t>Auth x Method Matrix</t>
        </is>
      </c>
      <c r="C521" s="16" t="inlineStr">
        <is>
          <t>CustomHeader x PUT</t>
        </is>
      </c>
      <c r="D521" s="16" t="inlineStr">
        <is>
          <t>Functional</t>
        </is>
      </c>
      <c r="E521" s="16" t="inlineStr">
        <is>
          <t>CustomHeader authentication on PUT</t>
        </is>
      </c>
      <c r="F521" s="16" t="inlineStr">
        <is>
          <t>Editor open.</t>
        </is>
      </c>
      <c r="G521" s="16" t="inlineStr">
        <is>
          <t>1. New PUT request to a representative endpoint.
2. Auth type CustomHeader; configure minimum credentials.
3. Send and inspect outgoing request.</t>
        </is>
      </c>
      <c r="H521" s="16" t="inlineStr">
        <is>
          <t>auth=CustomHeader; method=PUT</t>
        </is>
      </c>
      <c r="I521" s="16" t="inlineStr">
        <is>
          <t>Authorization or custom header attached; PUT request includes it; server returns 200 for valid creds.</t>
        </is>
      </c>
      <c r="J521" s="16" t="inlineStr"/>
      <c r="K521" s="16" t="inlineStr">
        <is>
          <t>Not Run</t>
        </is>
      </c>
      <c r="L521" s="16" t="inlineStr">
        <is>
          <t>Medium</t>
        </is>
      </c>
      <c r="M521" s="16" t="inlineStr"/>
      <c r="N521" s="16" t="inlineStr"/>
      <c r="O521" s="16" t="inlineStr"/>
    </row>
    <row r="522" ht="72" customHeight="1">
      <c r="A522" s="16" t="inlineStr">
        <is>
          <t>TC-AM-0068</t>
        </is>
      </c>
      <c r="B522" s="16" t="inlineStr">
        <is>
          <t>Auth x Method Matrix</t>
        </is>
      </c>
      <c r="C522" s="16" t="inlineStr">
        <is>
          <t>CustomHeader x DELETE</t>
        </is>
      </c>
      <c r="D522" s="16" t="inlineStr">
        <is>
          <t>Functional</t>
        </is>
      </c>
      <c r="E522" s="16" t="inlineStr">
        <is>
          <t>CustomHeader authentication on DELETE</t>
        </is>
      </c>
      <c r="F522" s="16" t="inlineStr">
        <is>
          <t>Editor open.</t>
        </is>
      </c>
      <c r="G522" s="16" t="inlineStr">
        <is>
          <t>1. New DELETE request to a representative endpoint.
2. Auth type CustomHeader; configure minimum credentials.
3. Send and inspect outgoing request.</t>
        </is>
      </c>
      <c r="H522" s="16" t="inlineStr">
        <is>
          <t>auth=CustomHeader; method=DELETE</t>
        </is>
      </c>
      <c r="I522" s="16" t="inlineStr">
        <is>
          <t>Authorization or custom header attached; DELETE request includes it; server returns 200 for valid creds.</t>
        </is>
      </c>
      <c r="J522" s="16" t="inlineStr"/>
      <c r="K522" s="16" t="inlineStr">
        <is>
          <t>Not Run</t>
        </is>
      </c>
      <c r="L522" s="16" t="inlineStr">
        <is>
          <t>Medium</t>
        </is>
      </c>
      <c r="M522" s="16" t="inlineStr"/>
      <c r="N522" s="16" t="inlineStr"/>
      <c r="O522" s="16" t="inlineStr"/>
    </row>
    <row r="523" ht="72" customHeight="1">
      <c r="A523" s="16" t="inlineStr">
        <is>
          <t>TC-BC-0001</t>
        </is>
      </c>
      <c r="B523" s="16" t="inlineStr">
        <is>
          <t>Body Content Variations</t>
        </is>
      </c>
      <c r="C523" s="16" t="inlineStr">
        <is>
          <t>JSON</t>
        </is>
      </c>
      <c r="D523" s="16" t="inlineStr">
        <is>
          <t>Functional</t>
        </is>
      </c>
      <c r="E523" s="16" t="inlineStr">
        <is>
          <t>Empty object {}</t>
        </is>
      </c>
      <c r="F523" s="16" t="inlineStr">
        <is>
          <t>POST raw JSON.</t>
        </is>
      </c>
      <c r="G523" s="16" t="inlineStr">
        <is>
          <t>1. Body: {}</t>
        </is>
      </c>
      <c r="H523" s="16" t="inlineStr">
        <is>
          <t>raw JSON</t>
        </is>
      </c>
      <c r="I523" s="16" t="inlineStr">
        <is>
          <t>Sent as '{}'.</t>
        </is>
      </c>
      <c r="J523" s="16" t="inlineStr"/>
      <c r="K523" s="16" t="inlineStr">
        <is>
          <t>Not Run</t>
        </is>
      </c>
      <c r="L523" s="16" t="inlineStr">
        <is>
          <t>Medium</t>
        </is>
      </c>
      <c r="M523" s="16" t="inlineStr"/>
      <c r="N523" s="16" t="inlineStr"/>
      <c r="O523" s="16" t="inlineStr"/>
    </row>
    <row r="524" ht="72" customHeight="1">
      <c r="A524" s="16" t="inlineStr">
        <is>
          <t>TC-BC-0002</t>
        </is>
      </c>
      <c r="B524" s="16" t="inlineStr">
        <is>
          <t>Body Content Variations</t>
        </is>
      </c>
      <c r="C524" s="16" t="inlineStr">
        <is>
          <t>JSON</t>
        </is>
      </c>
      <c r="D524" s="16" t="inlineStr">
        <is>
          <t>Functional</t>
        </is>
      </c>
      <c r="E524" s="16" t="inlineStr">
        <is>
          <t>Empty array []</t>
        </is>
      </c>
      <c r="F524" s="16" t="inlineStr">
        <is>
          <t>POST raw JSON.</t>
        </is>
      </c>
      <c r="G524" s="16" t="inlineStr">
        <is>
          <t>1. Body: []</t>
        </is>
      </c>
      <c r="H524" s="16" t="inlineStr">
        <is>
          <t>raw JSON</t>
        </is>
      </c>
      <c r="I524" s="16" t="inlineStr">
        <is>
          <t>Sent as '[]'.</t>
        </is>
      </c>
      <c r="J524" s="16" t="inlineStr"/>
      <c r="K524" s="16" t="inlineStr">
        <is>
          <t>Not Run</t>
        </is>
      </c>
      <c r="L524" s="16" t="inlineStr">
        <is>
          <t>Medium</t>
        </is>
      </c>
      <c r="M524" s="16" t="inlineStr"/>
      <c r="N524" s="16" t="inlineStr"/>
      <c r="O524" s="16" t="inlineStr"/>
    </row>
    <row r="525" ht="72" customHeight="1">
      <c r="A525" s="16" t="inlineStr">
        <is>
          <t>TC-BC-0003</t>
        </is>
      </c>
      <c r="B525" s="16" t="inlineStr">
        <is>
          <t>Body Content Variations</t>
        </is>
      </c>
      <c r="C525" s="16" t="inlineStr">
        <is>
          <t>JSON</t>
        </is>
      </c>
      <c r="D525" s="16" t="inlineStr">
        <is>
          <t>Edge Case</t>
        </is>
      </c>
      <c r="E525" s="16" t="inlineStr">
        <is>
          <t>Single value (string)</t>
        </is>
      </c>
      <c r="F525" s="16" t="inlineStr">
        <is>
          <t>-</t>
        </is>
      </c>
      <c r="G525" s="16" t="inlineStr">
        <is>
          <t>1. Body: "hello"</t>
        </is>
      </c>
      <c r="H525" s="16" t="inlineStr">
        <is>
          <t>raw JSON</t>
        </is>
      </c>
      <c r="I525" s="16" t="inlineStr">
        <is>
          <t>Sent as JSON string; Content-Type application/json.</t>
        </is>
      </c>
      <c r="J525" s="16" t="inlineStr"/>
      <c r="K525" s="16" t="inlineStr">
        <is>
          <t>Not Run</t>
        </is>
      </c>
      <c r="L525" s="16" t="inlineStr">
        <is>
          <t>Low</t>
        </is>
      </c>
      <c r="M525" s="16" t="inlineStr"/>
      <c r="N525" s="16" t="inlineStr"/>
      <c r="O525" s="16" t="inlineStr"/>
    </row>
    <row r="526" ht="72" customHeight="1">
      <c r="A526" s="16" t="inlineStr">
        <is>
          <t>TC-BC-0004</t>
        </is>
      </c>
      <c r="B526" s="16" t="inlineStr">
        <is>
          <t>Body Content Variations</t>
        </is>
      </c>
      <c r="C526" s="16" t="inlineStr">
        <is>
          <t>JSON</t>
        </is>
      </c>
      <c r="D526" s="16" t="inlineStr">
        <is>
          <t>Edge Case</t>
        </is>
      </c>
      <c r="E526" s="16" t="inlineStr">
        <is>
          <t>Single value (number)</t>
        </is>
      </c>
      <c r="F526" s="16" t="inlineStr">
        <is>
          <t>-</t>
        </is>
      </c>
      <c r="G526" s="16" t="inlineStr">
        <is>
          <t>1. Body: 42</t>
        </is>
      </c>
      <c r="H526" s="16" t="inlineStr">
        <is>
          <t>raw JSON</t>
        </is>
      </c>
      <c r="I526" s="16" t="inlineStr">
        <is>
          <t>Sent as JSON number.</t>
        </is>
      </c>
      <c r="J526" s="16" t="inlineStr"/>
      <c r="K526" s="16" t="inlineStr">
        <is>
          <t>Not Run</t>
        </is>
      </c>
      <c r="L526" s="16" t="inlineStr">
        <is>
          <t>Low</t>
        </is>
      </c>
      <c r="M526" s="16" t="inlineStr"/>
      <c r="N526" s="16" t="inlineStr"/>
      <c r="O526" s="16" t="inlineStr"/>
    </row>
    <row r="527" ht="72" customHeight="1">
      <c r="A527" s="16" t="inlineStr">
        <is>
          <t>TC-BC-0005</t>
        </is>
      </c>
      <c r="B527" s="16" t="inlineStr">
        <is>
          <t>Body Content Variations</t>
        </is>
      </c>
      <c r="C527" s="16" t="inlineStr">
        <is>
          <t>JSON</t>
        </is>
      </c>
      <c r="D527" s="16" t="inlineStr">
        <is>
          <t>Edge Case</t>
        </is>
      </c>
      <c r="E527" s="16" t="inlineStr">
        <is>
          <t>Single value (boolean)</t>
        </is>
      </c>
      <c r="F527" s="16" t="inlineStr">
        <is>
          <t>-</t>
        </is>
      </c>
      <c r="G527" s="16" t="inlineStr">
        <is>
          <t>1. Body: true</t>
        </is>
      </c>
      <c r="H527" s="16" t="inlineStr">
        <is>
          <t>raw JSON</t>
        </is>
      </c>
      <c r="I527" s="16" t="inlineStr">
        <is>
          <t>Sent verbatim.</t>
        </is>
      </c>
      <c r="J527" s="16" t="inlineStr"/>
      <c r="K527" s="16" t="inlineStr">
        <is>
          <t>Not Run</t>
        </is>
      </c>
      <c r="L527" s="16" t="inlineStr">
        <is>
          <t>Low</t>
        </is>
      </c>
      <c r="M527" s="16" t="inlineStr"/>
      <c r="N527" s="16" t="inlineStr"/>
      <c r="O527" s="16" t="inlineStr"/>
    </row>
    <row r="528" ht="72" customHeight="1">
      <c r="A528" s="16" t="inlineStr">
        <is>
          <t>TC-BC-0006</t>
        </is>
      </c>
      <c r="B528" s="16" t="inlineStr">
        <is>
          <t>Body Content Variations</t>
        </is>
      </c>
      <c r="C528" s="16" t="inlineStr">
        <is>
          <t>JSON</t>
        </is>
      </c>
      <c r="D528" s="16" t="inlineStr">
        <is>
          <t>Edge Case</t>
        </is>
      </c>
      <c r="E528" s="16" t="inlineStr">
        <is>
          <t>Single value (null)</t>
        </is>
      </c>
      <c r="F528" s="16" t="inlineStr">
        <is>
          <t>-</t>
        </is>
      </c>
      <c r="G528" s="16" t="inlineStr">
        <is>
          <t>1. Body: null</t>
        </is>
      </c>
      <c r="H528" s="16" t="inlineStr">
        <is>
          <t>raw JSON</t>
        </is>
      </c>
      <c r="I528" s="16" t="inlineStr">
        <is>
          <t>Sent verbatim.</t>
        </is>
      </c>
      <c r="J528" s="16" t="inlineStr"/>
      <c r="K528" s="16" t="inlineStr">
        <is>
          <t>Not Run</t>
        </is>
      </c>
      <c r="L528" s="16" t="inlineStr">
        <is>
          <t>Low</t>
        </is>
      </c>
      <c r="M528" s="16" t="inlineStr"/>
      <c r="N528" s="16" t="inlineStr"/>
      <c r="O528" s="16" t="inlineStr"/>
    </row>
    <row r="529" ht="72" customHeight="1">
      <c r="A529" s="16" t="inlineStr">
        <is>
          <t>TC-BC-0007</t>
        </is>
      </c>
      <c r="B529" s="16" t="inlineStr">
        <is>
          <t>Body Content Variations</t>
        </is>
      </c>
      <c r="C529" s="16" t="inlineStr">
        <is>
          <t>JSON</t>
        </is>
      </c>
      <c r="D529" s="16" t="inlineStr">
        <is>
          <t>Edge Case</t>
        </is>
      </c>
      <c r="E529" s="16" t="inlineStr">
        <is>
          <t>Deeply nested object (10 levels)</t>
        </is>
      </c>
      <c r="F529" s="16" t="inlineStr">
        <is>
          <t>-</t>
        </is>
      </c>
      <c r="G529" s="16" t="inlineStr">
        <is>
          <t>1. Build nested JSON 10 levels deep.</t>
        </is>
      </c>
      <c r="H529" s="16" t="inlineStr">
        <is>
          <t>raw JSON</t>
        </is>
      </c>
      <c r="I529" s="16" t="inlineStr">
        <is>
          <t>Renders without performance issues; sent intact.</t>
        </is>
      </c>
      <c r="J529" s="16" t="inlineStr"/>
      <c r="K529" s="16" t="inlineStr">
        <is>
          <t>Not Run</t>
        </is>
      </c>
      <c r="L529" s="16" t="inlineStr">
        <is>
          <t>Medium</t>
        </is>
      </c>
      <c r="M529" s="16" t="inlineStr"/>
      <c r="N529" s="16" t="inlineStr"/>
      <c r="O529" s="16" t="inlineStr"/>
    </row>
    <row r="530" ht="72" customHeight="1">
      <c r="A530" s="16" t="inlineStr">
        <is>
          <t>TC-BC-0008</t>
        </is>
      </c>
      <c r="B530" s="16" t="inlineStr">
        <is>
          <t>Body Content Variations</t>
        </is>
      </c>
      <c r="C530" s="16" t="inlineStr">
        <is>
          <t>JSON</t>
        </is>
      </c>
      <c r="D530" s="16" t="inlineStr">
        <is>
          <t>Performance</t>
        </is>
      </c>
      <c r="E530" s="16" t="inlineStr">
        <is>
          <t>Large flat object (1000 keys)</t>
        </is>
      </c>
      <c r="F530" s="16" t="inlineStr">
        <is>
          <t>-</t>
        </is>
      </c>
      <c r="G530" s="16" t="inlineStr">
        <is>
          <t>1. Generate 1000-key JSON.</t>
        </is>
      </c>
      <c r="H530" s="16" t="inlineStr">
        <is>
          <t>raw JSON</t>
        </is>
      </c>
      <c r="I530" s="16" t="inlineStr">
        <is>
          <t>Editor remains responsive; sent intact.</t>
        </is>
      </c>
      <c r="J530" s="16" t="inlineStr"/>
      <c r="K530" s="16" t="inlineStr">
        <is>
          <t>Not Run</t>
        </is>
      </c>
      <c r="L530" s="16" t="inlineStr">
        <is>
          <t>Medium</t>
        </is>
      </c>
      <c r="M530" s="16" t="inlineStr"/>
      <c r="N530" s="16" t="inlineStr"/>
      <c r="O530" s="16" t="inlineStr"/>
    </row>
    <row r="531" ht="72" customHeight="1">
      <c r="A531" s="16" t="inlineStr">
        <is>
          <t>TC-BC-0009</t>
        </is>
      </c>
      <c r="B531" s="16" t="inlineStr">
        <is>
          <t>Body Content Variations</t>
        </is>
      </c>
      <c r="C531" s="16" t="inlineStr">
        <is>
          <t>JSON</t>
        </is>
      </c>
      <c r="D531" s="16" t="inlineStr">
        <is>
          <t>Performance</t>
        </is>
      </c>
      <c r="E531" s="16" t="inlineStr">
        <is>
          <t>Large array (10000 entries)</t>
        </is>
      </c>
      <c r="F531" s="16" t="inlineStr">
        <is>
          <t>-</t>
        </is>
      </c>
      <c r="G531" s="16" t="inlineStr">
        <is>
          <t>1. Generate JSON array of 10000 items.</t>
        </is>
      </c>
      <c r="H531" s="16" t="inlineStr">
        <is>
          <t>raw JSON</t>
        </is>
      </c>
      <c r="I531" s="16" t="inlineStr">
        <is>
          <t>Editor responsive; preview cap may apply.</t>
        </is>
      </c>
      <c r="J531" s="16" t="inlineStr"/>
      <c r="K531" s="16" t="inlineStr">
        <is>
          <t>Not Run</t>
        </is>
      </c>
      <c r="L531" s="16" t="inlineStr">
        <is>
          <t>Medium</t>
        </is>
      </c>
      <c r="M531" s="16" t="inlineStr"/>
      <c r="N531" s="16" t="inlineStr"/>
      <c r="O531" s="16" t="inlineStr"/>
    </row>
    <row r="532" ht="72" customHeight="1">
      <c r="A532" s="16" t="inlineStr">
        <is>
          <t>TC-BC-0010</t>
        </is>
      </c>
      <c r="B532" s="16" t="inlineStr">
        <is>
          <t>Body Content Variations</t>
        </is>
      </c>
      <c r="C532" s="16" t="inlineStr">
        <is>
          <t>JSON</t>
        </is>
      </c>
      <c r="D532" s="16" t="inlineStr">
        <is>
          <t>Edge Case</t>
        </is>
      </c>
      <c r="E532" s="16" t="inlineStr">
        <is>
          <t>Unicode key</t>
        </is>
      </c>
      <c r="F532" s="16" t="inlineStr">
        <is>
          <t>-</t>
        </is>
      </c>
      <c r="G532" s="16" t="inlineStr">
        <is>
          <t>1. {"测试":"v"}</t>
        </is>
      </c>
      <c r="H532" s="16" t="inlineStr">
        <is>
          <t>raw JSON</t>
        </is>
      </c>
      <c r="I532" s="16" t="inlineStr">
        <is>
          <t>Keys/values preserve unicode bytes; server echo confirms.</t>
        </is>
      </c>
      <c r="J532" s="16" t="inlineStr"/>
      <c r="K532" s="16" t="inlineStr">
        <is>
          <t>Not Run</t>
        </is>
      </c>
      <c r="L532" s="16" t="inlineStr">
        <is>
          <t>Low</t>
        </is>
      </c>
      <c r="M532" s="16" t="inlineStr"/>
      <c r="N532" s="16" t="inlineStr"/>
      <c r="O532" s="16" t="inlineStr"/>
    </row>
    <row r="533" ht="72" customHeight="1">
      <c r="A533" s="16" t="inlineStr">
        <is>
          <t>TC-BC-0011</t>
        </is>
      </c>
      <c r="B533" s="16" t="inlineStr">
        <is>
          <t>Body Content Variations</t>
        </is>
      </c>
      <c r="C533" s="16" t="inlineStr">
        <is>
          <t>JSON</t>
        </is>
      </c>
      <c r="D533" s="16" t="inlineStr">
        <is>
          <t>Edge Case</t>
        </is>
      </c>
      <c r="E533" s="16" t="inlineStr">
        <is>
          <t>Emoji in value</t>
        </is>
      </c>
      <c r="F533" s="16" t="inlineStr">
        <is>
          <t>-</t>
        </is>
      </c>
      <c r="G533" s="16" t="inlineStr">
        <is>
          <t>1. {"a":"🚀"}</t>
        </is>
      </c>
      <c r="H533" s="16" t="inlineStr">
        <is>
          <t>raw JSON</t>
        </is>
      </c>
      <c r="I533" s="16" t="inlineStr">
        <is>
          <t>Emoji bytes preserved.</t>
        </is>
      </c>
      <c r="J533" s="16" t="inlineStr"/>
      <c r="K533" s="16" t="inlineStr">
        <is>
          <t>Not Run</t>
        </is>
      </c>
      <c r="L533" s="16" t="inlineStr">
        <is>
          <t>Low</t>
        </is>
      </c>
      <c r="M533" s="16" t="inlineStr"/>
      <c r="N533" s="16" t="inlineStr"/>
      <c r="O533" s="16" t="inlineStr"/>
    </row>
    <row r="534" ht="72" customHeight="1">
      <c r="A534" s="16" t="inlineStr">
        <is>
          <t>TC-BC-0012</t>
        </is>
      </c>
      <c r="B534" s="16" t="inlineStr">
        <is>
          <t>Body Content Variations</t>
        </is>
      </c>
      <c r="C534" s="16" t="inlineStr">
        <is>
          <t>JSON</t>
        </is>
      </c>
      <c r="D534" s="16" t="inlineStr">
        <is>
          <t>Edge Case</t>
        </is>
      </c>
      <c r="E534" s="16" t="inlineStr">
        <is>
          <t>Escape sequences</t>
        </is>
      </c>
      <c r="F534" s="16" t="inlineStr">
        <is>
          <t>-</t>
        </is>
      </c>
      <c r="G534" s="16" t="inlineStr">
        <is>
          <t>1. {"a":"line1\nline2\tx"}</t>
        </is>
      </c>
      <c r="H534" s="16" t="inlineStr">
        <is>
          <t>raw JSON</t>
        </is>
      </c>
      <c r="I534" s="16" t="inlineStr">
        <is>
          <t>Escape sequences preserved.</t>
        </is>
      </c>
      <c r="J534" s="16" t="inlineStr"/>
      <c r="K534" s="16" t="inlineStr">
        <is>
          <t>Not Run</t>
        </is>
      </c>
      <c r="L534" s="16" t="inlineStr">
        <is>
          <t>Medium</t>
        </is>
      </c>
      <c r="M534" s="16" t="inlineStr"/>
      <c r="N534" s="16" t="inlineStr"/>
      <c r="O534" s="16" t="inlineStr"/>
    </row>
    <row r="535" ht="72" customHeight="1">
      <c r="A535" s="16" t="inlineStr">
        <is>
          <t>TC-BC-0013</t>
        </is>
      </c>
      <c r="B535" s="16" t="inlineStr">
        <is>
          <t>Body Content Variations</t>
        </is>
      </c>
      <c r="C535" s="16" t="inlineStr">
        <is>
          <t>JSON</t>
        </is>
      </c>
      <c r="D535" s="16" t="inlineStr">
        <is>
          <t>Negative</t>
        </is>
      </c>
      <c r="E535" s="16" t="inlineStr">
        <is>
          <t>Trailing comma (invalid JSON)</t>
        </is>
      </c>
      <c r="F535" s="16" t="inlineStr">
        <is>
          <t>-</t>
        </is>
      </c>
      <c r="G535" s="16" t="inlineStr">
        <is>
          <t>1. {"a":1,}</t>
        </is>
      </c>
      <c r="H535" s="16" t="inlineStr">
        <is>
          <t>raw JSON</t>
        </is>
      </c>
      <c r="I535" s="16" t="inlineStr">
        <is>
          <t>Squiggle; send still attempts (server likely rejects).</t>
        </is>
      </c>
      <c r="J535" s="16" t="inlineStr"/>
      <c r="K535" s="16" t="inlineStr">
        <is>
          <t>Not Run</t>
        </is>
      </c>
      <c r="L535" s="16" t="inlineStr">
        <is>
          <t>Medium</t>
        </is>
      </c>
      <c r="M535" s="16" t="inlineStr"/>
      <c r="N535" s="16" t="inlineStr"/>
      <c r="O535" s="16" t="inlineStr"/>
    </row>
    <row r="536" ht="72" customHeight="1">
      <c r="A536" s="16" t="inlineStr">
        <is>
          <t>TC-BC-0014</t>
        </is>
      </c>
      <c r="B536" s="16" t="inlineStr">
        <is>
          <t>Body Content Variations</t>
        </is>
      </c>
      <c r="C536" s="16" t="inlineStr">
        <is>
          <t>JSON</t>
        </is>
      </c>
      <c r="D536" s="16" t="inlineStr">
        <is>
          <t>Negative</t>
        </is>
      </c>
      <c r="E536" s="16" t="inlineStr">
        <is>
          <t>Comments (invalid JSON)</t>
        </is>
      </c>
      <c r="F536" s="16" t="inlineStr">
        <is>
          <t>-</t>
        </is>
      </c>
      <c r="G536" s="16" t="inlineStr">
        <is>
          <t>1. {"a":1 /* c */}</t>
        </is>
      </c>
      <c r="H536" s="16" t="inlineStr">
        <is>
          <t>raw JSON</t>
        </is>
      </c>
      <c r="I536" s="16" t="inlineStr">
        <is>
          <t>Squiggle; non-standard JSON; send is user responsibility.</t>
        </is>
      </c>
      <c r="J536" s="16" t="inlineStr"/>
      <c r="K536" s="16" t="inlineStr">
        <is>
          <t>Not Run</t>
        </is>
      </c>
      <c r="L536" s="16" t="inlineStr">
        <is>
          <t>Low</t>
        </is>
      </c>
      <c r="M536" s="16" t="inlineStr"/>
      <c r="N536" s="16" t="inlineStr"/>
      <c r="O536" s="16" t="inlineStr"/>
    </row>
    <row r="537" ht="72" customHeight="1">
      <c r="A537" s="16" t="inlineStr">
        <is>
          <t>TC-BC-0015</t>
        </is>
      </c>
      <c r="B537" s="16" t="inlineStr">
        <is>
          <t>Body Content Variations</t>
        </is>
      </c>
      <c r="C537" s="16" t="inlineStr">
        <is>
          <t>JSON</t>
        </is>
      </c>
      <c r="D537" s="16" t="inlineStr">
        <is>
          <t>Edge Case</t>
        </is>
      </c>
      <c r="E537" s="16" t="inlineStr">
        <is>
          <t>BOM at start</t>
        </is>
      </c>
      <c r="F537" s="16" t="inlineStr">
        <is>
          <t>-</t>
        </is>
      </c>
      <c r="G537" s="16" t="inlineStr">
        <is>
          <t>1. Paste BOM + JSON.</t>
        </is>
      </c>
      <c r="H537" s="16" t="inlineStr">
        <is>
          <t>raw JSON</t>
        </is>
      </c>
      <c r="I537" s="16" t="inlineStr">
        <is>
          <t>Either auto-stripped or sent; consistent behavior.</t>
        </is>
      </c>
      <c r="J537" s="16" t="inlineStr"/>
      <c r="K537" s="16" t="inlineStr">
        <is>
          <t>Not Run</t>
        </is>
      </c>
      <c r="L537" s="16" t="inlineStr">
        <is>
          <t>Low</t>
        </is>
      </c>
      <c r="M537" s="16" t="inlineStr"/>
      <c r="N537" s="16" t="inlineStr"/>
      <c r="O537" s="16" t="inlineStr"/>
    </row>
    <row r="538" ht="72" customHeight="1">
      <c r="A538" s="16" t="inlineStr">
        <is>
          <t>TC-BC-0016</t>
        </is>
      </c>
      <c r="B538" s="16" t="inlineStr">
        <is>
          <t>Body Content Variations</t>
        </is>
      </c>
      <c r="C538" s="16" t="inlineStr">
        <is>
          <t>JSON</t>
        </is>
      </c>
      <c r="D538" s="16" t="inlineStr">
        <is>
          <t>Edge Case</t>
        </is>
      </c>
      <c r="E538" s="16" t="inlineStr">
        <is>
          <t>JSON with very large number (&gt;2^53)</t>
        </is>
      </c>
      <c r="F538" s="16" t="inlineStr">
        <is>
          <t>-</t>
        </is>
      </c>
      <c r="G538" s="16" t="inlineStr">
        <is>
          <t>1. Body {"id":9007199254740993}.</t>
        </is>
      </c>
      <c r="H538" s="16" t="inlineStr">
        <is>
          <t>raw JSON</t>
        </is>
      </c>
      <c r="I538" s="16" t="inlineStr">
        <is>
          <t>Sent verbatim; precision warning shown if applicable.</t>
        </is>
      </c>
      <c r="J538" s="16" t="inlineStr"/>
      <c r="K538" s="16" t="inlineStr">
        <is>
          <t>Not Run</t>
        </is>
      </c>
      <c r="L538" s="16" t="inlineStr">
        <is>
          <t>Low</t>
        </is>
      </c>
      <c r="M538" s="16" t="inlineStr"/>
      <c r="N538" s="16" t="inlineStr"/>
      <c r="O538" s="16" t="inlineStr"/>
    </row>
    <row r="539" ht="72" customHeight="1">
      <c r="A539" s="16" t="inlineStr">
        <is>
          <t>TC-BC-0017</t>
        </is>
      </c>
      <c r="B539" s="16" t="inlineStr">
        <is>
          <t>Body Content Variations</t>
        </is>
      </c>
      <c r="C539" s="16" t="inlineStr">
        <is>
          <t>JSON</t>
        </is>
      </c>
      <c r="D539" s="16" t="inlineStr">
        <is>
          <t>Negative</t>
        </is>
      </c>
      <c r="E539" s="16" t="inlineStr">
        <is>
          <t>JSON with NaN/Infinity (non-standard)</t>
        </is>
      </c>
      <c r="F539" s="16" t="inlineStr">
        <is>
          <t>-</t>
        </is>
      </c>
      <c r="G539" s="16" t="inlineStr">
        <is>
          <t>1. Body {"x":NaN}</t>
        </is>
      </c>
      <c r="H539" s="16" t="inlineStr">
        <is>
          <t>raw JSON</t>
        </is>
      </c>
      <c r="I539" s="16" t="inlineStr">
        <is>
          <t>Invalid JSON; squiggle.</t>
        </is>
      </c>
      <c r="J539" s="16" t="inlineStr"/>
      <c r="K539" s="16" t="inlineStr">
        <is>
          <t>Not Run</t>
        </is>
      </c>
      <c r="L539" s="16" t="inlineStr">
        <is>
          <t>Low</t>
        </is>
      </c>
      <c r="M539" s="16" t="inlineStr"/>
      <c r="N539" s="16" t="inlineStr"/>
      <c r="O539" s="16" t="inlineStr"/>
    </row>
    <row r="540" ht="72" customHeight="1">
      <c r="A540" s="16" t="inlineStr">
        <is>
          <t>TC-BC-0018</t>
        </is>
      </c>
      <c r="B540" s="16" t="inlineStr">
        <is>
          <t>Body Content Variations</t>
        </is>
      </c>
      <c r="C540" s="16" t="inlineStr">
        <is>
          <t>JSON</t>
        </is>
      </c>
      <c r="D540" s="16" t="inlineStr">
        <is>
          <t>Functional</t>
        </is>
      </c>
      <c r="E540" s="16" t="inlineStr">
        <is>
          <t>Variable interpolation in JSON value</t>
        </is>
      </c>
      <c r="F540" s="16" t="inlineStr">
        <is>
          <t>Env name=alice.</t>
        </is>
      </c>
      <c r="G540" s="16" t="inlineStr">
        <is>
          <t>1. Body {"name":"{{name}}"}.</t>
        </is>
      </c>
      <c r="H540" s="16" t="inlineStr">
        <is>
          <t>raw JSON</t>
        </is>
      </c>
      <c r="I540" s="16" t="inlineStr">
        <is>
          <t>Resolves to alice.</t>
        </is>
      </c>
      <c r="J540" s="16" t="inlineStr"/>
      <c r="K540" s="16" t="inlineStr">
        <is>
          <t>Not Run</t>
        </is>
      </c>
      <c r="L540" s="16" t="inlineStr">
        <is>
          <t>Medium</t>
        </is>
      </c>
      <c r="M540" s="16" t="inlineStr"/>
      <c r="N540" s="16" t="inlineStr"/>
      <c r="O540" s="16" t="inlineStr"/>
    </row>
    <row r="541" ht="72" customHeight="1">
      <c r="A541" s="16" t="inlineStr">
        <is>
          <t>TC-BC-0019</t>
        </is>
      </c>
      <c r="B541" s="16" t="inlineStr">
        <is>
          <t>Body Content Variations</t>
        </is>
      </c>
      <c r="C541" s="16" t="inlineStr">
        <is>
          <t>JSON</t>
        </is>
      </c>
      <c r="D541" s="16" t="inlineStr">
        <is>
          <t>Edge Case</t>
        </is>
      </c>
      <c r="E541" s="16" t="inlineStr">
        <is>
          <t>Variable interpolation in JSON key</t>
        </is>
      </c>
      <c r="F541" s="16" t="inlineStr">
        <is>
          <t>Env k=greeting.</t>
        </is>
      </c>
      <c r="G541" s="16" t="inlineStr">
        <is>
          <t>1. Body {"{{k}}":"hi"}</t>
        </is>
      </c>
      <c r="H541" s="16" t="inlineStr">
        <is>
          <t>raw JSON</t>
        </is>
      </c>
      <c r="I541" s="16" t="inlineStr">
        <is>
          <t>Resolves to {greeting:hi}.</t>
        </is>
      </c>
      <c r="J541" s="16" t="inlineStr"/>
      <c r="K541" s="16" t="inlineStr">
        <is>
          <t>Not Run</t>
        </is>
      </c>
      <c r="L541" s="16" t="inlineStr">
        <is>
          <t>Low</t>
        </is>
      </c>
      <c r="M541" s="16" t="inlineStr"/>
      <c r="N541" s="16" t="inlineStr"/>
      <c r="O541" s="16" t="inlineStr"/>
    </row>
    <row r="542" ht="72" customHeight="1">
      <c r="A542" s="16" t="inlineStr">
        <is>
          <t>TC-BC-0020</t>
        </is>
      </c>
      <c r="B542" s="16" t="inlineStr">
        <is>
          <t>Body Content Variations</t>
        </is>
      </c>
      <c r="C542" s="16" t="inlineStr">
        <is>
          <t>XML</t>
        </is>
      </c>
      <c r="D542" s="16" t="inlineStr">
        <is>
          <t>Functional</t>
        </is>
      </c>
      <c r="E542" s="16" t="inlineStr">
        <is>
          <t>Well-formed minimal</t>
        </is>
      </c>
      <c r="F542" s="16" t="inlineStr">
        <is>
          <t>-</t>
        </is>
      </c>
      <c r="G542" s="16" t="inlineStr">
        <is>
          <t>1. &lt;a/&gt;.</t>
        </is>
      </c>
      <c r="H542" s="16" t="inlineStr">
        <is>
          <t>raw XML</t>
        </is>
      </c>
      <c r="I542" s="16" t="inlineStr">
        <is>
          <t>Sent verbatim.</t>
        </is>
      </c>
      <c r="J542" s="16" t="inlineStr"/>
      <c r="K542" s="16" t="inlineStr">
        <is>
          <t>Not Run</t>
        </is>
      </c>
      <c r="L542" s="16" t="inlineStr">
        <is>
          <t>Low</t>
        </is>
      </c>
      <c r="M542" s="16" t="inlineStr"/>
      <c r="N542" s="16" t="inlineStr"/>
      <c r="O542" s="16" t="inlineStr"/>
    </row>
    <row r="543" ht="72" customHeight="1">
      <c r="A543" s="16" t="inlineStr">
        <is>
          <t>TC-BC-0021</t>
        </is>
      </c>
      <c r="B543" s="16" t="inlineStr">
        <is>
          <t>Body Content Variations</t>
        </is>
      </c>
      <c r="C543" s="16" t="inlineStr">
        <is>
          <t>XML</t>
        </is>
      </c>
      <c r="D543" s="16" t="inlineStr">
        <is>
          <t>Functional</t>
        </is>
      </c>
      <c r="E543" s="16" t="inlineStr">
        <is>
          <t>With XML declaration</t>
        </is>
      </c>
      <c r="F543" s="16" t="inlineStr">
        <is>
          <t>-</t>
        </is>
      </c>
      <c r="G543" s="16" t="inlineStr">
        <is>
          <t>1. &lt;?xml version='1.0'?&gt;&lt;root/&gt;.</t>
        </is>
      </c>
      <c r="H543" s="16" t="inlineStr">
        <is>
          <t>raw XML</t>
        </is>
      </c>
      <c r="I543" s="16" t="inlineStr">
        <is>
          <t>Sent verbatim; encoding respected.</t>
        </is>
      </c>
      <c r="J543" s="16" t="inlineStr"/>
      <c r="K543" s="16" t="inlineStr">
        <is>
          <t>Not Run</t>
        </is>
      </c>
      <c r="L543" s="16" t="inlineStr">
        <is>
          <t>Medium</t>
        </is>
      </c>
      <c r="M543" s="16" t="inlineStr"/>
      <c r="N543" s="16" t="inlineStr"/>
      <c r="O543" s="16" t="inlineStr"/>
    </row>
    <row r="544" ht="72" customHeight="1">
      <c r="A544" s="16" t="inlineStr">
        <is>
          <t>TC-BC-0022</t>
        </is>
      </c>
      <c r="B544" s="16" t="inlineStr">
        <is>
          <t>Body Content Variations</t>
        </is>
      </c>
      <c r="C544" s="16" t="inlineStr">
        <is>
          <t>XML</t>
        </is>
      </c>
      <c r="D544" s="16" t="inlineStr">
        <is>
          <t>Functional</t>
        </is>
      </c>
      <c r="E544" s="16" t="inlineStr">
        <is>
          <t>With namespaces</t>
        </is>
      </c>
      <c r="F544" s="16" t="inlineStr">
        <is>
          <t>-</t>
        </is>
      </c>
      <c r="G544" s="16" t="inlineStr">
        <is>
          <t>1. Namespaced XML.</t>
        </is>
      </c>
      <c r="H544" s="16" t="inlineStr">
        <is>
          <t>raw XML</t>
        </is>
      </c>
      <c r="I544" s="16" t="inlineStr">
        <is>
          <t>Sent.</t>
        </is>
      </c>
      <c r="J544" s="16" t="inlineStr"/>
      <c r="K544" s="16" t="inlineStr">
        <is>
          <t>Not Run</t>
        </is>
      </c>
      <c r="L544" s="16" t="inlineStr">
        <is>
          <t>Low</t>
        </is>
      </c>
      <c r="M544" s="16" t="inlineStr"/>
      <c r="N544" s="16" t="inlineStr"/>
      <c r="O544" s="16" t="inlineStr"/>
    </row>
    <row r="545" ht="72" customHeight="1">
      <c r="A545" s="16" t="inlineStr">
        <is>
          <t>TC-BC-0023</t>
        </is>
      </c>
      <c r="B545" s="16" t="inlineStr">
        <is>
          <t>Body Content Variations</t>
        </is>
      </c>
      <c r="C545" s="16" t="inlineStr">
        <is>
          <t>XML</t>
        </is>
      </c>
      <c r="D545" s="16" t="inlineStr">
        <is>
          <t>Edge Case</t>
        </is>
      </c>
      <c r="E545" s="16" t="inlineStr">
        <is>
          <t>With CDATA</t>
        </is>
      </c>
      <c r="F545" s="16" t="inlineStr">
        <is>
          <t>-</t>
        </is>
      </c>
      <c r="G545" s="16" t="inlineStr">
        <is>
          <t>1. &lt;r&gt;&lt;![CDATA[&lt;x&gt;]]&gt;&lt;/r&gt;.</t>
        </is>
      </c>
      <c r="H545" s="16" t="inlineStr">
        <is>
          <t>raw XML</t>
        </is>
      </c>
      <c r="I545" s="16" t="inlineStr">
        <is>
          <t>CDATA preserved.</t>
        </is>
      </c>
      <c r="J545" s="16" t="inlineStr"/>
      <c r="K545" s="16" t="inlineStr">
        <is>
          <t>Not Run</t>
        </is>
      </c>
      <c r="L545" s="16" t="inlineStr">
        <is>
          <t>Low</t>
        </is>
      </c>
      <c r="M545" s="16" t="inlineStr"/>
      <c r="N545" s="16" t="inlineStr"/>
      <c r="O545" s="16" t="inlineStr"/>
    </row>
    <row r="546" ht="72" customHeight="1">
      <c r="A546" s="16" t="inlineStr">
        <is>
          <t>TC-BC-0024</t>
        </is>
      </c>
      <c r="B546" s="16" t="inlineStr">
        <is>
          <t>Body Content Variations</t>
        </is>
      </c>
      <c r="C546" s="16" t="inlineStr">
        <is>
          <t>XML</t>
        </is>
      </c>
      <c r="D546" s="16" t="inlineStr">
        <is>
          <t>Negative</t>
        </is>
      </c>
      <c r="E546" s="16" t="inlineStr">
        <is>
          <t>Malformed XML</t>
        </is>
      </c>
      <c r="F546" s="16" t="inlineStr">
        <is>
          <t>-</t>
        </is>
      </c>
      <c r="G546" s="16" t="inlineStr">
        <is>
          <t>1. &lt;a&gt;&lt;b&gt;&lt;/a&gt;.</t>
        </is>
      </c>
      <c r="H546" s="16" t="inlineStr">
        <is>
          <t>raw XML</t>
        </is>
      </c>
      <c r="I546" s="16" t="inlineStr">
        <is>
          <t>Squiggle; send still attempts.</t>
        </is>
      </c>
      <c r="J546" s="16" t="inlineStr"/>
      <c r="K546" s="16" t="inlineStr">
        <is>
          <t>Not Run</t>
        </is>
      </c>
      <c r="L546" s="16" t="inlineStr">
        <is>
          <t>Medium</t>
        </is>
      </c>
      <c r="M546" s="16" t="inlineStr"/>
      <c r="N546" s="16" t="inlineStr"/>
      <c r="O546" s="16" t="inlineStr"/>
    </row>
    <row r="547" ht="72" customHeight="1">
      <c r="A547" s="16" t="inlineStr">
        <is>
          <t>TC-BC-0025</t>
        </is>
      </c>
      <c r="B547" s="16" t="inlineStr">
        <is>
          <t>Body Content Variations</t>
        </is>
      </c>
      <c r="C547" s="16" t="inlineStr">
        <is>
          <t>XML</t>
        </is>
      </c>
      <c r="D547" s="16" t="inlineStr">
        <is>
          <t>Performance</t>
        </is>
      </c>
      <c r="E547" s="16" t="inlineStr">
        <is>
          <t>Large XML (1MB)</t>
        </is>
      </c>
      <c r="F547" s="16" t="inlineStr">
        <is>
          <t>-</t>
        </is>
      </c>
      <c r="G547" s="16" t="inlineStr">
        <is>
          <t>1. Big XML.</t>
        </is>
      </c>
      <c r="H547" s="16" t="inlineStr">
        <is>
          <t>raw XML</t>
        </is>
      </c>
      <c r="I547" s="16" t="inlineStr">
        <is>
          <t>Editor responsive.</t>
        </is>
      </c>
      <c r="J547" s="16" t="inlineStr"/>
      <c r="K547" s="16" t="inlineStr">
        <is>
          <t>Not Run</t>
        </is>
      </c>
      <c r="L547" s="16" t="inlineStr">
        <is>
          <t>Low</t>
        </is>
      </c>
      <c r="M547" s="16" t="inlineStr"/>
      <c r="N547" s="16" t="inlineStr"/>
      <c r="O547" s="16" t="inlineStr"/>
    </row>
    <row r="548" ht="72" customHeight="1">
      <c r="A548" s="16" t="inlineStr">
        <is>
          <t>TC-BC-0026</t>
        </is>
      </c>
      <c r="B548" s="16" t="inlineStr">
        <is>
          <t>Body Content Variations</t>
        </is>
      </c>
      <c r="C548" s="16" t="inlineStr">
        <is>
          <t>XML</t>
        </is>
      </c>
      <c r="D548" s="16" t="inlineStr">
        <is>
          <t>Edge Case</t>
        </is>
      </c>
      <c r="E548" s="16" t="inlineStr">
        <is>
          <t>Special chars in attribute</t>
        </is>
      </c>
      <c r="F548" s="16" t="inlineStr">
        <is>
          <t>-</t>
        </is>
      </c>
      <c r="G548" s="16" t="inlineStr">
        <is>
          <t>1. &lt;a x="a&amp;amp;b"/&gt;.</t>
        </is>
      </c>
      <c r="H548" s="16" t="inlineStr">
        <is>
          <t>raw XML</t>
        </is>
      </c>
      <c r="I548" s="16" t="inlineStr">
        <is>
          <t>Sent verbatim.</t>
        </is>
      </c>
      <c r="J548" s="16" t="inlineStr"/>
      <c r="K548" s="16" t="inlineStr">
        <is>
          <t>Not Run</t>
        </is>
      </c>
      <c r="L548" s="16" t="inlineStr">
        <is>
          <t>Low</t>
        </is>
      </c>
      <c r="M548" s="16" t="inlineStr"/>
      <c r="N548" s="16" t="inlineStr"/>
      <c r="O548" s="16" t="inlineStr"/>
    </row>
    <row r="549" ht="72" customHeight="1">
      <c r="A549" s="16" t="inlineStr">
        <is>
          <t>TC-BC-0027</t>
        </is>
      </c>
      <c r="B549" s="16" t="inlineStr">
        <is>
          <t>Body Content Variations</t>
        </is>
      </c>
      <c r="C549" s="16" t="inlineStr">
        <is>
          <t>XML</t>
        </is>
      </c>
      <c r="D549" s="16" t="inlineStr">
        <is>
          <t>Functional</t>
        </is>
      </c>
      <c r="E549" s="16" t="inlineStr">
        <is>
          <t>Variable in element value</t>
        </is>
      </c>
      <c r="F549" s="16" t="inlineStr">
        <is>
          <t>Env x=v.</t>
        </is>
      </c>
      <c r="G549" s="16" t="inlineStr">
        <is>
          <t>1. &lt;a&gt;{{x}}&lt;/a&gt;.</t>
        </is>
      </c>
      <c r="H549" s="16" t="inlineStr">
        <is>
          <t>raw XML</t>
        </is>
      </c>
      <c r="I549" s="16" t="inlineStr">
        <is>
          <t>Resolves to v.</t>
        </is>
      </c>
      <c r="J549" s="16" t="inlineStr"/>
      <c r="K549" s="16" t="inlineStr">
        <is>
          <t>Not Run</t>
        </is>
      </c>
      <c r="L549" s="16" t="inlineStr">
        <is>
          <t>Medium</t>
        </is>
      </c>
      <c r="M549" s="16" t="inlineStr"/>
      <c r="N549" s="16" t="inlineStr"/>
      <c r="O549" s="16" t="inlineStr"/>
    </row>
    <row r="550" ht="72" customHeight="1">
      <c r="A550" s="16" t="inlineStr">
        <is>
          <t>TC-BC-0028</t>
        </is>
      </c>
      <c r="B550" s="16" t="inlineStr">
        <is>
          <t>Body Content Variations</t>
        </is>
      </c>
      <c r="C550" s="16" t="inlineStr">
        <is>
          <t>FormData</t>
        </is>
      </c>
      <c r="D550" s="16" t="inlineStr">
        <is>
          <t>Functional</t>
        </is>
      </c>
      <c r="E550" s="16" t="inlineStr">
        <is>
          <t>Single text field</t>
        </is>
      </c>
      <c r="F550" s="16" t="inlineStr">
        <is>
          <t>-</t>
        </is>
      </c>
      <c r="G550" s="16" t="inlineStr">
        <is>
          <t>1. a=1.</t>
        </is>
      </c>
      <c r="H550" s="16" t="inlineStr">
        <is>
          <t>form-data</t>
        </is>
      </c>
      <c r="I550" s="16" t="inlineStr">
        <is>
          <t>Sent.</t>
        </is>
      </c>
      <c r="J550" s="16" t="inlineStr"/>
      <c r="K550" s="16" t="inlineStr">
        <is>
          <t>Not Run</t>
        </is>
      </c>
      <c r="L550" s="16" t="inlineStr">
        <is>
          <t>High</t>
        </is>
      </c>
      <c r="M550" s="16" t="inlineStr"/>
      <c r="N550" s="16" t="inlineStr"/>
      <c r="O550" s="16" t="inlineStr"/>
    </row>
    <row r="551" ht="72" customHeight="1">
      <c r="A551" s="16" t="inlineStr">
        <is>
          <t>TC-BC-0029</t>
        </is>
      </c>
      <c r="B551" s="16" t="inlineStr">
        <is>
          <t>Body Content Variations</t>
        </is>
      </c>
      <c r="C551" s="16" t="inlineStr">
        <is>
          <t>FormData</t>
        </is>
      </c>
      <c r="D551" s="16" t="inlineStr">
        <is>
          <t>Functional</t>
        </is>
      </c>
      <c r="E551" s="16" t="inlineStr">
        <is>
          <t>Multiple text fields</t>
        </is>
      </c>
      <c r="F551" s="16" t="inlineStr">
        <is>
          <t>-</t>
        </is>
      </c>
      <c r="G551" s="16" t="inlineStr">
        <is>
          <t>1. a=1, b=2, c=3.</t>
        </is>
      </c>
      <c r="H551" s="16" t="inlineStr">
        <is>
          <t>form-data</t>
        </is>
      </c>
      <c r="I551" s="16" t="inlineStr">
        <is>
          <t>All sent.</t>
        </is>
      </c>
      <c r="J551" s="16" t="inlineStr"/>
      <c r="K551" s="16" t="inlineStr">
        <is>
          <t>Not Run</t>
        </is>
      </c>
      <c r="L551" s="16" t="inlineStr">
        <is>
          <t>Medium</t>
        </is>
      </c>
      <c r="M551" s="16" t="inlineStr"/>
      <c r="N551" s="16" t="inlineStr"/>
      <c r="O551" s="16" t="inlineStr"/>
    </row>
    <row r="552" ht="72" customHeight="1">
      <c r="A552" s="16" t="inlineStr">
        <is>
          <t>TC-BC-0030</t>
        </is>
      </c>
      <c r="B552" s="16" t="inlineStr">
        <is>
          <t>Body Content Variations</t>
        </is>
      </c>
      <c r="C552" s="16" t="inlineStr">
        <is>
          <t>FormData</t>
        </is>
      </c>
      <c r="D552" s="16" t="inlineStr">
        <is>
          <t>Functional</t>
        </is>
      </c>
      <c r="E552" s="16" t="inlineStr">
        <is>
          <t>Text + file mixed</t>
        </is>
      </c>
      <c r="F552" s="16" t="inlineStr">
        <is>
          <t>-</t>
        </is>
      </c>
      <c r="G552" s="16" t="inlineStr">
        <is>
          <t>1. a=1; b=file.png.</t>
        </is>
      </c>
      <c r="H552" s="16" t="inlineStr">
        <is>
          <t>form-data</t>
        </is>
      </c>
      <c r="I552" s="16" t="inlineStr">
        <is>
          <t>Both transmitted; multipart correct.</t>
        </is>
      </c>
      <c r="J552" s="16" t="inlineStr"/>
      <c r="K552" s="16" t="inlineStr">
        <is>
          <t>Not Run</t>
        </is>
      </c>
      <c r="L552" s="16" t="inlineStr">
        <is>
          <t>High</t>
        </is>
      </c>
      <c r="M552" s="16" t="inlineStr"/>
      <c r="N552" s="16" t="inlineStr"/>
      <c r="O552" s="16" t="inlineStr"/>
    </row>
    <row r="553" ht="72" customHeight="1">
      <c r="A553" s="16" t="inlineStr">
        <is>
          <t>TC-BC-0031</t>
        </is>
      </c>
      <c r="B553" s="16" t="inlineStr">
        <is>
          <t>Body Content Variations</t>
        </is>
      </c>
      <c r="C553" s="16" t="inlineStr">
        <is>
          <t>FormData</t>
        </is>
      </c>
      <c r="D553" s="16" t="inlineStr">
        <is>
          <t>Edge Case</t>
        </is>
      </c>
      <c r="E553" s="16" t="inlineStr">
        <is>
          <t>Same key twice</t>
        </is>
      </c>
      <c r="F553" s="16" t="inlineStr">
        <is>
          <t>-</t>
        </is>
      </c>
      <c r="G553" s="16" t="inlineStr">
        <is>
          <t>1. a=1, a=2.</t>
        </is>
      </c>
      <c r="H553" s="16" t="inlineStr">
        <is>
          <t>form-data</t>
        </is>
      </c>
      <c r="I553" s="16" t="inlineStr">
        <is>
          <t>Both transmitted.</t>
        </is>
      </c>
      <c r="J553" s="16" t="inlineStr"/>
      <c r="K553" s="16" t="inlineStr">
        <is>
          <t>Not Run</t>
        </is>
      </c>
      <c r="L553" s="16" t="inlineStr">
        <is>
          <t>Low</t>
        </is>
      </c>
      <c r="M553" s="16" t="inlineStr"/>
      <c r="N553" s="16" t="inlineStr"/>
      <c r="O553" s="16" t="inlineStr"/>
    </row>
    <row r="554" ht="72" customHeight="1">
      <c r="A554" s="16" t="inlineStr">
        <is>
          <t>TC-BC-0032</t>
        </is>
      </c>
      <c r="B554" s="16" t="inlineStr">
        <is>
          <t>Body Content Variations</t>
        </is>
      </c>
      <c r="C554" s="16" t="inlineStr">
        <is>
          <t>FormData</t>
        </is>
      </c>
      <c r="D554" s="16" t="inlineStr">
        <is>
          <t>Functional</t>
        </is>
      </c>
      <c r="E554" s="16" t="inlineStr">
        <is>
          <t>Disabled row ignored</t>
        </is>
      </c>
      <c r="F554" s="16" t="inlineStr">
        <is>
          <t>-</t>
        </is>
      </c>
      <c r="G554" s="16" t="inlineStr">
        <is>
          <t>1. a=1 disabled; b=2.</t>
        </is>
      </c>
      <c r="H554" s="16" t="inlineStr">
        <is>
          <t>form-data</t>
        </is>
      </c>
      <c r="I554" s="16" t="inlineStr">
        <is>
          <t>Only b sent.</t>
        </is>
      </c>
      <c r="J554" s="16" t="inlineStr"/>
      <c r="K554" s="16" t="inlineStr">
        <is>
          <t>Not Run</t>
        </is>
      </c>
      <c r="L554" s="16" t="inlineStr">
        <is>
          <t>Medium</t>
        </is>
      </c>
      <c r="M554" s="16" t="inlineStr"/>
      <c r="N554" s="16" t="inlineStr"/>
      <c r="O554" s="16" t="inlineStr"/>
    </row>
    <row r="555" ht="72" customHeight="1">
      <c r="A555" s="16" t="inlineStr">
        <is>
          <t>TC-BC-0033</t>
        </is>
      </c>
      <c r="B555" s="16" t="inlineStr">
        <is>
          <t>Body Content Variations</t>
        </is>
      </c>
      <c r="C555" s="16" t="inlineStr">
        <is>
          <t>FormData</t>
        </is>
      </c>
      <c r="D555" s="16" t="inlineStr">
        <is>
          <t>Edge Case</t>
        </is>
      </c>
      <c r="E555" s="16" t="inlineStr">
        <is>
          <t>Empty value</t>
        </is>
      </c>
      <c r="F555" s="16" t="inlineStr">
        <is>
          <t>-</t>
        </is>
      </c>
      <c r="G555" s="16" t="inlineStr">
        <is>
          <t>1. a=''.</t>
        </is>
      </c>
      <c r="H555" s="16" t="inlineStr">
        <is>
          <t>form-data</t>
        </is>
      </c>
      <c r="I555" s="16" t="inlineStr">
        <is>
          <t>Sent as empty.</t>
        </is>
      </c>
      <c r="J555" s="16" t="inlineStr"/>
      <c r="K555" s="16" t="inlineStr">
        <is>
          <t>Not Run</t>
        </is>
      </c>
      <c r="L555" s="16" t="inlineStr">
        <is>
          <t>Low</t>
        </is>
      </c>
      <c r="M555" s="16" t="inlineStr"/>
      <c r="N555" s="16" t="inlineStr"/>
      <c r="O555" s="16" t="inlineStr"/>
    </row>
    <row r="556" ht="72" customHeight="1">
      <c r="A556" s="16" t="inlineStr">
        <is>
          <t>TC-BC-0034</t>
        </is>
      </c>
      <c r="B556" s="16" t="inlineStr">
        <is>
          <t>Body Content Variations</t>
        </is>
      </c>
      <c r="C556" s="16" t="inlineStr">
        <is>
          <t>FormData</t>
        </is>
      </c>
      <c r="D556" s="16" t="inlineStr">
        <is>
          <t>Edge Case</t>
        </is>
      </c>
      <c r="E556" s="16" t="inlineStr">
        <is>
          <t>Unicode key/value</t>
        </is>
      </c>
      <c r="F556" s="16" t="inlineStr">
        <is>
          <t>-</t>
        </is>
      </c>
      <c r="G556" s="16" t="inlineStr">
        <is>
          <t>1. 测试=值.</t>
        </is>
      </c>
      <c r="H556" s="16" t="inlineStr">
        <is>
          <t>form-data</t>
        </is>
      </c>
      <c r="I556" s="16" t="inlineStr">
        <is>
          <t>Encoded; server confirms.</t>
        </is>
      </c>
      <c r="J556" s="16" t="inlineStr"/>
      <c r="K556" s="16" t="inlineStr">
        <is>
          <t>Not Run</t>
        </is>
      </c>
      <c r="L556" s="16" t="inlineStr">
        <is>
          <t>Low</t>
        </is>
      </c>
      <c r="M556" s="16" t="inlineStr"/>
      <c r="N556" s="16" t="inlineStr"/>
      <c r="O556" s="16" t="inlineStr"/>
    </row>
    <row r="557" ht="72" customHeight="1">
      <c r="A557" s="16" t="inlineStr">
        <is>
          <t>TC-BC-0035</t>
        </is>
      </c>
      <c r="B557" s="16" t="inlineStr">
        <is>
          <t>Body Content Variations</t>
        </is>
      </c>
      <c r="C557" s="16" t="inlineStr">
        <is>
          <t>FormData</t>
        </is>
      </c>
      <c r="D557" s="16" t="inlineStr">
        <is>
          <t>Edge Case</t>
        </is>
      </c>
      <c r="E557" s="16" t="inlineStr">
        <is>
          <t>File with unicode filename</t>
        </is>
      </c>
      <c r="F557" s="16" t="inlineStr">
        <is>
          <t>-</t>
        </is>
      </c>
      <c r="G557" s="16" t="inlineStr">
        <is>
          <t>1. Pick '文件.txt'.</t>
        </is>
      </c>
      <c r="H557" s="16" t="inlineStr">
        <is>
          <t>form-data</t>
        </is>
      </c>
      <c r="I557" s="16" t="inlineStr">
        <is>
          <t>Filename preserved or encoded per RFC.</t>
        </is>
      </c>
      <c r="J557" s="16" t="inlineStr"/>
      <c r="K557" s="16" t="inlineStr">
        <is>
          <t>Not Run</t>
        </is>
      </c>
      <c r="L557" s="16" t="inlineStr">
        <is>
          <t>Low</t>
        </is>
      </c>
      <c r="M557" s="16" t="inlineStr"/>
      <c r="N557" s="16" t="inlineStr"/>
      <c r="O557" s="16" t="inlineStr"/>
    </row>
    <row r="558" ht="72" customHeight="1">
      <c r="A558" s="16" t="inlineStr">
        <is>
          <t>TC-BC-0036</t>
        </is>
      </c>
      <c r="B558" s="16" t="inlineStr">
        <is>
          <t>Body Content Variations</t>
        </is>
      </c>
      <c r="C558" s="16" t="inlineStr">
        <is>
          <t>FormData</t>
        </is>
      </c>
      <c r="D558" s="16" t="inlineStr">
        <is>
          <t>Edge Case</t>
        </is>
      </c>
      <c r="E558" s="16" t="inlineStr">
        <is>
          <t>File with no extension</t>
        </is>
      </c>
      <c r="F558" s="16" t="inlineStr">
        <is>
          <t>-</t>
        </is>
      </c>
      <c r="G558" s="16" t="inlineStr">
        <is>
          <t>1. Pick file with no extension.</t>
        </is>
      </c>
      <c r="H558" s="16" t="inlineStr">
        <is>
          <t>form-data</t>
        </is>
      </c>
      <c r="I558" s="16" t="inlineStr">
        <is>
          <t>Content-Type fallback (octet-stream).</t>
        </is>
      </c>
      <c r="J558" s="16" t="inlineStr"/>
      <c r="K558" s="16" t="inlineStr">
        <is>
          <t>Not Run</t>
        </is>
      </c>
      <c r="L558" s="16" t="inlineStr">
        <is>
          <t>Low</t>
        </is>
      </c>
      <c r="M558" s="16" t="inlineStr"/>
      <c r="N558" s="16" t="inlineStr"/>
      <c r="O558" s="16" t="inlineStr"/>
    </row>
    <row r="559" ht="72" customHeight="1">
      <c r="A559" s="16" t="inlineStr">
        <is>
          <t>TC-BC-0037</t>
        </is>
      </c>
      <c r="B559" s="16" t="inlineStr">
        <is>
          <t>Body Content Variations</t>
        </is>
      </c>
      <c r="C559" s="16" t="inlineStr">
        <is>
          <t>FormData</t>
        </is>
      </c>
      <c r="D559" s="16" t="inlineStr">
        <is>
          <t>Functional</t>
        </is>
      </c>
      <c r="E559" s="16" t="inlineStr">
        <is>
          <t>Variable in field value</t>
        </is>
      </c>
      <c r="F559" s="16" t="inlineStr">
        <is>
          <t>Env n=alice.</t>
        </is>
      </c>
      <c r="G559" s="16" t="inlineStr">
        <is>
          <t>1. name={{n}}.</t>
        </is>
      </c>
      <c r="H559" s="16" t="inlineStr">
        <is>
          <t>form-data</t>
        </is>
      </c>
      <c r="I559" s="16" t="inlineStr">
        <is>
          <t>Resolves to alice.</t>
        </is>
      </c>
      <c r="J559" s="16" t="inlineStr"/>
      <c r="K559" s="16" t="inlineStr">
        <is>
          <t>Not Run</t>
        </is>
      </c>
      <c r="L559" s="16" t="inlineStr">
        <is>
          <t>Medium</t>
        </is>
      </c>
      <c r="M559" s="16" t="inlineStr"/>
      <c r="N559" s="16" t="inlineStr"/>
      <c r="O559" s="16" t="inlineStr"/>
    </row>
    <row r="560" ht="72" customHeight="1">
      <c r="A560" s="16" t="inlineStr">
        <is>
          <t>TC-BC-0038</t>
        </is>
      </c>
      <c r="B560" s="16" t="inlineStr">
        <is>
          <t>Body Content Variations</t>
        </is>
      </c>
      <c r="C560" s="16" t="inlineStr">
        <is>
          <t>Binary</t>
        </is>
      </c>
      <c r="D560" s="16" t="inlineStr">
        <is>
          <t>Functional</t>
        </is>
      </c>
      <c r="E560" s="16" t="inlineStr">
        <is>
          <t>Small text file (1KB)</t>
        </is>
      </c>
      <c r="F560" s="16" t="inlineStr">
        <is>
          <t>-</t>
        </is>
      </c>
      <c r="G560" s="16" t="inlineStr">
        <is>
          <t>1. Send.</t>
        </is>
      </c>
      <c r="H560" s="16" t="inlineStr">
        <is>
          <t>binary</t>
        </is>
      </c>
      <c r="I560" s="16" t="inlineStr">
        <is>
          <t>Bytes match.</t>
        </is>
      </c>
      <c r="J560" s="16" t="inlineStr"/>
      <c r="K560" s="16" t="inlineStr">
        <is>
          <t>Not Run</t>
        </is>
      </c>
      <c r="L560" s="16" t="inlineStr">
        <is>
          <t>High</t>
        </is>
      </c>
      <c r="M560" s="16" t="inlineStr"/>
      <c r="N560" s="16" t="inlineStr"/>
      <c r="O560" s="16" t="inlineStr"/>
    </row>
    <row r="561" ht="72" customHeight="1">
      <c r="A561" s="16" t="inlineStr">
        <is>
          <t>TC-BC-0039</t>
        </is>
      </c>
      <c r="B561" s="16" t="inlineStr">
        <is>
          <t>Body Content Variations</t>
        </is>
      </c>
      <c r="C561" s="16" t="inlineStr">
        <is>
          <t>Binary</t>
        </is>
      </c>
      <c r="D561" s="16" t="inlineStr">
        <is>
          <t>Functional</t>
        </is>
      </c>
      <c r="E561" s="16" t="inlineStr">
        <is>
          <t>Image (PNG 100KB)</t>
        </is>
      </c>
      <c r="F561" s="16" t="inlineStr">
        <is>
          <t>-</t>
        </is>
      </c>
      <c r="G561" s="16" t="inlineStr">
        <is>
          <t>1. Send.</t>
        </is>
      </c>
      <c r="H561" s="16" t="inlineStr">
        <is>
          <t>binary</t>
        </is>
      </c>
      <c r="I561" s="16" t="inlineStr">
        <is>
          <t>Content-Type image/png.</t>
        </is>
      </c>
      <c r="J561" s="16" t="inlineStr"/>
      <c r="K561" s="16" t="inlineStr">
        <is>
          <t>Not Run</t>
        </is>
      </c>
      <c r="L561" s="16" t="inlineStr">
        <is>
          <t>Medium</t>
        </is>
      </c>
      <c r="M561" s="16" t="inlineStr"/>
      <c r="N561" s="16" t="inlineStr"/>
      <c r="O561" s="16" t="inlineStr"/>
    </row>
    <row r="562" ht="72" customHeight="1">
      <c r="A562" s="16" t="inlineStr">
        <is>
          <t>TC-BC-0040</t>
        </is>
      </c>
      <c r="B562" s="16" t="inlineStr">
        <is>
          <t>Body Content Variations</t>
        </is>
      </c>
      <c r="C562" s="16" t="inlineStr">
        <is>
          <t>Binary</t>
        </is>
      </c>
      <c r="D562" s="16" t="inlineStr">
        <is>
          <t>Functional</t>
        </is>
      </c>
      <c r="E562" s="16" t="inlineStr">
        <is>
          <t>PDF (1MB)</t>
        </is>
      </c>
      <c r="F562" s="16" t="inlineStr">
        <is>
          <t>-</t>
        </is>
      </c>
      <c r="G562" s="16" t="inlineStr">
        <is>
          <t>1. Send.</t>
        </is>
      </c>
      <c r="H562" s="16" t="inlineStr">
        <is>
          <t>binary</t>
        </is>
      </c>
      <c r="I562" s="16" t="inlineStr">
        <is>
          <t>Content-Type application/pdf.</t>
        </is>
      </c>
      <c r="J562" s="16" t="inlineStr"/>
      <c r="K562" s="16" t="inlineStr">
        <is>
          <t>Not Run</t>
        </is>
      </c>
      <c r="L562" s="16" t="inlineStr">
        <is>
          <t>Medium</t>
        </is>
      </c>
      <c r="M562" s="16" t="inlineStr"/>
      <c r="N562" s="16" t="inlineStr"/>
      <c r="O562" s="16" t="inlineStr"/>
    </row>
    <row r="563" ht="72" customHeight="1">
      <c r="A563" s="16" t="inlineStr">
        <is>
          <t>TC-BC-0041</t>
        </is>
      </c>
      <c r="B563" s="16" t="inlineStr">
        <is>
          <t>Body Content Variations</t>
        </is>
      </c>
      <c r="C563" s="16" t="inlineStr">
        <is>
          <t>Binary</t>
        </is>
      </c>
      <c r="D563" s="16" t="inlineStr">
        <is>
          <t>Edge Case</t>
        </is>
      </c>
      <c r="E563" s="16" t="inlineStr">
        <is>
          <t>Empty file (0 bytes)</t>
        </is>
      </c>
      <c r="F563" s="16" t="inlineStr">
        <is>
          <t>-</t>
        </is>
      </c>
      <c r="G563" s="16" t="inlineStr">
        <is>
          <t>1. Pick empty. Send.</t>
        </is>
      </c>
      <c r="H563" s="16" t="inlineStr">
        <is>
          <t>binary</t>
        </is>
      </c>
      <c r="I563" s="16" t="inlineStr">
        <is>
          <t>Either allows with warning or blocks; consistent.</t>
        </is>
      </c>
      <c r="J563" s="16" t="inlineStr"/>
      <c r="K563" s="16" t="inlineStr">
        <is>
          <t>Not Run</t>
        </is>
      </c>
      <c r="L563" s="16" t="inlineStr">
        <is>
          <t>Low</t>
        </is>
      </c>
      <c r="M563" s="16" t="inlineStr"/>
      <c r="N563" s="16" t="inlineStr"/>
      <c r="O563" s="16" t="inlineStr"/>
    </row>
    <row r="564" ht="72" customHeight="1">
      <c r="A564" s="16" t="inlineStr">
        <is>
          <t>TC-BC-0042</t>
        </is>
      </c>
      <c r="B564" s="16" t="inlineStr">
        <is>
          <t>Body Content Variations</t>
        </is>
      </c>
      <c r="C564" s="16" t="inlineStr">
        <is>
          <t>Binary</t>
        </is>
      </c>
      <c r="D564" s="16" t="inlineStr">
        <is>
          <t>Negative</t>
        </is>
      </c>
      <c r="E564" s="16" t="inlineStr">
        <is>
          <t>Locked file (Windows in-use)</t>
        </is>
      </c>
      <c r="F564" s="16" t="inlineStr">
        <is>
          <t>-</t>
        </is>
      </c>
      <c r="G564" s="16" t="inlineStr">
        <is>
          <t>1. Pick a file open in another process.</t>
        </is>
      </c>
      <c r="H564" s="16" t="inlineStr">
        <is>
          <t>binary</t>
        </is>
      </c>
      <c r="I564" s="16" t="inlineStr">
        <is>
          <t>OS error surfaced clearly.</t>
        </is>
      </c>
      <c r="J564" s="16" t="inlineStr"/>
      <c r="K564" s="16" t="inlineStr">
        <is>
          <t>Not Run</t>
        </is>
      </c>
      <c r="L564" s="16" t="inlineStr">
        <is>
          <t>Low</t>
        </is>
      </c>
      <c r="M564" s="16" t="inlineStr"/>
      <c r="N564" s="16" t="inlineStr"/>
      <c r="O564" s="16" t="inlineStr"/>
    </row>
    <row r="565" ht="72" customHeight="1">
      <c r="A565" s="16" t="inlineStr">
        <is>
          <t>TC-BC-0043</t>
        </is>
      </c>
      <c r="B565" s="16" t="inlineStr">
        <is>
          <t>Body Content Variations</t>
        </is>
      </c>
      <c r="C565" s="16" t="inlineStr">
        <is>
          <t>Urlencoded</t>
        </is>
      </c>
      <c r="D565" s="16" t="inlineStr">
        <is>
          <t>Functional</t>
        </is>
      </c>
      <c r="E565" s="16" t="inlineStr">
        <is>
          <t>Single pair</t>
        </is>
      </c>
      <c r="F565" s="16" t="inlineStr">
        <is>
          <t>-</t>
        </is>
      </c>
      <c r="G565" s="16" t="inlineStr">
        <is>
          <t>1. a=1.</t>
        </is>
      </c>
      <c r="H565" s="16" t="inlineStr">
        <is>
          <t>urlencoded</t>
        </is>
      </c>
      <c r="I565" s="16" t="inlineStr">
        <is>
          <t>Body 'a=1'.</t>
        </is>
      </c>
      <c r="J565" s="16" t="inlineStr"/>
      <c r="K565" s="16" t="inlineStr">
        <is>
          <t>Not Run</t>
        </is>
      </c>
      <c r="L565" s="16" t="inlineStr">
        <is>
          <t>High</t>
        </is>
      </c>
      <c r="M565" s="16" t="inlineStr"/>
      <c r="N565" s="16" t="inlineStr"/>
      <c r="O565" s="16" t="inlineStr"/>
    </row>
    <row r="566" ht="72" customHeight="1">
      <c r="A566" s="16" t="inlineStr">
        <is>
          <t>TC-BC-0044</t>
        </is>
      </c>
      <c r="B566" s="16" t="inlineStr">
        <is>
          <t>Body Content Variations</t>
        </is>
      </c>
      <c r="C566" s="16" t="inlineStr">
        <is>
          <t>Urlencoded</t>
        </is>
      </c>
      <c r="D566" s="16" t="inlineStr">
        <is>
          <t>Edge Case</t>
        </is>
      </c>
      <c r="E566" s="16" t="inlineStr">
        <is>
          <t>Reserved chars value</t>
        </is>
      </c>
      <c r="F566" s="16" t="inlineStr">
        <is>
          <t>-</t>
        </is>
      </c>
      <c r="G566" s="16" t="inlineStr">
        <is>
          <t>1. q='a&amp;b=c'.</t>
        </is>
      </c>
      <c r="H566" s="16" t="inlineStr">
        <is>
          <t>urlencoded</t>
        </is>
      </c>
      <c r="I566" s="16" t="inlineStr">
        <is>
          <t>Encoded.</t>
        </is>
      </c>
      <c r="J566" s="16" t="inlineStr"/>
      <c r="K566" s="16" t="inlineStr">
        <is>
          <t>Not Run</t>
        </is>
      </c>
      <c r="L566" s="16" t="inlineStr">
        <is>
          <t>Medium</t>
        </is>
      </c>
      <c r="M566" s="16" t="inlineStr"/>
      <c r="N566" s="16" t="inlineStr"/>
      <c r="O566" s="16" t="inlineStr"/>
    </row>
    <row r="567" ht="72" customHeight="1">
      <c r="A567" s="16" t="inlineStr">
        <is>
          <t>TC-BC-0045</t>
        </is>
      </c>
      <c r="B567" s="16" t="inlineStr">
        <is>
          <t>Body Content Variations</t>
        </is>
      </c>
      <c r="C567" s="16" t="inlineStr">
        <is>
          <t>Urlencoded</t>
        </is>
      </c>
      <c r="D567" s="16" t="inlineStr">
        <is>
          <t>Edge Case</t>
        </is>
      </c>
      <c r="E567" s="16" t="inlineStr">
        <is>
          <t>Empty value</t>
        </is>
      </c>
      <c r="F567" s="16" t="inlineStr">
        <is>
          <t>-</t>
        </is>
      </c>
      <c r="G567" s="16" t="inlineStr">
        <is>
          <t>1. a=.</t>
        </is>
      </c>
      <c r="H567" s="16" t="inlineStr">
        <is>
          <t>urlencoded</t>
        </is>
      </c>
      <c r="I567" s="16" t="inlineStr">
        <is>
          <t>Body 'a='.</t>
        </is>
      </c>
      <c r="J567" s="16" t="inlineStr"/>
      <c r="K567" s="16" t="inlineStr">
        <is>
          <t>Not Run</t>
        </is>
      </c>
      <c r="L567" s="16" t="inlineStr">
        <is>
          <t>Low</t>
        </is>
      </c>
      <c r="M567" s="16" t="inlineStr"/>
      <c r="N567" s="16" t="inlineStr"/>
      <c r="O567" s="16" t="inlineStr"/>
    </row>
    <row r="568" ht="72" customHeight="1">
      <c r="A568" s="16" t="inlineStr">
        <is>
          <t>TC-BC-0046</t>
        </is>
      </c>
      <c r="B568" s="16" t="inlineStr">
        <is>
          <t>Body Content Variations</t>
        </is>
      </c>
      <c r="C568" s="16" t="inlineStr">
        <is>
          <t>Urlencoded</t>
        </is>
      </c>
      <c r="D568" s="16" t="inlineStr">
        <is>
          <t>Functional</t>
        </is>
      </c>
      <c r="E568" s="16" t="inlineStr">
        <is>
          <t>Variable in value</t>
        </is>
      </c>
      <c r="F568" s="16" t="inlineStr">
        <is>
          <t>Env x=alpha.</t>
        </is>
      </c>
      <c r="G568" s="16" t="inlineStr">
        <is>
          <t>1. a={{x}}.</t>
        </is>
      </c>
      <c r="H568" s="16" t="inlineStr">
        <is>
          <t>urlencoded</t>
        </is>
      </c>
      <c r="I568" s="16" t="inlineStr">
        <is>
          <t>Body 'a=alpha'.</t>
        </is>
      </c>
      <c r="J568" s="16" t="inlineStr"/>
      <c r="K568" s="16" t="inlineStr">
        <is>
          <t>Not Run</t>
        </is>
      </c>
      <c r="L568" s="16" t="inlineStr">
        <is>
          <t>Medium</t>
        </is>
      </c>
      <c r="M568" s="16" t="inlineStr"/>
      <c r="N568" s="16" t="inlineStr"/>
      <c r="O568" s="16" t="inlineStr"/>
    </row>
    <row r="569" ht="72" customHeight="1">
      <c r="A569" s="16" t="inlineStr">
        <is>
          <t>TC-BC-0047</t>
        </is>
      </c>
      <c r="B569" s="16" t="inlineStr">
        <is>
          <t>Body Content Variations</t>
        </is>
      </c>
      <c r="C569" s="16" t="inlineStr">
        <is>
          <t>GraphQL</t>
        </is>
      </c>
      <c r="D569" s="16" t="inlineStr">
        <is>
          <t>Functional</t>
        </is>
      </c>
      <c r="E569" s="16" t="inlineStr">
        <is>
          <t>Simple query</t>
        </is>
      </c>
      <c r="F569" s="16" t="inlineStr">
        <is>
          <t>-</t>
        </is>
      </c>
      <c r="G569" s="16" t="inlineStr">
        <is>
          <t>1. Send.</t>
        </is>
      </c>
      <c r="H569" s="16" t="inlineStr">
        <is>
          <t>graphql</t>
        </is>
      </c>
      <c r="I569" s="16" t="inlineStr">
        <is>
          <t>200 with data.</t>
        </is>
      </c>
      <c r="J569" s="16" t="inlineStr"/>
      <c r="K569" s="16" t="inlineStr">
        <is>
          <t>Not Run</t>
        </is>
      </c>
      <c r="L569" s="16" t="inlineStr">
        <is>
          <t>High</t>
        </is>
      </c>
      <c r="M569" s="16" t="inlineStr"/>
      <c r="N569" s="16" t="inlineStr"/>
      <c r="O569" s="16" t="inlineStr"/>
    </row>
    <row r="570" ht="72" customHeight="1">
      <c r="A570" s="16" t="inlineStr">
        <is>
          <t>TC-BC-0048</t>
        </is>
      </c>
      <c r="B570" s="16" t="inlineStr">
        <is>
          <t>Body Content Variations</t>
        </is>
      </c>
      <c r="C570" s="16" t="inlineStr">
        <is>
          <t>GraphQL</t>
        </is>
      </c>
      <c r="D570" s="16" t="inlineStr">
        <is>
          <t>Functional</t>
        </is>
      </c>
      <c r="E570" s="16" t="inlineStr">
        <is>
          <t>Query with variables</t>
        </is>
      </c>
      <c r="F570" s="16" t="inlineStr">
        <is>
          <t>-</t>
        </is>
      </c>
      <c r="G570" s="16" t="inlineStr">
        <is>
          <t>1. Send.</t>
        </is>
      </c>
      <c r="H570" s="16" t="inlineStr">
        <is>
          <t>graphql</t>
        </is>
      </c>
      <c r="I570" s="16" t="inlineStr">
        <is>
          <t>data resolves.</t>
        </is>
      </c>
      <c r="J570" s="16" t="inlineStr"/>
      <c r="K570" s="16" t="inlineStr">
        <is>
          <t>Not Run</t>
        </is>
      </c>
      <c r="L570" s="16" t="inlineStr">
        <is>
          <t>High</t>
        </is>
      </c>
      <c r="M570" s="16" t="inlineStr"/>
      <c r="N570" s="16" t="inlineStr"/>
      <c r="O570" s="16" t="inlineStr"/>
    </row>
    <row r="571" ht="72" customHeight="1">
      <c r="A571" s="16" t="inlineStr">
        <is>
          <t>TC-BC-0049</t>
        </is>
      </c>
      <c r="B571" s="16" t="inlineStr">
        <is>
          <t>Body Content Variations</t>
        </is>
      </c>
      <c r="C571" s="16" t="inlineStr">
        <is>
          <t>GraphQL</t>
        </is>
      </c>
      <c r="D571" s="16" t="inlineStr">
        <is>
          <t>Functional</t>
        </is>
      </c>
      <c r="E571" s="16" t="inlineStr">
        <is>
          <t>Mutation</t>
        </is>
      </c>
      <c r="F571" s="16" t="inlineStr">
        <is>
          <t>-</t>
        </is>
      </c>
      <c r="G571" s="16" t="inlineStr">
        <is>
          <t>1. Send.</t>
        </is>
      </c>
      <c r="H571" s="16" t="inlineStr">
        <is>
          <t>graphql</t>
        </is>
      </c>
      <c r="I571" s="16" t="inlineStr">
        <is>
          <t>Mutation runs.</t>
        </is>
      </c>
      <c r="J571" s="16" t="inlineStr"/>
      <c r="K571" s="16" t="inlineStr">
        <is>
          <t>Not Run</t>
        </is>
      </c>
      <c r="L571" s="16" t="inlineStr">
        <is>
          <t>Medium</t>
        </is>
      </c>
      <c r="M571" s="16" t="inlineStr"/>
      <c r="N571" s="16" t="inlineStr"/>
      <c r="O571" s="16" t="inlineStr"/>
    </row>
    <row r="572" ht="72" customHeight="1">
      <c r="A572" s="16" t="inlineStr">
        <is>
          <t>TC-BC-0050</t>
        </is>
      </c>
      <c r="B572" s="16" t="inlineStr">
        <is>
          <t>Body Content Variations</t>
        </is>
      </c>
      <c r="C572" s="16" t="inlineStr">
        <is>
          <t>GraphQL</t>
        </is>
      </c>
      <c r="D572" s="16" t="inlineStr">
        <is>
          <t>Functional</t>
        </is>
      </c>
      <c r="E572" s="16" t="inlineStr">
        <is>
          <t>Fragment composition</t>
        </is>
      </c>
      <c r="F572" s="16" t="inlineStr">
        <is>
          <t>-</t>
        </is>
      </c>
      <c r="G572" s="16" t="inlineStr">
        <is>
          <t>1. Send.</t>
        </is>
      </c>
      <c r="H572" s="16" t="inlineStr">
        <is>
          <t>graphql</t>
        </is>
      </c>
      <c r="I572" s="16" t="inlineStr">
        <is>
          <t>Fragment expanded.</t>
        </is>
      </c>
      <c r="J572" s="16" t="inlineStr"/>
      <c r="K572" s="16" t="inlineStr">
        <is>
          <t>Not Run</t>
        </is>
      </c>
      <c r="L572" s="16" t="inlineStr">
        <is>
          <t>Medium</t>
        </is>
      </c>
      <c r="M572" s="16" t="inlineStr"/>
      <c r="N572" s="16" t="inlineStr"/>
      <c r="O572" s="16" t="inlineStr"/>
    </row>
    <row r="573" ht="72" customHeight="1">
      <c r="A573" s="16" t="inlineStr">
        <is>
          <t>TC-BC-0051</t>
        </is>
      </c>
      <c r="B573" s="16" t="inlineStr">
        <is>
          <t>Body Content Variations</t>
        </is>
      </c>
      <c r="C573" s="16" t="inlineStr">
        <is>
          <t>GraphQL</t>
        </is>
      </c>
      <c r="D573" s="16" t="inlineStr">
        <is>
          <t>Edge Case</t>
        </is>
      </c>
      <c r="E573" s="16" t="inlineStr">
        <is>
          <t>Directives @skip/@include</t>
        </is>
      </c>
      <c r="F573" s="16" t="inlineStr">
        <is>
          <t>-</t>
        </is>
      </c>
      <c r="G573" s="16" t="inlineStr">
        <is>
          <t>1. Send.</t>
        </is>
      </c>
      <c r="H573" s="16" t="inlineStr">
        <is>
          <t>graphql</t>
        </is>
      </c>
      <c r="I573" s="16" t="inlineStr">
        <is>
          <t>Directives honored.</t>
        </is>
      </c>
      <c r="J573" s="16" t="inlineStr"/>
      <c r="K573" s="16" t="inlineStr">
        <is>
          <t>Not Run</t>
        </is>
      </c>
      <c r="L573" s="16" t="inlineStr">
        <is>
          <t>Low</t>
        </is>
      </c>
      <c r="M573" s="16" t="inlineStr"/>
      <c r="N573" s="16" t="inlineStr"/>
      <c r="O573" s="16" t="inlineStr"/>
    </row>
    <row r="574" ht="72" customHeight="1">
      <c r="A574" s="16" t="inlineStr">
        <is>
          <t>TC-BC-0052</t>
        </is>
      </c>
      <c r="B574" s="16" t="inlineStr">
        <is>
          <t>Body Content Variations</t>
        </is>
      </c>
      <c r="C574" s="16" t="inlineStr">
        <is>
          <t>GraphQL</t>
        </is>
      </c>
      <c r="D574" s="16" t="inlineStr">
        <is>
          <t>Functional</t>
        </is>
      </c>
      <c r="E574" s="16" t="inlineStr">
        <is>
          <t>Operation name picker</t>
        </is>
      </c>
      <c r="F574" s="16" t="inlineStr">
        <is>
          <t>Multi-op doc.</t>
        </is>
      </c>
      <c r="G574" s="16" t="inlineStr">
        <is>
          <t>1. Pick op; Send.</t>
        </is>
      </c>
      <c r="H574" s="16" t="inlineStr">
        <is>
          <t>graphql</t>
        </is>
      </c>
      <c r="I574" s="16" t="inlineStr">
        <is>
          <t>Selected op sent.</t>
        </is>
      </c>
      <c r="J574" s="16" t="inlineStr"/>
      <c r="K574" s="16" t="inlineStr">
        <is>
          <t>Not Run</t>
        </is>
      </c>
      <c r="L574" s="16" t="inlineStr">
        <is>
          <t>Medium</t>
        </is>
      </c>
      <c r="M574" s="16" t="inlineStr"/>
      <c r="N574" s="16" t="inlineStr"/>
      <c r="O574" s="16" t="inlineStr"/>
    </row>
    <row r="575" ht="72" customHeight="1">
      <c r="A575" s="16" t="inlineStr">
        <is>
          <t>TC-BC-0053</t>
        </is>
      </c>
      <c r="B575" s="16" t="inlineStr">
        <is>
          <t>Body Content Variations</t>
        </is>
      </c>
      <c r="C575" s="16" t="inlineStr">
        <is>
          <t>GraphQL</t>
        </is>
      </c>
      <c r="D575" s="16" t="inlineStr">
        <is>
          <t>Functional</t>
        </is>
      </c>
      <c r="E575" s="16" t="inlineStr">
        <is>
          <t>Variables with nested object</t>
        </is>
      </c>
      <c r="F575" s="16" t="inlineStr">
        <is>
          <t>-</t>
        </is>
      </c>
      <c r="G575" s="16" t="inlineStr">
        <is>
          <t>1. {"input":{"name":"a"}}.</t>
        </is>
      </c>
      <c r="H575" s="16" t="inlineStr">
        <is>
          <t>graphql</t>
        </is>
      </c>
      <c r="I575" s="16" t="inlineStr">
        <is>
          <t>Nested vars sent.</t>
        </is>
      </c>
      <c r="J575" s="16" t="inlineStr"/>
      <c r="K575" s="16" t="inlineStr">
        <is>
          <t>Not Run</t>
        </is>
      </c>
      <c r="L575" s="16" t="inlineStr">
        <is>
          <t>Medium</t>
        </is>
      </c>
      <c r="M575" s="16" t="inlineStr"/>
      <c r="N575" s="16" t="inlineStr"/>
      <c r="O575" s="16" t="inlineStr"/>
    </row>
    <row r="576" ht="72" customHeight="1">
      <c r="A576" s="16" t="inlineStr">
        <is>
          <t>TC-BC-0054</t>
        </is>
      </c>
      <c r="B576" s="16" t="inlineStr">
        <is>
          <t>Body Content Variations</t>
        </is>
      </c>
      <c r="C576" s="16" t="inlineStr">
        <is>
          <t>GraphQL</t>
        </is>
      </c>
      <c r="D576" s="16" t="inlineStr">
        <is>
          <t>Negative</t>
        </is>
      </c>
      <c r="E576" s="16" t="inlineStr">
        <is>
          <t>Invalid syntax</t>
        </is>
      </c>
      <c r="F576" s="16" t="inlineStr">
        <is>
          <t>-</t>
        </is>
      </c>
      <c r="G576" s="16" t="inlineStr">
        <is>
          <t>1. Send malformed.</t>
        </is>
      </c>
      <c r="H576" s="16" t="inlineStr">
        <is>
          <t>graphql</t>
        </is>
      </c>
      <c r="I576" s="16" t="inlineStr">
        <is>
          <t>GraphQL errors[] rendered.</t>
        </is>
      </c>
      <c r="J576" s="16" t="inlineStr"/>
      <c r="K576" s="16" t="inlineStr">
        <is>
          <t>Not Run</t>
        </is>
      </c>
      <c r="L576" s="16" t="inlineStr">
        <is>
          <t>Medium</t>
        </is>
      </c>
      <c r="M576" s="16" t="inlineStr"/>
      <c r="N576" s="16" t="inlineStr"/>
      <c r="O576" s="16" t="inlineStr"/>
    </row>
    <row r="577" ht="72" customHeight="1">
      <c r="A577" s="16" t="inlineStr">
        <is>
          <t>TC-VI-0001</t>
        </is>
      </c>
      <c r="B577" s="16" t="inlineStr">
        <is>
          <t>Variable Interpolation Matrix</t>
        </is>
      </c>
      <c r="C577" s="16" t="inlineStr">
        <is>
          <t>URL path &lt;- Workspace var</t>
        </is>
      </c>
      <c r="D577" s="16" t="inlineStr">
        <is>
          <t>Functional</t>
        </is>
      </c>
      <c r="E577" s="16" t="inlineStr">
        <is>
          <t>Interpolate Workspace var in URL path</t>
        </is>
      </c>
      <c r="F577" s="16" t="inlineStr">
        <is>
          <t>Editor open; workspace has the var configured per scope.</t>
        </is>
      </c>
      <c r="G577" s="16" t="inlineStr">
        <is>
          <t>1. Define a value in Workspace var.
2. Reference it via {{var}} in URL path.
3. Send.</t>
        </is>
      </c>
      <c r="H577" s="16" t="inlineStr">
        <is>
          <t>Workspace var-&gt;URL path</t>
        </is>
      </c>
      <c r="I577" s="16" t="inlineStr">
        <is>
          <t>Variable resolves correctly into URL path; sent request reflects the resolved value; resolution precedence honored.</t>
        </is>
      </c>
      <c r="J577" s="16" t="inlineStr"/>
      <c r="K577" s="16" t="inlineStr">
        <is>
          <t>Not Run</t>
        </is>
      </c>
      <c r="L577" s="16" t="inlineStr">
        <is>
          <t>Medium</t>
        </is>
      </c>
      <c r="M577" s="16" t="inlineStr"/>
      <c r="N577" s="16" t="inlineStr"/>
      <c r="O577" s="16" t="inlineStr"/>
    </row>
    <row r="578" ht="72" customHeight="1">
      <c r="A578" s="16" t="inlineStr">
        <is>
          <t>TC-VI-0002</t>
        </is>
      </c>
      <c r="B578" s="16" t="inlineStr">
        <is>
          <t>Variable Interpolation Matrix</t>
        </is>
      </c>
      <c r="C578" s="16" t="inlineStr">
        <is>
          <t>URL path &lt;- Env var (active)</t>
        </is>
      </c>
      <c r="D578" s="16" t="inlineStr">
        <is>
          <t>Functional</t>
        </is>
      </c>
      <c r="E578" s="16" t="inlineStr">
        <is>
          <t>Interpolate Env var (active) in URL path</t>
        </is>
      </c>
      <c r="F578" s="16" t="inlineStr">
        <is>
          <t>Editor open; workspace has the var configured per scope.</t>
        </is>
      </c>
      <c r="G578" s="16" t="inlineStr">
        <is>
          <t>1. Define a value in Env var (active).
2. Reference it via {{var}} in URL path.
3. Send.</t>
        </is>
      </c>
      <c r="H578" s="16" t="inlineStr">
        <is>
          <t>Env var (active)-&gt;URL path</t>
        </is>
      </c>
      <c r="I578" s="16" t="inlineStr">
        <is>
          <t>Variable resolves correctly into URL path; sent request reflects the resolved value; resolution precedence honored.</t>
        </is>
      </c>
      <c r="J578" s="16" t="inlineStr"/>
      <c r="K578" s="16" t="inlineStr">
        <is>
          <t>Not Run</t>
        </is>
      </c>
      <c r="L578" s="16" t="inlineStr">
        <is>
          <t>Medium</t>
        </is>
      </c>
      <c r="M578" s="16" t="inlineStr"/>
      <c r="N578" s="16" t="inlineStr"/>
      <c r="O578" s="16" t="inlineStr"/>
    </row>
    <row r="579" ht="72" customHeight="1">
      <c r="A579" s="16" t="inlineStr">
        <is>
          <t>TC-VI-0003</t>
        </is>
      </c>
      <c r="B579" s="16" t="inlineStr">
        <is>
          <t>Variable Interpolation Matrix</t>
        </is>
      </c>
      <c r="C579" s="16" t="inlineStr">
        <is>
          <t>URL path &lt;- Env var (linked higher priority)</t>
        </is>
      </c>
      <c r="D579" s="16" t="inlineStr">
        <is>
          <t>Functional</t>
        </is>
      </c>
      <c r="E579" s="16" t="inlineStr">
        <is>
          <t>Interpolate Env var (linked higher priority) in URL path</t>
        </is>
      </c>
      <c r="F579" s="16" t="inlineStr">
        <is>
          <t>Editor open; workspace has the var configured per scope.</t>
        </is>
      </c>
      <c r="G579" s="16" t="inlineStr">
        <is>
          <t>1. Define a value in Env var (linked higher priority).
2. Reference it via {{var}} in URL path.
3. Send.</t>
        </is>
      </c>
      <c r="H579" s="16" t="inlineStr">
        <is>
          <t>Env var (linked higher priority)-&gt;URL path</t>
        </is>
      </c>
      <c r="I579" s="16" t="inlineStr">
        <is>
          <t>Variable resolves correctly into URL path; sent request reflects the resolved value; resolution precedence honored.</t>
        </is>
      </c>
      <c r="J579" s="16" t="inlineStr"/>
      <c r="K579" s="16" t="inlineStr">
        <is>
          <t>Not Run</t>
        </is>
      </c>
      <c r="L579" s="16" t="inlineStr">
        <is>
          <t>Medium</t>
        </is>
      </c>
      <c r="M579" s="16" t="inlineStr"/>
      <c r="N579" s="16" t="inlineStr"/>
      <c r="O579" s="16" t="inlineStr"/>
    </row>
    <row r="580" ht="72" customHeight="1">
      <c r="A580" s="16" t="inlineStr">
        <is>
          <t>TC-VI-0004</t>
        </is>
      </c>
      <c r="B580" s="16" t="inlineStr">
        <is>
          <t>Variable Interpolation Matrix</t>
        </is>
      </c>
      <c r="C580" s="16" t="inlineStr">
        <is>
          <t>URL path &lt;- Env var (linked lower priority)</t>
        </is>
      </c>
      <c r="D580" s="16" t="inlineStr">
        <is>
          <t>Functional</t>
        </is>
      </c>
      <c r="E580" s="16" t="inlineStr">
        <is>
          <t>Interpolate Env var (linked lower priority) in URL path</t>
        </is>
      </c>
      <c r="F580" s="16" t="inlineStr">
        <is>
          <t>Editor open; workspace has the var configured per scope.</t>
        </is>
      </c>
      <c r="G580" s="16" t="inlineStr">
        <is>
          <t>1. Define a value in Env var (linked lower priority).
2. Reference it via {{var}} in URL path.
3. Send.</t>
        </is>
      </c>
      <c r="H580" s="16" t="inlineStr">
        <is>
          <t>Env var (linked lower priority)-&gt;URL path</t>
        </is>
      </c>
      <c r="I580" s="16" t="inlineStr">
        <is>
          <t>Variable resolves correctly into URL path; sent request reflects the resolved value; resolution precedence honored.</t>
        </is>
      </c>
      <c r="J580" s="16" t="inlineStr"/>
      <c r="K580" s="16" t="inlineStr">
        <is>
          <t>Not Run</t>
        </is>
      </c>
      <c r="L580" s="16" t="inlineStr">
        <is>
          <t>Medium</t>
        </is>
      </c>
      <c r="M580" s="16" t="inlineStr"/>
      <c r="N580" s="16" t="inlineStr"/>
      <c r="O580" s="16" t="inlineStr"/>
    </row>
    <row r="581" ht="72" customHeight="1">
      <c r="A581" s="16" t="inlineStr">
        <is>
          <t>TC-VI-0005</t>
        </is>
      </c>
      <c r="B581" s="16" t="inlineStr">
        <is>
          <t>Variable Interpolation Matrix</t>
        </is>
      </c>
      <c r="C581" s="16" t="inlineStr">
        <is>
          <t>URL path &lt;- Secret var (plaintext after decrypt)</t>
        </is>
      </c>
      <c r="D581" s="16" t="inlineStr">
        <is>
          <t>Security</t>
        </is>
      </c>
      <c r="E581" s="16" t="inlineStr">
        <is>
          <t>Interpolate Secret var (plaintext after decrypt) in URL path</t>
        </is>
      </c>
      <c r="F581" s="16" t="inlineStr">
        <is>
          <t>Editor open; workspace has the var configured per scope.</t>
        </is>
      </c>
      <c r="G581" s="16" t="inlineStr">
        <is>
          <t>1. Define a value in Secret var (plaintext after decrypt).
2. Reference it via {{var}} in URL path.
3. Send.</t>
        </is>
      </c>
      <c r="H581" s="16" t="inlineStr">
        <is>
          <t>Secret var (plaintext after decrypt)-&gt;URL path</t>
        </is>
      </c>
      <c r="I581" s="16" t="inlineStr">
        <is>
          <t>Variable resolves correctly into URL path; sent request reflects the resolved value; resolution precedence honored.</t>
        </is>
      </c>
      <c r="J581" s="16" t="inlineStr"/>
      <c r="K581" s="16" t="inlineStr">
        <is>
          <t>Not Run</t>
        </is>
      </c>
      <c r="L581" s="16" t="inlineStr">
        <is>
          <t>High</t>
        </is>
      </c>
      <c r="M581" s="16" t="inlineStr"/>
      <c r="N581" s="16" t="inlineStr"/>
      <c r="O581" s="16" t="inlineStr"/>
    </row>
    <row r="582" ht="72" customHeight="1">
      <c r="A582" s="16" t="inlineStr">
        <is>
          <t>TC-VI-0006</t>
        </is>
      </c>
      <c r="B582" s="16" t="inlineStr">
        <is>
          <t>Variable Interpolation Matrix</t>
        </is>
      </c>
      <c r="C582" s="16" t="inlineStr">
        <is>
          <t>URL path &lt;- Request context var (pm.variables.set)</t>
        </is>
      </c>
      <c r="D582" s="16" t="inlineStr">
        <is>
          <t>Functional</t>
        </is>
      </c>
      <c r="E582" s="16" t="inlineStr">
        <is>
          <t>Interpolate Request context var (pm.variables.set) in URL path</t>
        </is>
      </c>
      <c r="F582" s="16" t="inlineStr">
        <is>
          <t>Editor open; workspace has the var configured per scope.</t>
        </is>
      </c>
      <c r="G582" s="16" t="inlineStr">
        <is>
          <t>1. Define a value in Request context var (pm.variables.set).
2. Reference it via {{var}} in URL path.
3. Send.</t>
        </is>
      </c>
      <c r="H582" s="16" t="inlineStr">
        <is>
          <t>Request context var (pm.variables.set)-&gt;URL path</t>
        </is>
      </c>
      <c r="I582" s="16" t="inlineStr">
        <is>
          <t>Variable resolves correctly into URL path; sent request reflects the resolved value; resolution precedence honored.</t>
        </is>
      </c>
      <c r="J582" s="16" t="inlineStr"/>
      <c r="K582" s="16" t="inlineStr">
        <is>
          <t>Not Run</t>
        </is>
      </c>
      <c r="L582" s="16" t="inlineStr">
        <is>
          <t>Medium</t>
        </is>
      </c>
      <c r="M582" s="16" t="inlineStr"/>
      <c r="N582" s="16" t="inlineStr"/>
      <c r="O582" s="16" t="inlineStr"/>
    </row>
    <row r="583" ht="72" customHeight="1">
      <c r="A583" s="16" t="inlineStr">
        <is>
          <t>TC-VI-0007</t>
        </is>
      </c>
      <c r="B583" s="16" t="inlineStr">
        <is>
          <t>Variable Interpolation Matrix</t>
        </is>
      </c>
      <c r="C583" s="16" t="inlineStr">
        <is>
          <t>URL path &lt;- Linked workspace override</t>
        </is>
      </c>
      <c r="D583" s="16" t="inlineStr">
        <is>
          <t>Functional</t>
        </is>
      </c>
      <c r="E583" s="16" t="inlineStr">
        <is>
          <t>Interpolate Linked workspace override in URL path</t>
        </is>
      </c>
      <c r="F583" s="16" t="inlineStr">
        <is>
          <t>Editor open; workspace has the var configured per scope.</t>
        </is>
      </c>
      <c r="G583" s="16" t="inlineStr">
        <is>
          <t>1. Define a value in Linked workspace override.
2. Reference it via {{var}} in URL path.
3. Send.</t>
        </is>
      </c>
      <c r="H583" s="16" t="inlineStr">
        <is>
          <t>Linked workspace override-&gt;URL path</t>
        </is>
      </c>
      <c r="I583" s="16" t="inlineStr">
        <is>
          <t>Variable resolves correctly into URL path; sent request reflects the resolved value; resolution precedence honored.</t>
        </is>
      </c>
      <c r="J583" s="16" t="inlineStr"/>
      <c r="K583" s="16" t="inlineStr">
        <is>
          <t>Not Run</t>
        </is>
      </c>
      <c r="L583" s="16" t="inlineStr">
        <is>
          <t>Medium</t>
        </is>
      </c>
      <c r="M583" s="16" t="inlineStr"/>
      <c r="N583" s="16" t="inlineStr"/>
      <c r="O583" s="16" t="inlineStr"/>
    </row>
    <row r="584" ht="72" customHeight="1">
      <c r="A584" s="16" t="inlineStr">
        <is>
          <t>TC-VI-0008</t>
        </is>
      </c>
      <c r="B584" s="16" t="inlineStr">
        <is>
          <t>Variable Interpolation Matrix</t>
        </is>
      </c>
      <c r="C584" s="16" t="inlineStr">
        <is>
          <t>URL query value &lt;- Workspace var</t>
        </is>
      </c>
      <c r="D584" s="16" t="inlineStr">
        <is>
          <t>Functional</t>
        </is>
      </c>
      <c r="E584" s="16" t="inlineStr">
        <is>
          <t>Interpolate Workspace var in URL query value</t>
        </is>
      </c>
      <c r="F584" s="16" t="inlineStr">
        <is>
          <t>Editor open; workspace has the var configured per scope.</t>
        </is>
      </c>
      <c r="G584" s="16" t="inlineStr">
        <is>
          <t>1. Define a value in Workspace var.
2. Reference it via {{var}} in URL query value.
3. Send.</t>
        </is>
      </c>
      <c r="H584" s="16" t="inlineStr">
        <is>
          <t>Workspace var-&gt;URL query value</t>
        </is>
      </c>
      <c r="I584" s="16" t="inlineStr">
        <is>
          <t>Variable resolves correctly into URL query value; sent request reflects the resolved value; resolution precedence honored.</t>
        </is>
      </c>
      <c r="J584" s="16" t="inlineStr"/>
      <c r="K584" s="16" t="inlineStr">
        <is>
          <t>Not Run</t>
        </is>
      </c>
      <c r="L584" s="16" t="inlineStr">
        <is>
          <t>Medium</t>
        </is>
      </c>
      <c r="M584" s="16" t="inlineStr"/>
      <c r="N584" s="16" t="inlineStr"/>
      <c r="O584" s="16" t="inlineStr"/>
    </row>
    <row r="585" ht="72" customHeight="1">
      <c r="A585" s="16" t="inlineStr">
        <is>
          <t>TC-VI-0009</t>
        </is>
      </c>
      <c r="B585" s="16" t="inlineStr">
        <is>
          <t>Variable Interpolation Matrix</t>
        </is>
      </c>
      <c r="C585" s="16" t="inlineStr">
        <is>
          <t>URL query value &lt;- Env var (active)</t>
        </is>
      </c>
      <c r="D585" s="16" t="inlineStr">
        <is>
          <t>Functional</t>
        </is>
      </c>
      <c r="E585" s="16" t="inlineStr">
        <is>
          <t>Interpolate Env var (active) in URL query value</t>
        </is>
      </c>
      <c r="F585" s="16" t="inlineStr">
        <is>
          <t>Editor open; workspace has the var configured per scope.</t>
        </is>
      </c>
      <c r="G585" s="16" t="inlineStr">
        <is>
          <t>1. Define a value in Env var (active).
2. Reference it via {{var}} in URL query value.
3. Send.</t>
        </is>
      </c>
      <c r="H585" s="16" t="inlineStr">
        <is>
          <t>Env var (active)-&gt;URL query value</t>
        </is>
      </c>
      <c r="I585" s="16" t="inlineStr">
        <is>
          <t>Variable resolves correctly into URL query value; sent request reflects the resolved value; resolution precedence honored.</t>
        </is>
      </c>
      <c r="J585" s="16" t="inlineStr"/>
      <c r="K585" s="16" t="inlineStr">
        <is>
          <t>Not Run</t>
        </is>
      </c>
      <c r="L585" s="16" t="inlineStr">
        <is>
          <t>Medium</t>
        </is>
      </c>
      <c r="M585" s="16" t="inlineStr"/>
      <c r="N585" s="16" t="inlineStr"/>
      <c r="O585" s="16" t="inlineStr"/>
    </row>
    <row r="586" ht="72" customHeight="1">
      <c r="A586" s="16" t="inlineStr">
        <is>
          <t>TC-VI-0010</t>
        </is>
      </c>
      <c r="B586" s="16" t="inlineStr">
        <is>
          <t>Variable Interpolation Matrix</t>
        </is>
      </c>
      <c r="C586" s="16" t="inlineStr">
        <is>
          <t>URL query value &lt;- Env var (linked higher priority)</t>
        </is>
      </c>
      <c r="D586" s="16" t="inlineStr">
        <is>
          <t>Functional</t>
        </is>
      </c>
      <c r="E586" s="16" t="inlineStr">
        <is>
          <t>Interpolate Env var (linked higher priority) in URL query value</t>
        </is>
      </c>
      <c r="F586" s="16" t="inlineStr">
        <is>
          <t>Editor open; workspace has the var configured per scope.</t>
        </is>
      </c>
      <c r="G586" s="16" t="inlineStr">
        <is>
          <t>1. Define a value in Env var (linked higher priority).
2. Reference it via {{var}} in URL query value.
3. Send.</t>
        </is>
      </c>
      <c r="H586" s="16" t="inlineStr">
        <is>
          <t>Env var (linked higher priority)-&gt;URL query value</t>
        </is>
      </c>
      <c r="I586" s="16" t="inlineStr">
        <is>
          <t>Variable resolves correctly into URL query value; sent request reflects the resolved value; resolution precedence honored.</t>
        </is>
      </c>
      <c r="J586" s="16" t="inlineStr"/>
      <c r="K586" s="16" t="inlineStr">
        <is>
          <t>Not Run</t>
        </is>
      </c>
      <c r="L586" s="16" t="inlineStr">
        <is>
          <t>Medium</t>
        </is>
      </c>
      <c r="M586" s="16" t="inlineStr"/>
      <c r="N586" s="16" t="inlineStr"/>
      <c r="O586" s="16" t="inlineStr"/>
    </row>
    <row r="587" ht="72" customHeight="1">
      <c r="A587" s="16" t="inlineStr">
        <is>
          <t>TC-VI-0011</t>
        </is>
      </c>
      <c r="B587" s="16" t="inlineStr">
        <is>
          <t>Variable Interpolation Matrix</t>
        </is>
      </c>
      <c r="C587" s="16" t="inlineStr">
        <is>
          <t>URL query value &lt;- Env var (linked lower priority)</t>
        </is>
      </c>
      <c r="D587" s="16" t="inlineStr">
        <is>
          <t>Functional</t>
        </is>
      </c>
      <c r="E587" s="16" t="inlineStr">
        <is>
          <t>Interpolate Env var (linked lower priority) in URL query value</t>
        </is>
      </c>
      <c r="F587" s="16" t="inlineStr">
        <is>
          <t>Editor open; workspace has the var configured per scope.</t>
        </is>
      </c>
      <c r="G587" s="16" t="inlineStr">
        <is>
          <t>1. Define a value in Env var (linked lower priority).
2. Reference it via {{var}} in URL query value.
3. Send.</t>
        </is>
      </c>
      <c r="H587" s="16" t="inlineStr">
        <is>
          <t>Env var (linked lower priority)-&gt;URL query value</t>
        </is>
      </c>
      <c r="I587" s="16" t="inlineStr">
        <is>
          <t>Variable resolves correctly into URL query value; sent request reflects the resolved value; resolution precedence honored.</t>
        </is>
      </c>
      <c r="J587" s="16" t="inlineStr"/>
      <c r="K587" s="16" t="inlineStr">
        <is>
          <t>Not Run</t>
        </is>
      </c>
      <c r="L587" s="16" t="inlineStr">
        <is>
          <t>Medium</t>
        </is>
      </c>
      <c r="M587" s="16" t="inlineStr"/>
      <c r="N587" s="16" t="inlineStr"/>
      <c r="O587" s="16" t="inlineStr"/>
    </row>
    <row r="588" ht="72" customHeight="1">
      <c r="A588" s="16" t="inlineStr">
        <is>
          <t>TC-VI-0012</t>
        </is>
      </c>
      <c r="B588" s="16" t="inlineStr">
        <is>
          <t>Variable Interpolation Matrix</t>
        </is>
      </c>
      <c r="C588" s="16" t="inlineStr">
        <is>
          <t>URL query value &lt;- Secret var (plaintext after decrypt)</t>
        </is>
      </c>
      <c r="D588" s="16" t="inlineStr">
        <is>
          <t>Security</t>
        </is>
      </c>
      <c r="E588" s="16" t="inlineStr">
        <is>
          <t>Interpolate Secret var (plaintext after decrypt) in URL query value</t>
        </is>
      </c>
      <c r="F588" s="16" t="inlineStr">
        <is>
          <t>Editor open; workspace has the var configured per scope.</t>
        </is>
      </c>
      <c r="G588" s="16" t="inlineStr">
        <is>
          <t>1. Define a value in Secret var (plaintext after decrypt).
2. Reference it via {{var}} in URL query value.
3. Send.</t>
        </is>
      </c>
      <c r="H588" s="16" t="inlineStr">
        <is>
          <t>Secret var (plaintext after decrypt)-&gt;URL query value</t>
        </is>
      </c>
      <c r="I588" s="16" t="inlineStr">
        <is>
          <t>Variable resolves correctly into URL query value; sent request reflects the resolved value; resolution precedence honored.</t>
        </is>
      </c>
      <c r="J588" s="16" t="inlineStr"/>
      <c r="K588" s="16" t="inlineStr">
        <is>
          <t>Not Run</t>
        </is>
      </c>
      <c r="L588" s="16" t="inlineStr">
        <is>
          <t>High</t>
        </is>
      </c>
      <c r="M588" s="16" t="inlineStr"/>
      <c r="N588" s="16" t="inlineStr"/>
      <c r="O588" s="16" t="inlineStr"/>
    </row>
    <row r="589" ht="72" customHeight="1">
      <c r="A589" s="16" t="inlineStr">
        <is>
          <t>TC-VI-0013</t>
        </is>
      </c>
      <c r="B589" s="16" t="inlineStr">
        <is>
          <t>Variable Interpolation Matrix</t>
        </is>
      </c>
      <c r="C589" s="16" t="inlineStr">
        <is>
          <t>URL query value &lt;- Request context var (pm.variables.set)</t>
        </is>
      </c>
      <c r="D589" s="16" t="inlineStr">
        <is>
          <t>Functional</t>
        </is>
      </c>
      <c r="E589" s="16" t="inlineStr">
        <is>
          <t>Interpolate Request context var (pm.variables.set) in URL query value</t>
        </is>
      </c>
      <c r="F589" s="16" t="inlineStr">
        <is>
          <t>Editor open; workspace has the var configured per scope.</t>
        </is>
      </c>
      <c r="G589" s="16" t="inlineStr">
        <is>
          <t>1. Define a value in Request context var (pm.variables.set).
2. Reference it via {{var}} in URL query value.
3. Send.</t>
        </is>
      </c>
      <c r="H589" s="16" t="inlineStr">
        <is>
          <t>Request context var (pm.variables.set)-&gt;URL query value</t>
        </is>
      </c>
      <c r="I589" s="16" t="inlineStr">
        <is>
          <t>Variable resolves correctly into URL query value; sent request reflects the resolved value; resolution precedence honored.</t>
        </is>
      </c>
      <c r="J589" s="16" t="inlineStr"/>
      <c r="K589" s="16" t="inlineStr">
        <is>
          <t>Not Run</t>
        </is>
      </c>
      <c r="L589" s="16" t="inlineStr">
        <is>
          <t>Medium</t>
        </is>
      </c>
      <c r="M589" s="16" t="inlineStr"/>
      <c r="N589" s="16" t="inlineStr"/>
      <c r="O589" s="16" t="inlineStr"/>
    </row>
    <row r="590" ht="72" customHeight="1">
      <c r="A590" s="16" t="inlineStr">
        <is>
          <t>TC-VI-0014</t>
        </is>
      </c>
      <c r="B590" s="16" t="inlineStr">
        <is>
          <t>Variable Interpolation Matrix</t>
        </is>
      </c>
      <c r="C590" s="16" t="inlineStr">
        <is>
          <t>URL query value &lt;- Linked workspace override</t>
        </is>
      </c>
      <c r="D590" s="16" t="inlineStr">
        <is>
          <t>Functional</t>
        </is>
      </c>
      <c r="E590" s="16" t="inlineStr">
        <is>
          <t>Interpolate Linked workspace override in URL query value</t>
        </is>
      </c>
      <c r="F590" s="16" t="inlineStr">
        <is>
          <t>Editor open; workspace has the var configured per scope.</t>
        </is>
      </c>
      <c r="G590" s="16" t="inlineStr">
        <is>
          <t>1. Define a value in Linked workspace override.
2. Reference it via {{var}} in URL query value.
3. Send.</t>
        </is>
      </c>
      <c r="H590" s="16" t="inlineStr">
        <is>
          <t>Linked workspace override-&gt;URL query value</t>
        </is>
      </c>
      <c r="I590" s="16" t="inlineStr">
        <is>
          <t>Variable resolves correctly into URL query value; sent request reflects the resolved value; resolution precedence honored.</t>
        </is>
      </c>
      <c r="J590" s="16" t="inlineStr"/>
      <c r="K590" s="16" t="inlineStr">
        <is>
          <t>Not Run</t>
        </is>
      </c>
      <c r="L590" s="16" t="inlineStr">
        <is>
          <t>Medium</t>
        </is>
      </c>
      <c r="M590" s="16" t="inlineStr"/>
      <c r="N590" s="16" t="inlineStr"/>
      <c r="O590" s="16" t="inlineStr"/>
    </row>
    <row r="591" ht="72" customHeight="1">
      <c r="A591" s="16" t="inlineStr">
        <is>
          <t>TC-VI-0015</t>
        </is>
      </c>
      <c r="B591" s="16" t="inlineStr">
        <is>
          <t>Variable Interpolation Matrix</t>
        </is>
      </c>
      <c r="C591" s="16" t="inlineStr">
        <is>
          <t>Header value &lt;- Workspace var</t>
        </is>
      </c>
      <c r="D591" s="16" t="inlineStr">
        <is>
          <t>Functional</t>
        </is>
      </c>
      <c r="E591" s="16" t="inlineStr">
        <is>
          <t>Interpolate Workspace var in Header value</t>
        </is>
      </c>
      <c r="F591" s="16" t="inlineStr">
        <is>
          <t>Editor open; workspace has the var configured per scope.</t>
        </is>
      </c>
      <c r="G591" s="16" t="inlineStr">
        <is>
          <t>1. Define a value in Workspace var.
2. Reference it via {{var}} in Header value.
3. Send.</t>
        </is>
      </c>
      <c r="H591" s="16" t="inlineStr">
        <is>
          <t>Workspace var-&gt;Header value</t>
        </is>
      </c>
      <c r="I591" s="16" t="inlineStr">
        <is>
          <t>Variable resolves correctly into Header value; sent request reflects the resolved value; resolution precedence honored.</t>
        </is>
      </c>
      <c r="J591" s="16" t="inlineStr"/>
      <c r="K591" s="16" t="inlineStr">
        <is>
          <t>Not Run</t>
        </is>
      </c>
      <c r="L591" s="16" t="inlineStr">
        <is>
          <t>Medium</t>
        </is>
      </c>
      <c r="M591" s="16" t="inlineStr"/>
      <c r="N591" s="16" t="inlineStr"/>
      <c r="O591" s="16" t="inlineStr"/>
    </row>
    <row r="592" ht="72" customHeight="1">
      <c r="A592" s="16" t="inlineStr">
        <is>
          <t>TC-VI-0016</t>
        </is>
      </c>
      <c r="B592" s="16" t="inlineStr">
        <is>
          <t>Variable Interpolation Matrix</t>
        </is>
      </c>
      <c r="C592" s="16" t="inlineStr">
        <is>
          <t>Header value &lt;- Env var (active)</t>
        </is>
      </c>
      <c r="D592" s="16" t="inlineStr">
        <is>
          <t>Functional</t>
        </is>
      </c>
      <c r="E592" s="16" t="inlineStr">
        <is>
          <t>Interpolate Env var (active) in Header value</t>
        </is>
      </c>
      <c r="F592" s="16" t="inlineStr">
        <is>
          <t>Editor open; workspace has the var configured per scope.</t>
        </is>
      </c>
      <c r="G592" s="16" t="inlineStr">
        <is>
          <t>1. Define a value in Env var (active).
2. Reference it via {{var}} in Header value.
3. Send.</t>
        </is>
      </c>
      <c r="H592" s="16" t="inlineStr">
        <is>
          <t>Env var (active)-&gt;Header value</t>
        </is>
      </c>
      <c r="I592" s="16" t="inlineStr">
        <is>
          <t>Variable resolves correctly into Header value; sent request reflects the resolved value; resolution precedence honored.</t>
        </is>
      </c>
      <c r="J592" s="16" t="inlineStr"/>
      <c r="K592" s="16" t="inlineStr">
        <is>
          <t>Not Run</t>
        </is>
      </c>
      <c r="L592" s="16" t="inlineStr">
        <is>
          <t>Medium</t>
        </is>
      </c>
      <c r="M592" s="16" t="inlineStr"/>
      <c r="N592" s="16" t="inlineStr"/>
      <c r="O592" s="16" t="inlineStr"/>
    </row>
    <row r="593" ht="72" customHeight="1">
      <c r="A593" s="16" t="inlineStr">
        <is>
          <t>TC-VI-0017</t>
        </is>
      </c>
      <c r="B593" s="16" t="inlineStr">
        <is>
          <t>Variable Interpolation Matrix</t>
        </is>
      </c>
      <c r="C593" s="16" t="inlineStr">
        <is>
          <t>Header value &lt;- Env var (linked higher priority)</t>
        </is>
      </c>
      <c r="D593" s="16" t="inlineStr">
        <is>
          <t>Functional</t>
        </is>
      </c>
      <c r="E593" s="16" t="inlineStr">
        <is>
          <t>Interpolate Env var (linked higher priority) in Header value</t>
        </is>
      </c>
      <c r="F593" s="16" t="inlineStr">
        <is>
          <t>Editor open; workspace has the var configured per scope.</t>
        </is>
      </c>
      <c r="G593" s="16" t="inlineStr">
        <is>
          <t>1. Define a value in Env var (linked higher priority).
2. Reference it via {{var}} in Header value.
3. Send.</t>
        </is>
      </c>
      <c r="H593" s="16" t="inlineStr">
        <is>
          <t>Env var (linked higher priority)-&gt;Header value</t>
        </is>
      </c>
      <c r="I593" s="16" t="inlineStr">
        <is>
          <t>Variable resolves correctly into Header value; sent request reflects the resolved value; resolution precedence honored.</t>
        </is>
      </c>
      <c r="J593" s="16" t="inlineStr"/>
      <c r="K593" s="16" t="inlineStr">
        <is>
          <t>Not Run</t>
        </is>
      </c>
      <c r="L593" s="16" t="inlineStr">
        <is>
          <t>Medium</t>
        </is>
      </c>
      <c r="M593" s="16" t="inlineStr"/>
      <c r="N593" s="16" t="inlineStr"/>
      <c r="O593" s="16" t="inlineStr"/>
    </row>
    <row r="594" ht="72" customHeight="1">
      <c r="A594" s="16" t="inlineStr">
        <is>
          <t>TC-VI-0018</t>
        </is>
      </c>
      <c r="B594" s="16" t="inlineStr">
        <is>
          <t>Variable Interpolation Matrix</t>
        </is>
      </c>
      <c r="C594" s="16" t="inlineStr">
        <is>
          <t>Header value &lt;- Env var (linked lower priority)</t>
        </is>
      </c>
      <c r="D594" s="16" t="inlineStr">
        <is>
          <t>Functional</t>
        </is>
      </c>
      <c r="E594" s="16" t="inlineStr">
        <is>
          <t>Interpolate Env var (linked lower priority) in Header value</t>
        </is>
      </c>
      <c r="F594" s="16" t="inlineStr">
        <is>
          <t>Editor open; workspace has the var configured per scope.</t>
        </is>
      </c>
      <c r="G594" s="16" t="inlineStr">
        <is>
          <t>1. Define a value in Env var (linked lower priority).
2. Reference it via {{var}} in Header value.
3. Send.</t>
        </is>
      </c>
      <c r="H594" s="16" t="inlineStr">
        <is>
          <t>Env var (linked lower priority)-&gt;Header value</t>
        </is>
      </c>
      <c r="I594" s="16" t="inlineStr">
        <is>
          <t>Variable resolves correctly into Header value; sent request reflects the resolved value; resolution precedence honored.</t>
        </is>
      </c>
      <c r="J594" s="16" t="inlineStr"/>
      <c r="K594" s="16" t="inlineStr">
        <is>
          <t>Not Run</t>
        </is>
      </c>
      <c r="L594" s="16" t="inlineStr">
        <is>
          <t>Medium</t>
        </is>
      </c>
      <c r="M594" s="16" t="inlineStr"/>
      <c r="N594" s="16" t="inlineStr"/>
      <c r="O594" s="16" t="inlineStr"/>
    </row>
    <row r="595" ht="72" customHeight="1">
      <c r="A595" s="16" t="inlineStr">
        <is>
          <t>TC-VI-0019</t>
        </is>
      </c>
      <c r="B595" s="16" t="inlineStr">
        <is>
          <t>Variable Interpolation Matrix</t>
        </is>
      </c>
      <c r="C595" s="16" t="inlineStr">
        <is>
          <t>Header value &lt;- Secret var (plaintext after decrypt)</t>
        </is>
      </c>
      <c r="D595" s="16" t="inlineStr">
        <is>
          <t>Functional</t>
        </is>
      </c>
      <c r="E595" s="16" t="inlineStr">
        <is>
          <t>Interpolate Secret var (plaintext after decrypt) in Header value</t>
        </is>
      </c>
      <c r="F595" s="16" t="inlineStr">
        <is>
          <t>Editor open; workspace has the var configured per scope.</t>
        </is>
      </c>
      <c r="G595" s="16" t="inlineStr">
        <is>
          <t>1. Define a value in Secret var (plaintext after decrypt).
2. Reference it via {{var}} in Header value.
3. Send.</t>
        </is>
      </c>
      <c r="H595" s="16" t="inlineStr">
        <is>
          <t>Secret var (plaintext after decrypt)-&gt;Header value</t>
        </is>
      </c>
      <c r="I595" s="16" t="inlineStr">
        <is>
          <t>Variable resolves correctly into Header value; sent request reflects the resolved value; resolution precedence honored.</t>
        </is>
      </c>
      <c r="J595" s="16" t="inlineStr"/>
      <c r="K595" s="16" t="inlineStr">
        <is>
          <t>Not Run</t>
        </is>
      </c>
      <c r="L595" s="16" t="inlineStr">
        <is>
          <t>Medium</t>
        </is>
      </c>
      <c r="M595" s="16" t="inlineStr"/>
      <c r="N595" s="16" t="inlineStr"/>
      <c r="O595" s="16" t="inlineStr"/>
    </row>
    <row r="596" ht="72" customHeight="1">
      <c r="A596" s="16" t="inlineStr">
        <is>
          <t>TC-VI-0020</t>
        </is>
      </c>
      <c r="B596" s="16" t="inlineStr">
        <is>
          <t>Variable Interpolation Matrix</t>
        </is>
      </c>
      <c r="C596" s="16" t="inlineStr">
        <is>
          <t>Header value &lt;- Request context var (pm.variables.set)</t>
        </is>
      </c>
      <c r="D596" s="16" t="inlineStr">
        <is>
          <t>Functional</t>
        </is>
      </c>
      <c r="E596" s="16" t="inlineStr">
        <is>
          <t>Interpolate Request context var (pm.variables.set) in Header value</t>
        </is>
      </c>
      <c r="F596" s="16" t="inlineStr">
        <is>
          <t>Editor open; workspace has the var configured per scope.</t>
        </is>
      </c>
      <c r="G596" s="16" t="inlineStr">
        <is>
          <t>1. Define a value in Request context var (pm.variables.set).
2. Reference it via {{var}} in Header value.
3. Send.</t>
        </is>
      </c>
      <c r="H596" s="16" t="inlineStr">
        <is>
          <t>Request context var (pm.variables.set)-&gt;Header value</t>
        </is>
      </c>
      <c r="I596" s="16" t="inlineStr">
        <is>
          <t>Variable resolves correctly into Header value; sent request reflects the resolved value; resolution precedence honored.</t>
        </is>
      </c>
      <c r="J596" s="16" t="inlineStr"/>
      <c r="K596" s="16" t="inlineStr">
        <is>
          <t>Not Run</t>
        </is>
      </c>
      <c r="L596" s="16" t="inlineStr">
        <is>
          <t>Medium</t>
        </is>
      </c>
      <c r="M596" s="16" t="inlineStr"/>
      <c r="N596" s="16" t="inlineStr"/>
      <c r="O596" s="16" t="inlineStr"/>
    </row>
    <row r="597" ht="72" customHeight="1">
      <c r="A597" s="16" t="inlineStr">
        <is>
          <t>TC-VI-0021</t>
        </is>
      </c>
      <c r="B597" s="16" t="inlineStr">
        <is>
          <t>Variable Interpolation Matrix</t>
        </is>
      </c>
      <c r="C597" s="16" t="inlineStr">
        <is>
          <t>Header value &lt;- Linked workspace override</t>
        </is>
      </c>
      <c r="D597" s="16" t="inlineStr">
        <is>
          <t>Functional</t>
        </is>
      </c>
      <c r="E597" s="16" t="inlineStr">
        <is>
          <t>Interpolate Linked workspace override in Header value</t>
        </is>
      </c>
      <c r="F597" s="16" t="inlineStr">
        <is>
          <t>Editor open; workspace has the var configured per scope.</t>
        </is>
      </c>
      <c r="G597" s="16" t="inlineStr">
        <is>
          <t>1. Define a value in Linked workspace override.
2. Reference it via {{var}} in Header value.
3. Send.</t>
        </is>
      </c>
      <c r="H597" s="16" t="inlineStr">
        <is>
          <t>Linked workspace override-&gt;Header value</t>
        </is>
      </c>
      <c r="I597" s="16" t="inlineStr">
        <is>
          <t>Variable resolves correctly into Header value; sent request reflects the resolved value; resolution precedence honored.</t>
        </is>
      </c>
      <c r="J597" s="16" t="inlineStr"/>
      <c r="K597" s="16" t="inlineStr">
        <is>
          <t>Not Run</t>
        </is>
      </c>
      <c r="L597" s="16" t="inlineStr">
        <is>
          <t>Medium</t>
        </is>
      </c>
      <c r="M597" s="16" t="inlineStr"/>
      <c r="N597" s="16" t="inlineStr"/>
      <c r="O597" s="16" t="inlineStr"/>
    </row>
    <row r="598" ht="72" customHeight="1">
      <c r="A598" s="16" t="inlineStr">
        <is>
          <t>TC-VI-0022</t>
        </is>
      </c>
      <c r="B598" s="16" t="inlineStr">
        <is>
          <t>Variable Interpolation Matrix</t>
        </is>
      </c>
      <c r="C598" s="16" t="inlineStr">
        <is>
          <t>Header key (rare) &lt;- Workspace var</t>
        </is>
      </c>
      <c r="D598" s="16" t="inlineStr">
        <is>
          <t>Functional</t>
        </is>
      </c>
      <c r="E598" s="16" t="inlineStr">
        <is>
          <t>Interpolate Workspace var in Header key (rare)</t>
        </is>
      </c>
      <c r="F598" s="16" t="inlineStr">
        <is>
          <t>Editor open; workspace has the var configured per scope.</t>
        </is>
      </c>
      <c r="G598" s="16" t="inlineStr">
        <is>
          <t>1. Define a value in Workspace var.
2. Reference it via {{var}} in Header key (rare).
3. Send.</t>
        </is>
      </c>
      <c r="H598" s="16" t="inlineStr">
        <is>
          <t>Workspace var-&gt;Header key (rare)</t>
        </is>
      </c>
      <c r="I598" s="16" t="inlineStr">
        <is>
          <t>Variable resolves correctly into Header key (rare); sent request reflects the resolved value; resolution precedence honored.</t>
        </is>
      </c>
      <c r="J598" s="16" t="inlineStr"/>
      <c r="K598" s="16" t="inlineStr">
        <is>
          <t>Not Run</t>
        </is>
      </c>
      <c r="L598" s="16" t="inlineStr">
        <is>
          <t>Medium</t>
        </is>
      </c>
      <c r="M598" s="16" t="inlineStr"/>
      <c r="N598" s="16" t="inlineStr"/>
      <c r="O598" s="16" t="inlineStr"/>
    </row>
    <row r="599" ht="72" customHeight="1">
      <c r="A599" s="16" t="inlineStr">
        <is>
          <t>TC-VI-0023</t>
        </is>
      </c>
      <c r="B599" s="16" t="inlineStr">
        <is>
          <t>Variable Interpolation Matrix</t>
        </is>
      </c>
      <c r="C599" s="16" t="inlineStr">
        <is>
          <t>Header key (rare) &lt;- Env var (active)</t>
        </is>
      </c>
      <c r="D599" s="16" t="inlineStr">
        <is>
          <t>Functional</t>
        </is>
      </c>
      <c r="E599" s="16" t="inlineStr">
        <is>
          <t>Interpolate Env var (active) in Header key (rare)</t>
        </is>
      </c>
      <c r="F599" s="16" t="inlineStr">
        <is>
          <t>Editor open; workspace has the var configured per scope.</t>
        </is>
      </c>
      <c r="G599" s="16" t="inlineStr">
        <is>
          <t>1. Define a value in Env var (active).
2. Reference it via {{var}} in Header key (rare).
3. Send.</t>
        </is>
      </c>
      <c r="H599" s="16" t="inlineStr">
        <is>
          <t>Env var (active)-&gt;Header key (rare)</t>
        </is>
      </c>
      <c r="I599" s="16" t="inlineStr">
        <is>
          <t>Variable resolves correctly into Header key (rare); sent request reflects the resolved value; resolution precedence honored.</t>
        </is>
      </c>
      <c r="J599" s="16" t="inlineStr"/>
      <c r="K599" s="16" t="inlineStr">
        <is>
          <t>Not Run</t>
        </is>
      </c>
      <c r="L599" s="16" t="inlineStr">
        <is>
          <t>Medium</t>
        </is>
      </c>
      <c r="M599" s="16" t="inlineStr"/>
      <c r="N599" s="16" t="inlineStr"/>
      <c r="O599" s="16" t="inlineStr"/>
    </row>
    <row r="600" ht="72" customHeight="1">
      <c r="A600" s="16" t="inlineStr">
        <is>
          <t>TC-VI-0024</t>
        </is>
      </c>
      <c r="B600" s="16" t="inlineStr">
        <is>
          <t>Variable Interpolation Matrix</t>
        </is>
      </c>
      <c r="C600" s="16" t="inlineStr">
        <is>
          <t>Header key (rare) &lt;- Env var (linked higher priority)</t>
        </is>
      </c>
      <c r="D600" s="16" t="inlineStr">
        <is>
          <t>Functional</t>
        </is>
      </c>
      <c r="E600" s="16" t="inlineStr">
        <is>
          <t>Interpolate Env var (linked higher priority) in Header key (rare)</t>
        </is>
      </c>
      <c r="F600" s="16" t="inlineStr">
        <is>
          <t>Editor open; workspace has the var configured per scope.</t>
        </is>
      </c>
      <c r="G600" s="16" t="inlineStr">
        <is>
          <t>1. Define a value in Env var (linked higher priority).
2. Reference it via {{var}} in Header key (rare).
3. Send.</t>
        </is>
      </c>
      <c r="H600" s="16" t="inlineStr">
        <is>
          <t>Env var (linked higher priority)-&gt;Header key (rare)</t>
        </is>
      </c>
      <c r="I600" s="16" t="inlineStr">
        <is>
          <t>Variable resolves correctly into Header key (rare); sent request reflects the resolved value; resolution precedence honored.</t>
        </is>
      </c>
      <c r="J600" s="16" t="inlineStr"/>
      <c r="K600" s="16" t="inlineStr">
        <is>
          <t>Not Run</t>
        </is>
      </c>
      <c r="L600" s="16" t="inlineStr">
        <is>
          <t>Medium</t>
        </is>
      </c>
      <c r="M600" s="16" t="inlineStr"/>
      <c r="N600" s="16" t="inlineStr"/>
      <c r="O600" s="16" t="inlineStr"/>
    </row>
    <row r="601" ht="72" customHeight="1">
      <c r="A601" s="16" t="inlineStr">
        <is>
          <t>TC-VI-0025</t>
        </is>
      </c>
      <c r="B601" s="16" t="inlineStr">
        <is>
          <t>Variable Interpolation Matrix</t>
        </is>
      </c>
      <c r="C601" s="16" t="inlineStr">
        <is>
          <t>Header key (rare) &lt;- Env var (linked lower priority)</t>
        </is>
      </c>
      <c r="D601" s="16" t="inlineStr">
        <is>
          <t>Functional</t>
        </is>
      </c>
      <c r="E601" s="16" t="inlineStr">
        <is>
          <t>Interpolate Env var (linked lower priority) in Header key (rare)</t>
        </is>
      </c>
      <c r="F601" s="16" t="inlineStr">
        <is>
          <t>Editor open; workspace has the var configured per scope.</t>
        </is>
      </c>
      <c r="G601" s="16" t="inlineStr">
        <is>
          <t>1. Define a value in Env var (linked lower priority).
2. Reference it via {{var}} in Header key (rare).
3. Send.</t>
        </is>
      </c>
      <c r="H601" s="16" t="inlineStr">
        <is>
          <t>Env var (linked lower priority)-&gt;Header key (rare)</t>
        </is>
      </c>
      <c r="I601" s="16" t="inlineStr">
        <is>
          <t>Variable resolves correctly into Header key (rare); sent request reflects the resolved value; resolution precedence honored.</t>
        </is>
      </c>
      <c r="J601" s="16" t="inlineStr"/>
      <c r="K601" s="16" t="inlineStr">
        <is>
          <t>Not Run</t>
        </is>
      </c>
      <c r="L601" s="16" t="inlineStr">
        <is>
          <t>Medium</t>
        </is>
      </c>
      <c r="M601" s="16" t="inlineStr"/>
      <c r="N601" s="16" t="inlineStr"/>
      <c r="O601" s="16" t="inlineStr"/>
    </row>
    <row r="602" ht="72" customHeight="1">
      <c r="A602" s="16" t="inlineStr">
        <is>
          <t>TC-VI-0026</t>
        </is>
      </c>
      <c r="B602" s="16" t="inlineStr">
        <is>
          <t>Variable Interpolation Matrix</t>
        </is>
      </c>
      <c r="C602" s="16" t="inlineStr">
        <is>
          <t>Header key (rare) &lt;- Secret var (plaintext after decrypt)</t>
        </is>
      </c>
      <c r="D602" s="16" t="inlineStr">
        <is>
          <t>Functional</t>
        </is>
      </c>
      <c r="E602" s="16" t="inlineStr">
        <is>
          <t>Interpolate Secret var (plaintext after decrypt) in Header key (rare)</t>
        </is>
      </c>
      <c r="F602" s="16" t="inlineStr">
        <is>
          <t>Editor open; workspace has the var configured per scope.</t>
        </is>
      </c>
      <c r="G602" s="16" t="inlineStr">
        <is>
          <t>1. Define a value in Secret var (plaintext after decrypt).
2. Reference it via {{var}} in Header key (rare).
3. Send.</t>
        </is>
      </c>
      <c r="H602" s="16" t="inlineStr">
        <is>
          <t>Secret var (plaintext after decrypt)-&gt;Header key (rare)</t>
        </is>
      </c>
      <c r="I602" s="16" t="inlineStr">
        <is>
          <t>Variable resolves correctly into Header key (rare); sent request reflects the resolved value; resolution precedence honored.</t>
        </is>
      </c>
      <c r="J602" s="16" t="inlineStr"/>
      <c r="K602" s="16" t="inlineStr">
        <is>
          <t>Not Run</t>
        </is>
      </c>
      <c r="L602" s="16" t="inlineStr">
        <is>
          <t>Medium</t>
        </is>
      </c>
      <c r="M602" s="16" t="inlineStr"/>
      <c r="N602" s="16" t="inlineStr"/>
      <c r="O602" s="16" t="inlineStr"/>
    </row>
    <row r="603" ht="72" customHeight="1">
      <c r="A603" s="16" t="inlineStr">
        <is>
          <t>TC-VI-0027</t>
        </is>
      </c>
      <c r="B603" s="16" t="inlineStr">
        <is>
          <t>Variable Interpolation Matrix</t>
        </is>
      </c>
      <c r="C603" s="16" t="inlineStr">
        <is>
          <t>Header key (rare) &lt;- Request context var (pm.variables.set)</t>
        </is>
      </c>
      <c r="D603" s="16" t="inlineStr">
        <is>
          <t>Functional</t>
        </is>
      </c>
      <c r="E603" s="16" t="inlineStr">
        <is>
          <t>Interpolate Request context var (pm.variables.set) in Header key (rare)</t>
        </is>
      </c>
      <c r="F603" s="16" t="inlineStr">
        <is>
          <t>Editor open; workspace has the var configured per scope.</t>
        </is>
      </c>
      <c r="G603" s="16" t="inlineStr">
        <is>
          <t>1. Define a value in Request context var (pm.variables.set).
2. Reference it via {{var}} in Header key (rare).
3. Send.</t>
        </is>
      </c>
      <c r="H603" s="16" t="inlineStr">
        <is>
          <t>Request context var (pm.variables.set)-&gt;Header key (rare)</t>
        </is>
      </c>
      <c r="I603" s="16" t="inlineStr">
        <is>
          <t>Variable resolves correctly into Header key (rare); sent request reflects the resolved value; resolution precedence honored.</t>
        </is>
      </c>
      <c r="J603" s="16" t="inlineStr"/>
      <c r="K603" s="16" t="inlineStr">
        <is>
          <t>Not Run</t>
        </is>
      </c>
      <c r="L603" s="16" t="inlineStr">
        <is>
          <t>Medium</t>
        </is>
      </c>
      <c r="M603" s="16" t="inlineStr"/>
      <c r="N603" s="16" t="inlineStr"/>
      <c r="O603" s="16" t="inlineStr"/>
    </row>
    <row r="604" ht="72" customHeight="1">
      <c r="A604" s="16" t="inlineStr">
        <is>
          <t>TC-VI-0028</t>
        </is>
      </c>
      <c r="B604" s="16" t="inlineStr">
        <is>
          <t>Variable Interpolation Matrix</t>
        </is>
      </c>
      <c r="C604" s="16" t="inlineStr">
        <is>
          <t>Header key (rare) &lt;- Linked workspace override</t>
        </is>
      </c>
      <c r="D604" s="16" t="inlineStr">
        <is>
          <t>Functional</t>
        </is>
      </c>
      <c r="E604" s="16" t="inlineStr">
        <is>
          <t>Interpolate Linked workspace override in Header key (rare)</t>
        </is>
      </c>
      <c r="F604" s="16" t="inlineStr">
        <is>
          <t>Editor open; workspace has the var configured per scope.</t>
        </is>
      </c>
      <c r="G604" s="16" t="inlineStr">
        <is>
          <t>1. Define a value in Linked workspace override.
2. Reference it via {{var}} in Header key (rare).
3. Send.</t>
        </is>
      </c>
      <c r="H604" s="16" t="inlineStr">
        <is>
          <t>Linked workspace override-&gt;Header key (rare)</t>
        </is>
      </c>
      <c r="I604" s="16" t="inlineStr">
        <is>
          <t>Variable resolves correctly into Header key (rare); sent request reflects the resolved value; resolution precedence honored.</t>
        </is>
      </c>
      <c r="J604" s="16" t="inlineStr"/>
      <c r="K604" s="16" t="inlineStr">
        <is>
          <t>Not Run</t>
        </is>
      </c>
      <c r="L604" s="16" t="inlineStr">
        <is>
          <t>Medium</t>
        </is>
      </c>
      <c r="M604" s="16" t="inlineStr"/>
      <c r="N604" s="16" t="inlineStr"/>
      <c r="O604" s="16" t="inlineStr"/>
    </row>
    <row r="605" ht="72" customHeight="1">
      <c r="A605" s="16" t="inlineStr">
        <is>
          <t>TC-VI-0029</t>
        </is>
      </c>
      <c r="B605" s="16" t="inlineStr">
        <is>
          <t>Variable Interpolation Matrix</t>
        </is>
      </c>
      <c r="C605" s="16" t="inlineStr">
        <is>
          <t>JSON body value &lt;- Workspace var</t>
        </is>
      </c>
      <c r="D605" s="16" t="inlineStr">
        <is>
          <t>Functional</t>
        </is>
      </c>
      <c r="E605" s="16" t="inlineStr">
        <is>
          <t>Interpolate Workspace var in JSON body value</t>
        </is>
      </c>
      <c r="F605" s="16" t="inlineStr">
        <is>
          <t>Editor open; workspace has the var configured per scope.</t>
        </is>
      </c>
      <c r="G605" s="16" t="inlineStr">
        <is>
          <t>1. Define a value in Workspace var.
2. Reference it via {{var}} in JSON body value.
3. Send.</t>
        </is>
      </c>
      <c r="H605" s="16" t="inlineStr">
        <is>
          <t>Workspace var-&gt;JSON body value</t>
        </is>
      </c>
      <c r="I605" s="16" t="inlineStr">
        <is>
          <t>Variable resolves correctly into JSON body value; sent request reflects the resolved value; resolution precedence honored.</t>
        </is>
      </c>
      <c r="J605" s="16" t="inlineStr"/>
      <c r="K605" s="16" t="inlineStr">
        <is>
          <t>Not Run</t>
        </is>
      </c>
      <c r="L605" s="16" t="inlineStr">
        <is>
          <t>Medium</t>
        </is>
      </c>
      <c r="M605" s="16" t="inlineStr"/>
      <c r="N605" s="16" t="inlineStr"/>
      <c r="O605" s="16" t="inlineStr"/>
    </row>
    <row r="606" ht="72" customHeight="1">
      <c r="A606" s="16" t="inlineStr">
        <is>
          <t>TC-VI-0030</t>
        </is>
      </c>
      <c r="B606" s="16" t="inlineStr">
        <is>
          <t>Variable Interpolation Matrix</t>
        </is>
      </c>
      <c r="C606" s="16" t="inlineStr">
        <is>
          <t>JSON body value &lt;- Env var (active)</t>
        </is>
      </c>
      <c r="D606" s="16" t="inlineStr">
        <is>
          <t>Functional</t>
        </is>
      </c>
      <c r="E606" s="16" t="inlineStr">
        <is>
          <t>Interpolate Env var (active) in JSON body value</t>
        </is>
      </c>
      <c r="F606" s="16" t="inlineStr">
        <is>
          <t>Editor open; workspace has the var configured per scope.</t>
        </is>
      </c>
      <c r="G606" s="16" t="inlineStr">
        <is>
          <t>1. Define a value in Env var (active).
2. Reference it via {{var}} in JSON body value.
3. Send.</t>
        </is>
      </c>
      <c r="H606" s="16" t="inlineStr">
        <is>
          <t>Env var (active)-&gt;JSON body value</t>
        </is>
      </c>
      <c r="I606" s="16" t="inlineStr">
        <is>
          <t>Variable resolves correctly into JSON body value; sent request reflects the resolved value; resolution precedence honored.</t>
        </is>
      </c>
      <c r="J606" s="16" t="inlineStr"/>
      <c r="K606" s="16" t="inlineStr">
        <is>
          <t>Not Run</t>
        </is>
      </c>
      <c r="L606" s="16" t="inlineStr">
        <is>
          <t>Medium</t>
        </is>
      </c>
      <c r="M606" s="16" t="inlineStr"/>
      <c r="N606" s="16" t="inlineStr"/>
      <c r="O606" s="16" t="inlineStr"/>
    </row>
    <row r="607" ht="72" customHeight="1">
      <c r="A607" s="16" t="inlineStr">
        <is>
          <t>TC-VI-0031</t>
        </is>
      </c>
      <c r="B607" s="16" t="inlineStr">
        <is>
          <t>Variable Interpolation Matrix</t>
        </is>
      </c>
      <c r="C607" s="16" t="inlineStr">
        <is>
          <t>JSON body value &lt;- Env var (linked higher priority)</t>
        </is>
      </c>
      <c r="D607" s="16" t="inlineStr">
        <is>
          <t>Functional</t>
        </is>
      </c>
      <c r="E607" s="16" t="inlineStr">
        <is>
          <t>Interpolate Env var (linked higher priority) in JSON body value</t>
        </is>
      </c>
      <c r="F607" s="16" t="inlineStr">
        <is>
          <t>Editor open; workspace has the var configured per scope.</t>
        </is>
      </c>
      <c r="G607" s="16" t="inlineStr">
        <is>
          <t>1. Define a value in Env var (linked higher priority).
2. Reference it via {{var}} in JSON body value.
3. Send.</t>
        </is>
      </c>
      <c r="H607" s="16" t="inlineStr">
        <is>
          <t>Env var (linked higher priority)-&gt;JSON body value</t>
        </is>
      </c>
      <c r="I607" s="16" t="inlineStr">
        <is>
          <t>Variable resolves correctly into JSON body value; sent request reflects the resolved value; resolution precedence honored.</t>
        </is>
      </c>
      <c r="J607" s="16" t="inlineStr"/>
      <c r="K607" s="16" t="inlineStr">
        <is>
          <t>Not Run</t>
        </is>
      </c>
      <c r="L607" s="16" t="inlineStr">
        <is>
          <t>Medium</t>
        </is>
      </c>
      <c r="M607" s="16" t="inlineStr"/>
      <c r="N607" s="16" t="inlineStr"/>
      <c r="O607" s="16" t="inlineStr"/>
    </row>
    <row r="608" ht="72" customHeight="1">
      <c r="A608" s="16" t="inlineStr">
        <is>
          <t>TC-VI-0032</t>
        </is>
      </c>
      <c r="B608" s="16" t="inlineStr">
        <is>
          <t>Variable Interpolation Matrix</t>
        </is>
      </c>
      <c r="C608" s="16" t="inlineStr">
        <is>
          <t>JSON body value &lt;- Env var (linked lower priority)</t>
        </is>
      </c>
      <c r="D608" s="16" t="inlineStr">
        <is>
          <t>Functional</t>
        </is>
      </c>
      <c r="E608" s="16" t="inlineStr">
        <is>
          <t>Interpolate Env var (linked lower priority) in JSON body value</t>
        </is>
      </c>
      <c r="F608" s="16" t="inlineStr">
        <is>
          <t>Editor open; workspace has the var configured per scope.</t>
        </is>
      </c>
      <c r="G608" s="16" t="inlineStr">
        <is>
          <t>1. Define a value in Env var (linked lower priority).
2. Reference it via {{var}} in JSON body value.
3. Send.</t>
        </is>
      </c>
      <c r="H608" s="16" t="inlineStr">
        <is>
          <t>Env var (linked lower priority)-&gt;JSON body value</t>
        </is>
      </c>
      <c r="I608" s="16" t="inlineStr">
        <is>
          <t>Variable resolves correctly into JSON body value; sent request reflects the resolved value; resolution precedence honored.</t>
        </is>
      </c>
      <c r="J608" s="16" t="inlineStr"/>
      <c r="K608" s="16" t="inlineStr">
        <is>
          <t>Not Run</t>
        </is>
      </c>
      <c r="L608" s="16" t="inlineStr">
        <is>
          <t>Medium</t>
        </is>
      </c>
      <c r="M608" s="16" t="inlineStr"/>
      <c r="N608" s="16" t="inlineStr"/>
      <c r="O608" s="16" t="inlineStr"/>
    </row>
    <row r="609" ht="72" customHeight="1">
      <c r="A609" s="16" t="inlineStr">
        <is>
          <t>TC-VI-0033</t>
        </is>
      </c>
      <c r="B609" s="16" t="inlineStr">
        <is>
          <t>Variable Interpolation Matrix</t>
        </is>
      </c>
      <c r="C609" s="16" t="inlineStr">
        <is>
          <t>JSON body value &lt;- Secret var (plaintext after decrypt)</t>
        </is>
      </c>
      <c r="D609" s="16" t="inlineStr">
        <is>
          <t>Functional</t>
        </is>
      </c>
      <c r="E609" s="16" t="inlineStr">
        <is>
          <t>Interpolate Secret var (plaintext after decrypt) in JSON body value</t>
        </is>
      </c>
      <c r="F609" s="16" t="inlineStr">
        <is>
          <t>Editor open; workspace has the var configured per scope.</t>
        </is>
      </c>
      <c r="G609" s="16" t="inlineStr">
        <is>
          <t>1. Define a value in Secret var (plaintext after decrypt).
2. Reference it via {{var}} in JSON body value.
3. Send.</t>
        </is>
      </c>
      <c r="H609" s="16" t="inlineStr">
        <is>
          <t>Secret var (plaintext after decrypt)-&gt;JSON body value</t>
        </is>
      </c>
      <c r="I609" s="16" t="inlineStr">
        <is>
          <t>Variable resolves correctly into JSON body value; sent request reflects the resolved value; resolution precedence honored.</t>
        </is>
      </c>
      <c r="J609" s="16" t="inlineStr"/>
      <c r="K609" s="16" t="inlineStr">
        <is>
          <t>Not Run</t>
        </is>
      </c>
      <c r="L609" s="16" t="inlineStr">
        <is>
          <t>Medium</t>
        </is>
      </c>
      <c r="M609" s="16" t="inlineStr"/>
      <c r="N609" s="16" t="inlineStr"/>
      <c r="O609" s="16" t="inlineStr"/>
    </row>
    <row r="610" ht="72" customHeight="1">
      <c r="A610" s="16" t="inlineStr">
        <is>
          <t>TC-VI-0034</t>
        </is>
      </c>
      <c r="B610" s="16" t="inlineStr">
        <is>
          <t>Variable Interpolation Matrix</t>
        </is>
      </c>
      <c r="C610" s="16" t="inlineStr">
        <is>
          <t>JSON body value &lt;- Request context var (pm.variables.set)</t>
        </is>
      </c>
      <c r="D610" s="16" t="inlineStr">
        <is>
          <t>Functional</t>
        </is>
      </c>
      <c r="E610" s="16" t="inlineStr">
        <is>
          <t>Interpolate Request context var (pm.variables.set) in JSON body value</t>
        </is>
      </c>
      <c r="F610" s="16" t="inlineStr">
        <is>
          <t>Editor open; workspace has the var configured per scope.</t>
        </is>
      </c>
      <c r="G610" s="16" t="inlineStr">
        <is>
          <t>1. Define a value in Request context var (pm.variables.set).
2. Reference it via {{var}} in JSON body value.
3. Send.</t>
        </is>
      </c>
      <c r="H610" s="16" t="inlineStr">
        <is>
          <t>Request context var (pm.variables.set)-&gt;JSON body value</t>
        </is>
      </c>
      <c r="I610" s="16" t="inlineStr">
        <is>
          <t>Variable resolves correctly into JSON body value; sent request reflects the resolved value; resolution precedence honored.</t>
        </is>
      </c>
      <c r="J610" s="16" t="inlineStr"/>
      <c r="K610" s="16" t="inlineStr">
        <is>
          <t>Not Run</t>
        </is>
      </c>
      <c r="L610" s="16" t="inlineStr">
        <is>
          <t>Medium</t>
        </is>
      </c>
      <c r="M610" s="16" t="inlineStr"/>
      <c r="N610" s="16" t="inlineStr"/>
      <c r="O610" s="16" t="inlineStr"/>
    </row>
    <row r="611" ht="72" customHeight="1">
      <c r="A611" s="16" t="inlineStr">
        <is>
          <t>TC-VI-0035</t>
        </is>
      </c>
      <c r="B611" s="16" t="inlineStr">
        <is>
          <t>Variable Interpolation Matrix</t>
        </is>
      </c>
      <c r="C611" s="16" t="inlineStr">
        <is>
          <t>JSON body value &lt;- Linked workspace override</t>
        </is>
      </c>
      <c r="D611" s="16" t="inlineStr">
        <is>
          <t>Functional</t>
        </is>
      </c>
      <c r="E611" s="16" t="inlineStr">
        <is>
          <t>Interpolate Linked workspace override in JSON body value</t>
        </is>
      </c>
      <c r="F611" s="16" t="inlineStr">
        <is>
          <t>Editor open; workspace has the var configured per scope.</t>
        </is>
      </c>
      <c r="G611" s="16" t="inlineStr">
        <is>
          <t>1. Define a value in Linked workspace override.
2. Reference it via {{var}} in JSON body value.
3. Send.</t>
        </is>
      </c>
      <c r="H611" s="16" t="inlineStr">
        <is>
          <t>Linked workspace override-&gt;JSON body value</t>
        </is>
      </c>
      <c r="I611" s="16" t="inlineStr">
        <is>
          <t>Variable resolves correctly into JSON body value; sent request reflects the resolved value; resolution precedence honored.</t>
        </is>
      </c>
      <c r="J611" s="16" t="inlineStr"/>
      <c r="K611" s="16" t="inlineStr">
        <is>
          <t>Not Run</t>
        </is>
      </c>
      <c r="L611" s="16" t="inlineStr">
        <is>
          <t>Medium</t>
        </is>
      </c>
      <c r="M611" s="16" t="inlineStr"/>
      <c r="N611" s="16" t="inlineStr"/>
      <c r="O611" s="16" t="inlineStr"/>
    </row>
    <row r="612" ht="72" customHeight="1">
      <c r="A612" s="16" t="inlineStr">
        <is>
          <t>TC-VI-0036</t>
        </is>
      </c>
      <c r="B612" s="16" t="inlineStr">
        <is>
          <t>Variable Interpolation Matrix</t>
        </is>
      </c>
      <c r="C612" s="16" t="inlineStr">
        <is>
          <t>JSON body key &lt;- Workspace var</t>
        </is>
      </c>
      <c r="D612" s="16" t="inlineStr">
        <is>
          <t>Functional</t>
        </is>
      </c>
      <c r="E612" s="16" t="inlineStr">
        <is>
          <t>Interpolate Workspace var in JSON body key</t>
        </is>
      </c>
      <c r="F612" s="16" t="inlineStr">
        <is>
          <t>Editor open; workspace has the var configured per scope.</t>
        </is>
      </c>
      <c r="G612" s="16" t="inlineStr">
        <is>
          <t>1. Define a value in Workspace var.
2. Reference it via {{var}} in JSON body key.
3. Send.</t>
        </is>
      </c>
      <c r="H612" s="16" t="inlineStr">
        <is>
          <t>Workspace var-&gt;JSON body key</t>
        </is>
      </c>
      <c r="I612" s="16" t="inlineStr">
        <is>
          <t>Variable resolves correctly into JSON body key; sent request reflects the resolved value; resolution precedence honored.</t>
        </is>
      </c>
      <c r="J612" s="16" t="inlineStr"/>
      <c r="K612" s="16" t="inlineStr">
        <is>
          <t>Not Run</t>
        </is>
      </c>
      <c r="L612" s="16" t="inlineStr">
        <is>
          <t>Medium</t>
        </is>
      </c>
      <c r="M612" s="16" t="inlineStr"/>
      <c r="N612" s="16" t="inlineStr"/>
      <c r="O612" s="16" t="inlineStr"/>
    </row>
    <row r="613" ht="72" customHeight="1">
      <c r="A613" s="16" t="inlineStr">
        <is>
          <t>TC-VI-0037</t>
        </is>
      </c>
      <c r="B613" s="16" t="inlineStr">
        <is>
          <t>Variable Interpolation Matrix</t>
        </is>
      </c>
      <c r="C613" s="16" t="inlineStr">
        <is>
          <t>JSON body key &lt;- Env var (active)</t>
        </is>
      </c>
      <c r="D613" s="16" t="inlineStr">
        <is>
          <t>Functional</t>
        </is>
      </c>
      <c r="E613" s="16" t="inlineStr">
        <is>
          <t>Interpolate Env var (active) in JSON body key</t>
        </is>
      </c>
      <c r="F613" s="16" t="inlineStr">
        <is>
          <t>Editor open; workspace has the var configured per scope.</t>
        </is>
      </c>
      <c r="G613" s="16" t="inlineStr">
        <is>
          <t>1. Define a value in Env var (active).
2. Reference it via {{var}} in JSON body key.
3. Send.</t>
        </is>
      </c>
      <c r="H613" s="16" t="inlineStr">
        <is>
          <t>Env var (active)-&gt;JSON body key</t>
        </is>
      </c>
      <c r="I613" s="16" t="inlineStr">
        <is>
          <t>Variable resolves correctly into JSON body key; sent request reflects the resolved value; resolution precedence honored.</t>
        </is>
      </c>
      <c r="J613" s="16" t="inlineStr"/>
      <c r="K613" s="16" t="inlineStr">
        <is>
          <t>Not Run</t>
        </is>
      </c>
      <c r="L613" s="16" t="inlineStr">
        <is>
          <t>Medium</t>
        </is>
      </c>
      <c r="M613" s="16" t="inlineStr"/>
      <c r="N613" s="16" t="inlineStr"/>
      <c r="O613" s="16" t="inlineStr"/>
    </row>
    <row r="614" ht="72" customHeight="1">
      <c r="A614" s="16" t="inlineStr">
        <is>
          <t>TC-VI-0038</t>
        </is>
      </c>
      <c r="B614" s="16" t="inlineStr">
        <is>
          <t>Variable Interpolation Matrix</t>
        </is>
      </c>
      <c r="C614" s="16" t="inlineStr">
        <is>
          <t>JSON body key &lt;- Env var (linked higher priority)</t>
        </is>
      </c>
      <c r="D614" s="16" t="inlineStr">
        <is>
          <t>Functional</t>
        </is>
      </c>
      <c r="E614" s="16" t="inlineStr">
        <is>
          <t>Interpolate Env var (linked higher priority) in JSON body key</t>
        </is>
      </c>
      <c r="F614" s="16" t="inlineStr">
        <is>
          <t>Editor open; workspace has the var configured per scope.</t>
        </is>
      </c>
      <c r="G614" s="16" t="inlineStr">
        <is>
          <t>1. Define a value in Env var (linked higher priority).
2. Reference it via {{var}} in JSON body key.
3. Send.</t>
        </is>
      </c>
      <c r="H614" s="16" t="inlineStr">
        <is>
          <t>Env var (linked higher priority)-&gt;JSON body key</t>
        </is>
      </c>
      <c r="I614" s="16" t="inlineStr">
        <is>
          <t>Variable resolves correctly into JSON body key; sent request reflects the resolved value; resolution precedence honored.</t>
        </is>
      </c>
      <c r="J614" s="16" t="inlineStr"/>
      <c r="K614" s="16" t="inlineStr">
        <is>
          <t>Not Run</t>
        </is>
      </c>
      <c r="L614" s="16" t="inlineStr">
        <is>
          <t>Medium</t>
        </is>
      </c>
      <c r="M614" s="16" t="inlineStr"/>
      <c r="N614" s="16" t="inlineStr"/>
      <c r="O614" s="16" t="inlineStr"/>
    </row>
    <row r="615" ht="72" customHeight="1">
      <c r="A615" s="16" t="inlineStr">
        <is>
          <t>TC-VI-0039</t>
        </is>
      </c>
      <c r="B615" s="16" t="inlineStr">
        <is>
          <t>Variable Interpolation Matrix</t>
        </is>
      </c>
      <c r="C615" s="16" t="inlineStr">
        <is>
          <t>JSON body key &lt;- Env var (linked lower priority)</t>
        </is>
      </c>
      <c r="D615" s="16" t="inlineStr">
        <is>
          <t>Functional</t>
        </is>
      </c>
      <c r="E615" s="16" t="inlineStr">
        <is>
          <t>Interpolate Env var (linked lower priority) in JSON body key</t>
        </is>
      </c>
      <c r="F615" s="16" t="inlineStr">
        <is>
          <t>Editor open; workspace has the var configured per scope.</t>
        </is>
      </c>
      <c r="G615" s="16" t="inlineStr">
        <is>
          <t>1. Define a value in Env var (linked lower priority).
2. Reference it via {{var}} in JSON body key.
3. Send.</t>
        </is>
      </c>
      <c r="H615" s="16" t="inlineStr">
        <is>
          <t>Env var (linked lower priority)-&gt;JSON body key</t>
        </is>
      </c>
      <c r="I615" s="16" t="inlineStr">
        <is>
          <t>Variable resolves correctly into JSON body key; sent request reflects the resolved value; resolution precedence honored.</t>
        </is>
      </c>
      <c r="J615" s="16" t="inlineStr"/>
      <c r="K615" s="16" t="inlineStr">
        <is>
          <t>Not Run</t>
        </is>
      </c>
      <c r="L615" s="16" t="inlineStr">
        <is>
          <t>Medium</t>
        </is>
      </c>
      <c r="M615" s="16" t="inlineStr"/>
      <c r="N615" s="16" t="inlineStr"/>
      <c r="O615" s="16" t="inlineStr"/>
    </row>
    <row r="616" ht="72" customHeight="1">
      <c r="A616" s="16" t="inlineStr">
        <is>
          <t>TC-VI-0040</t>
        </is>
      </c>
      <c r="B616" s="16" t="inlineStr">
        <is>
          <t>Variable Interpolation Matrix</t>
        </is>
      </c>
      <c r="C616" s="16" t="inlineStr">
        <is>
          <t>JSON body key &lt;- Secret var (plaintext after decrypt)</t>
        </is>
      </c>
      <c r="D616" s="16" t="inlineStr">
        <is>
          <t>Functional</t>
        </is>
      </c>
      <c r="E616" s="16" t="inlineStr">
        <is>
          <t>Interpolate Secret var (plaintext after decrypt) in JSON body key</t>
        </is>
      </c>
      <c r="F616" s="16" t="inlineStr">
        <is>
          <t>Editor open; workspace has the var configured per scope.</t>
        </is>
      </c>
      <c r="G616" s="16" t="inlineStr">
        <is>
          <t>1. Define a value in Secret var (plaintext after decrypt).
2. Reference it via {{var}} in JSON body key.
3. Send.</t>
        </is>
      </c>
      <c r="H616" s="16" t="inlineStr">
        <is>
          <t>Secret var (plaintext after decrypt)-&gt;JSON body key</t>
        </is>
      </c>
      <c r="I616" s="16" t="inlineStr">
        <is>
          <t>Variable resolves correctly into JSON body key; sent request reflects the resolved value; resolution precedence honored.</t>
        </is>
      </c>
      <c r="J616" s="16" t="inlineStr"/>
      <c r="K616" s="16" t="inlineStr">
        <is>
          <t>Not Run</t>
        </is>
      </c>
      <c r="L616" s="16" t="inlineStr">
        <is>
          <t>Medium</t>
        </is>
      </c>
      <c r="M616" s="16" t="inlineStr"/>
      <c r="N616" s="16" t="inlineStr"/>
      <c r="O616" s="16" t="inlineStr"/>
    </row>
    <row r="617" ht="72" customHeight="1">
      <c r="A617" s="16" t="inlineStr">
        <is>
          <t>TC-VI-0041</t>
        </is>
      </c>
      <c r="B617" s="16" t="inlineStr">
        <is>
          <t>Variable Interpolation Matrix</t>
        </is>
      </c>
      <c r="C617" s="16" t="inlineStr">
        <is>
          <t>JSON body key &lt;- Request context var (pm.variables.set)</t>
        </is>
      </c>
      <c r="D617" s="16" t="inlineStr">
        <is>
          <t>Functional</t>
        </is>
      </c>
      <c r="E617" s="16" t="inlineStr">
        <is>
          <t>Interpolate Request context var (pm.variables.set) in JSON body key</t>
        </is>
      </c>
      <c r="F617" s="16" t="inlineStr">
        <is>
          <t>Editor open; workspace has the var configured per scope.</t>
        </is>
      </c>
      <c r="G617" s="16" t="inlineStr">
        <is>
          <t>1. Define a value in Request context var (pm.variables.set).
2. Reference it via {{var}} in JSON body key.
3. Send.</t>
        </is>
      </c>
      <c r="H617" s="16" t="inlineStr">
        <is>
          <t>Request context var (pm.variables.set)-&gt;JSON body key</t>
        </is>
      </c>
      <c r="I617" s="16" t="inlineStr">
        <is>
          <t>Variable resolves correctly into JSON body key; sent request reflects the resolved value; resolution precedence honored.</t>
        </is>
      </c>
      <c r="J617" s="16" t="inlineStr"/>
      <c r="K617" s="16" t="inlineStr">
        <is>
          <t>Not Run</t>
        </is>
      </c>
      <c r="L617" s="16" t="inlineStr">
        <is>
          <t>Medium</t>
        </is>
      </c>
      <c r="M617" s="16" t="inlineStr"/>
      <c r="N617" s="16" t="inlineStr"/>
      <c r="O617" s="16" t="inlineStr"/>
    </row>
    <row r="618" ht="72" customHeight="1">
      <c r="A618" s="16" t="inlineStr">
        <is>
          <t>TC-VI-0042</t>
        </is>
      </c>
      <c r="B618" s="16" t="inlineStr">
        <is>
          <t>Variable Interpolation Matrix</t>
        </is>
      </c>
      <c r="C618" s="16" t="inlineStr">
        <is>
          <t>JSON body key &lt;- Linked workspace override</t>
        </is>
      </c>
      <c r="D618" s="16" t="inlineStr">
        <is>
          <t>Functional</t>
        </is>
      </c>
      <c r="E618" s="16" t="inlineStr">
        <is>
          <t>Interpolate Linked workspace override in JSON body key</t>
        </is>
      </c>
      <c r="F618" s="16" t="inlineStr">
        <is>
          <t>Editor open; workspace has the var configured per scope.</t>
        </is>
      </c>
      <c r="G618" s="16" t="inlineStr">
        <is>
          <t>1. Define a value in Linked workspace override.
2. Reference it via {{var}} in JSON body key.
3. Send.</t>
        </is>
      </c>
      <c r="H618" s="16" t="inlineStr">
        <is>
          <t>Linked workspace override-&gt;JSON body key</t>
        </is>
      </c>
      <c r="I618" s="16" t="inlineStr">
        <is>
          <t>Variable resolves correctly into JSON body key; sent request reflects the resolved value; resolution precedence honored.</t>
        </is>
      </c>
      <c r="J618" s="16" t="inlineStr"/>
      <c r="K618" s="16" t="inlineStr">
        <is>
          <t>Not Run</t>
        </is>
      </c>
      <c r="L618" s="16" t="inlineStr">
        <is>
          <t>Medium</t>
        </is>
      </c>
      <c r="M618" s="16" t="inlineStr"/>
      <c r="N618" s="16" t="inlineStr"/>
      <c r="O618" s="16" t="inlineStr"/>
    </row>
    <row r="619" ht="72" customHeight="1">
      <c r="A619" s="16" t="inlineStr">
        <is>
          <t>TC-VI-0043</t>
        </is>
      </c>
      <c r="B619" s="16" t="inlineStr">
        <is>
          <t>Variable Interpolation Matrix</t>
        </is>
      </c>
      <c r="C619" s="16" t="inlineStr">
        <is>
          <t>Form-data value &lt;- Workspace var</t>
        </is>
      </c>
      <c r="D619" s="16" t="inlineStr">
        <is>
          <t>Functional</t>
        </is>
      </c>
      <c r="E619" s="16" t="inlineStr">
        <is>
          <t>Interpolate Workspace var in Form-data value</t>
        </is>
      </c>
      <c r="F619" s="16" t="inlineStr">
        <is>
          <t>Editor open; workspace has the var configured per scope.</t>
        </is>
      </c>
      <c r="G619" s="16" t="inlineStr">
        <is>
          <t>1. Define a value in Workspace var.
2. Reference it via {{var}} in Form-data value.
3. Send.</t>
        </is>
      </c>
      <c r="H619" s="16" t="inlineStr">
        <is>
          <t>Workspace var-&gt;Form-data value</t>
        </is>
      </c>
      <c r="I619" s="16" t="inlineStr">
        <is>
          <t>Variable resolves correctly into Form-data value; sent request reflects the resolved value; resolution precedence honored.</t>
        </is>
      </c>
      <c r="J619" s="16" t="inlineStr"/>
      <c r="K619" s="16" t="inlineStr">
        <is>
          <t>Not Run</t>
        </is>
      </c>
      <c r="L619" s="16" t="inlineStr">
        <is>
          <t>Medium</t>
        </is>
      </c>
      <c r="M619" s="16" t="inlineStr"/>
      <c r="N619" s="16" t="inlineStr"/>
      <c r="O619" s="16" t="inlineStr"/>
    </row>
    <row r="620" ht="72" customHeight="1">
      <c r="A620" s="16" t="inlineStr">
        <is>
          <t>TC-VI-0044</t>
        </is>
      </c>
      <c r="B620" s="16" t="inlineStr">
        <is>
          <t>Variable Interpolation Matrix</t>
        </is>
      </c>
      <c r="C620" s="16" t="inlineStr">
        <is>
          <t>Form-data value &lt;- Env var (active)</t>
        </is>
      </c>
      <c r="D620" s="16" t="inlineStr">
        <is>
          <t>Functional</t>
        </is>
      </c>
      <c r="E620" s="16" t="inlineStr">
        <is>
          <t>Interpolate Env var (active) in Form-data value</t>
        </is>
      </c>
      <c r="F620" s="16" t="inlineStr">
        <is>
          <t>Editor open; workspace has the var configured per scope.</t>
        </is>
      </c>
      <c r="G620" s="16" t="inlineStr">
        <is>
          <t>1. Define a value in Env var (active).
2. Reference it via {{var}} in Form-data value.
3. Send.</t>
        </is>
      </c>
      <c r="H620" s="16" t="inlineStr">
        <is>
          <t>Env var (active)-&gt;Form-data value</t>
        </is>
      </c>
      <c r="I620" s="16" t="inlineStr">
        <is>
          <t>Variable resolves correctly into Form-data value; sent request reflects the resolved value; resolution precedence honored.</t>
        </is>
      </c>
      <c r="J620" s="16" t="inlineStr"/>
      <c r="K620" s="16" t="inlineStr">
        <is>
          <t>Not Run</t>
        </is>
      </c>
      <c r="L620" s="16" t="inlineStr">
        <is>
          <t>Medium</t>
        </is>
      </c>
      <c r="M620" s="16" t="inlineStr"/>
      <c r="N620" s="16" t="inlineStr"/>
      <c r="O620" s="16" t="inlineStr"/>
    </row>
    <row r="621" ht="72" customHeight="1">
      <c r="A621" s="16" t="inlineStr">
        <is>
          <t>TC-VI-0045</t>
        </is>
      </c>
      <c r="B621" s="16" t="inlineStr">
        <is>
          <t>Variable Interpolation Matrix</t>
        </is>
      </c>
      <c r="C621" s="16" t="inlineStr">
        <is>
          <t>Form-data value &lt;- Env var (linked higher priority)</t>
        </is>
      </c>
      <c r="D621" s="16" t="inlineStr">
        <is>
          <t>Functional</t>
        </is>
      </c>
      <c r="E621" s="16" t="inlineStr">
        <is>
          <t>Interpolate Env var (linked higher priority) in Form-data value</t>
        </is>
      </c>
      <c r="F621" s="16" t="inlineStr">
        <is>
          <t>Editor open; workspace has the var configured per scope.</t>
        </is>
      </c>
      <c r="G621" s="16" t="inlineStr">
        <is>
          <t>1. Define a value in Env var (linked higher priority).
2. Reference it via {{var}} in Form-data value.
3. Send.</t>
        </is>
      </c>
      <c r="H621" s="16" t="inlineStr">
        <is>
          <t>Env var (linked higher priority)-&gt;Form-data value</t>
        </is>
      </c>
      <c r="I621" s="16" t="inlineStr">
        <is>
          <t>Variable resolves correctly into Form-data value; sent request reflects the resolved value; resolution precedence honored.</t>
        </is>
      </c>
      <c r="J621" s="16" t="inlineStr"/>
      <c r="K621" s="16" t="inlineStr">
        <is>
          <t>Not Run</t>
        </is>
      </c>
      <c r="L621" s="16" t="inlineStr">
        <is>
          <t>Medium</t>
        </is>
      </c>
      <c r="M621" s="16" t="inlineStr"/>
      <c r="N621" s="16" t="inlineStr"/>
      <c r="O621" s="16" t="inlineStr"/>
    </row>
    <row r="622" ht="72" customHeight="1">
      <c r="A622" s="16" t="inlineStr">
        <is>
          <t>TC-VI-0046</t>
        </is>
      </c>
      <c r="B622" s="16" t="inlineStr">
        <is>
          <t>Variable Interpolation Matrix</t>
        </is>
      </c>
      <c r="C622" s="16" t="inlineStr">
        <is>
          <t>Form-data value &lt;- Env var (linked lower priority)</t>
        </is>
      </c>
      <c r="D622" s="16" t="inlineStr">
        <is>
          <t>Functional</t>
        </is>
      </c>
      <c r="E622" s="16" t="inlineStr">
        <is>
          <t>Interpolate Env var (linked lower priority) in Form-data value</t>
        </is>
      </c>
      <c r="F622" s="16" t="inlineStr">
        <is>
          <t>Editor open; workspace has the var configured per scope.</t>
        </is>
      </c>
      <c r="G622" s="16" t="inlineStr">
        <is>
          <t>1. Define a value in Env var (linked lower priority).
2. Reference it via {{var}} in Form-data value.
3. Send.</t>
        </is>
      </c>
      <c r="H622" s="16" t="inlineStr">
        <is>
          <t>Env var (linked lower priority)-&gt;Form-data value</t>
        </is>
      </c>
      <c r="I622" s="16" t="inlineStr">
        <is>
          <t>Variable resolves correctly into Form-data value; sent request reflects the resolved value; resolution precedence honored.</t>
        </is>
      </c>
      <c r="J622" s="16" t="inlineStr"/>
      <c r="K622" s="16" t="inlineStr">
        <is>
          <t>Not Run</t>
        </is>
      </c>
      <c r="L622" s="16" t="inlineStr">
        <is>
          <t>Medium</t>
        </is>
      </c>
      <c r="M622" s="16" t="inlineStr"/>
      <c r="N622" s="16" t="inlineStr"/>
      <c r="O622" s="16" t="inlineStr"/>
    </row>
    <row r="623" ht="72" customHeight="1">
      <c r="A623" s="16" t="inlineStr">
        <is>
          <t>TC-VI-0047</t>
        </is>
      </c>
      <c r="B623" s="16" t="inlineStr">
        <is>
          <t>Variable Interpolation Matrix</t>
        </is>
      </c>
      <c r="C623" s="16" t="inlineStr">
        <is>
          <t>Form-data value &lt;- Secret var (plaintext after decrypt)</t>
        </is>
      </c>
      <c r="D623" s="16" t="inlineStr">
        <is>
          <t>Functional</t>
        </is>
      </c>
      <c r="E623" s="16" t="inlineStr">
        <is>
          <t>Interpolate Secret var (plaintext after decrypt) in Form-data value</t>
        </is>
      </c>
      <c r="F623" s="16" t="inlineStr">
        <is>
          <t>Editor open; workspace has the var configured per scope.</t>
        </is>
      </c>
      <c r="G623" s="16" t="inlineStr">
        <is>
          <t>1. Define a value in Secret var (plaintext after decrypt).
2. Reference it via {{var}} in Form-data value.
3. Send.</t>
        </is>
      </c>
      <c r="H623" s="16" t="inlineStr">
        <is>
          <t>Secret var (plaintext after decrypt)-&gt;Form-data value</t>
        </is>
      </c>
      <c r="I623" s="16" t="inlineStr">
        <is>
          <t>Variable resolves correctly into Form-data value; sent request reflects the resolved value; resolution precedence honored.</t>
        </is>
      </c>
      <c r="J623" s="16" t="inlineStr"/>
      <c r="K623" s="16" t="inlineStr">
        <is>
          <t>Not Run</t>
        </is>
      </c>
      <c r="L623" s="16" t="inlineStr">
        <is>
          <t>Medium</t>
        </is>
      </c>
      <c r="M623" s="16" t="inlineStr"/>
      <c r="N623" s="16" t="inlineStr"/>
      <c r="O623" s="16" t="inlineStr"/>
    </row>
    <row r="624" ht="72" customHeight="1">
      <c r="A624" s="16" t="inlineStr">
        <is>
          <t>TC-VI-0048</t>
        </is>
      </c>
      <c r="B624" s="16" t="inlineStr">
        <is>
          <t>Variable Interpolation Matrix</t>
        </is>
      </c>
      <c r="C624" s="16" t="inlineStr">
        <is>
          <t>Form-data value &lt;- Request context var (pm.variables.set)</t>
        </is>
      </c>
      <c r="D624" s="16" t="inlineStr">
        <is>
          <t>Functional</t>
        </is>
      </c>
      <c r="E624" s="16" t="inlineStr">
        <is>
          <t>Interpolate Request context var (pm.variables.set) in Form-data value</t>
        </is>
      </c>
      <c r="F624" s="16" t="inlineStr">
        <is>
          <t>Editor open; workspace has the var configured per scope.</t>
        </is>
      </c>
      <c r="G624" s="16" t="inlineStr">
        <is>
          <t>1. Define a value in Request context var (pm.variables.set).
2. Reference it via {{var}} in Form-data value.
3. Send.</t>
        </is>
      </c>
      <c r="H624" s="16" t="inlineStr">
        <is>
          <t>Request context var (pm.variables.set)-&gt;Form-data value</t>
        </is>
      </c>
      <c r="I624" s="16" t="inlineStr">
        <is>
          <t>Variable resolves correctly into Form-data value; sent request reflects the resolved value; resolution precedence honored.</t>
        </is>
      </c>
      <c r="J624" s="16" t="inlineStr"/>
      <c r="K624" s="16" t="inlineStr">
        <is>
          <t>Not Run</t>
        </is>
      </c>
      <c r="L624" s="16" t="inlineStr">
        <is>
          <t>Medium</t>
        </is>
      </c>
      <c r="M624" s="16" t="inlineStr"/>
      <c r="N624" s="16" t="inlineStr"/>
      <c r="O624" s="16" t="inlineStr"/>
    </row>
    <row r="625" ht="72" customHeight="1">
      <c r="A625" s="16" t="inlineStr">
        <is>
          <t>TC-VI-0049</t>
        </is>
      </c>
      <c r="B625" s="16" t="inlineStr">
        <is>
          <t>Variable Interpolation Matrix</t>
        </is>
      </c>
      <c r="C625" s="16" t="inlineStr">
        <is>
          <t>Form-data value &lt;- Linked workspace override</t>
        </is>
      </c>
      <c r="D625" s="16" t="inlineStr">
        <is>
          <t>Functional</t>
        </is>
      </c>
      <c r="E625" s="16" t="inlineStr">
        <is>
          <t>Interpolate Linked workspace override in Form-data value</t>
        </is>
      </c>
      <c r="F625" s="16" t="inlineStr">
        <is>
          <t>Editor open; workspace has the var configured per scope.</t>
        </is>
      </c>
      <c r="G625" s="16" t="inlineStr">
        <is>
          <t>1. Define a value in Linked workspace override.
2. Reference it via {{var}} in Form-data value.
3. Send.</t>
        </is>
      </c>
      <c r="H625" s="16" t="inlineStr">
        <is>
          <t>Linked workspace override-&gt;Form-data value</t>
        </is>
      </c>
      <c r="I625" s="16" t="inlineStr">
        <is>
          <t>Variable resolves correctly into Form-data value; sent request reflects the resolved value; resolution precedence honored.</t>
        </is>
      </c>
      <c r="J625" s="16" t="inlineStr"/>
      <c r="K625" s="16" t="inlineStr">
        <is>
          <t>Not Run</t>
        </is>
      </c>
      <c r="L625" s="16" t="inlineStr">
        <is>
          <t>Medium</t>
        </is>
      </c>
      <c r="M625" s="16" t="inlineStr"/>
      <c r="N625" s="16" t="inlineStr"/>
      <c r="O625" s="16" t="inlineStr"/>
    </row>
    <row r="626" ht="72" customHeight="1">
      <c r="A626" s="16" t="inlineStr">
        <is>
          <t>TC-VI-0050</t>
        </is>
      </c>
      <c r="B626" s="16" t="inlineStr">
        <is>
          <t>Variable Interpolation Matrix</t>
        </is>
      </c>
      <c r="C626" s="16" t="inlineStr">
        <is>
          <t>Form-data key &lt;- Workspace var</t>
        </is>
      </c>
      <c r="D626" s="16" t="inlineStr">
        <is>
          <t>Functional</t>
        </is>
      </c>
      <c r="E626" s="16" t="inlineStr">
        <is>
          <t>Interpolate Workspace var in Form-data key</t>
        </is>
      </c>
      <c r="F626" s="16" t="inlineStr">
        <is>
          <t>Editor open; workspace has the var configured per scope.</t>
        </is>
      </c>
      <c r="G626" s="16" t="inlineStr">
        <is>
          <t>1. Define a value in Workspace var.
2. Reference it via {{var}} in Form-data key.
3. Send.</t>
        </is>
      </c>
      <c r="H626" s="16" t="inlineStr">
        <is>
          <t>Workspace var-&gt;Form-data key</t>
        </is>
      </c>
      <c r="I626" s="16" t="inlineStr">
        <is>
          <t>Variable resolves correctly into Form-data key; sent request reflects the resolved value; resolution precedence honored.</t>
        </is>
      </c>
      <c r="J626" s="16" t="inlineStr"/>
      <c r="K626" s="16" t="inlineStr">
        <is>
          <t>Not Run</t>
        </is>
      </c>
      <c r="L626" s="16" t="inlineStr">
        <is>
          <t>Medium</t>
        </is>
      </c>
      <c r="M626" s="16" t="inlineStr"/>
      <c r="N626" s="16" t="inlineStr"/>
      <c r="O626" s="16" t="inlineStr"/>
    </row>
    <row r="627" ht="72" customHeight="1">
      <c r="A627" s="16" t="inlineStr">
        <is>
          <t>TC-VI-0051</t>
        </is>
      </c>
      <c r="B627" s="16" t="inlineStr">
        <is>
          <t>Variable Interpolation Matrix</t>
        </is>
      </c>
      <c r="C627" s="16" t="inlineStr">
        <is>
          <t>Form-data key &lt;- Env var (active)</t>
        </is>
      </c>
      <c r="D627" s="16" t="inlineStr">
        <is>
          <t>Functional</t>
        </is>
      </c>
      <c r="E627" s="16" t="inlineStr">
        <is>
          <t>Interpolate Env var (active) in Form-data key</t>
        </is>
      </c>
      <c r="F627" s="16" t="inlineStr">
        <is>
          <t>Editor open; workspace has the var configured per scope.</t>
        </is>
      </c>
      <c r="G627" s="16" t="inlineStr">
        <is>
          <t>1. Define a value in Env var (active).
2. Reference it via {{var}} in Form-data key.
3. Send.</t>
        </is>
      </c>
      <c r="H627" s="16" t="inlineStr">
        <is>
          <t>Env var (active)-&gt;Form-data key</t>
        </is>
      </c>
      <c r="I627" s="16" t="inlineStr">
        <is>
          <t>Variable resolves correctly into Form-data key; sent request reflects the resolved value; resolution precedence honored.</t>
        </is>
      </c>
      <c r="J627" s="16" t="inlineStr"/>
      <c r="K627" s="16" t="inlineStr">
        <is>
          <t>Not Run</t>
        </is>
      </c>
      <c r="L627" s="16" t="inlineStr">
        <is>
          <t>Medium</t>
        </is>
      </c>
      <c r="M627" s="16" t="inlineStr"/>
      <c r="N627" s="16" t="inlineStr"/>
      <c r="O627" s="16" t="inlineStr"/>
    </row>
    <row r="628" ht="72" customHeight="1">
      <c r="A628" s="16" t="inlineStr">
        <is>
          <t>TC-VI-0052</t>
        </is>
      </c>
      <c r="B628" s="16" t="inlineStr">
        <is>
          <t>Variable Interpolation Matrix</t>
        </is>
      </c>
      <c r="C628" s="16" t="inlineStr">
        <is>
          <t>Form-data key &lt;- Env var (linked higher priority)</t>
        </is>
      </c>
      <c r="D628" s="16" t="inlineStr">
        <is>
          <t>Functional</t>
        </is>
      </c>
      <c r="E628" s="16" t="inlineStr">
        <is>
          <t>Interpolate Env var (linked higher priority) in Form-data key</t>
        </is>
      </c>
      <c r="F628" s="16" t="inlineStr">
        <is>
          <t>Editor open; workspace has the var configured per scope.</t>
        </is>
      </c>
      <c r="G628" s="16" t="inlineStr">
        <is>
          <t>1. Define a value in Env var (linked higher priority).
2. Reference it via {{var}} in Form-data key.
3. Send.</t>
        </is>
      </c>
      <c r="H628" s="16" t="inlineStr">
        <is>
          <t>Env var (linked higher priority)-&gt;Form-data key</t>
        </is>
      </c>
      <c r="I628" s="16" t="inlineStr">
        <is>
          <t>Variable resolves correctly into Form-data key; sent request reflects the resolved value; resolution precedence honored.</t>
        </is>
      </c>
      <c r="J628" s="16" t="inlineStr"/>
      <c r="K628" s="16" t="inlineStr">
        <is>
          <t>Not Run</t>
        </is>
      </c>
      <c r="L628" s="16" t="inlineStr">
        <is>
          <t>Medium</t>
        </is>
      </c>
      <c r="M628" s="16" t="inlineStr"/>
      <c r="N628" s="16" t="inlineStr"/>
      <c r="O628" s="16" t="inlineStr"/>
    </row>
    <row r="629" ht="72" customHeight="1">
      <c r="A629" s="16" t="inlineStr">
        <is>
          <t>TC-VI-0053</t>
        </is>
      </c>
      <c r="B629" s="16" t="inlineStr">
        <is>
          <t>Variable Interpolation Matrix</t>
        </is>
      </c>
      <c r="C629" s="16" t="inlineStr">
        <is>
          <t>Form-data key &lt;- Env var (linked lower priority)</t>
        </is>
      </c>
      <c r="D629" s="16" t="inlineStr">
        <is>
          <t>Functional</t>
        </is>
      </c>
      <c r="E629" s="16" t="inlineStr">
        <is>
          <t>Interpolate Env var (linked lower priority) in Form-data key</t>
        </is>
      </c>
      <c r="F629" s="16" t="inlineStr">
        <is>
          <t>Editor open; workspace has the var configured per scope.</t>
        </is>
      </c>
      <c r="G629" s="16" t="inlineStr">
        <is>
          <t>1. Define a value in Env var (linked lower priority).
2. Reference it via {{var}} in Form-data key.
3. Send.</t>
        </is>
      </c>
      <c r="H629" s="16" t="inlineStr">
        <is>
          <t>Env var (linked lower priority)-&gt;Form-data key</t>
        </is>
      </c>
      <c r="I629" s="16" t="inlineStr">
        <is>
          <t>Variable resolves correctly into Form-data key; sent request reflects the resolved value; resolution precedence honored.</t>
        </is>
      </c>
      <c r="J629" s="16" t="inlineStr"/>
      <c r="K629" s="16" t="inlineStr">
        <is>
          <t>Not Run</t>
        </is>
      </c>
      <c r="L629" s="16" t="inlineStr">
        <is>
          <t>Medium</t>
        </is>
      </c>
      <c r="M629" s="16" t="inlineStr"/>
      <c r="N629" s="16" t="inlineStr"/>
      <c r="O629" s="16" t="inlineStr"/>
    </row>
    <row r="630" ht="72" customHeight="1">
      <c r="A630" s="16" t="inlineStr">
        <is>
          <t>TC-VI-0054</t>
        </is>
      </c>
      <c r="B630" s="16" t="inlineStr">
        <is>
          <t>Variable Interpolation Matrix</t>
        </is>
      </c>
      <c r="C630" s="16" t="inlineStr">
        <is>
          <t>Form-data key &lt;- Secret var (plaintext after decrypt)</t>
        </is>
      </c>
      <c r="D630" s="16" t="inlineStr">
        <is>
          <t>Functional</t>
        </is>
      </c>
      <c r="E630" s="16" t="inlineStr">
        <is>
          <t>Interpolate Secret var (plaintext after decrypt) in Form-data key</t>
        </is>
      </c>
      <c r="F630" s="16" t="inlineStr">
        <is>
          <t>Editor open; workspace has the var configured per scope.</t>
        </is>
      </c>
      <c r="G630" s="16" t="inlineStr">
        <is>
          <t>1. Define a value in Secret var (plaintext after decrypt).
2. Reference it via {{var}} in Form-data key.
3. Send.</t>
        </is>
      </c>
      <c r="H630" s="16" t="inlineStr">
        <is>
          <t>Secret var (plaintext after decrypt)-&gt;Form-data key</t>
        </is>
      </c>
      <c r="I630" s="16" t="inlineStr">
        <is>
          <t>Variable resolves correctly into Form-data key; sent request reflects the resolved value; resolution precedence honored.</t>
        </is>
      </c>
      <c r="J630" s="16" t="inlineStr"/>
      <c r="K630" s="16" t="inlineStr">
        <is>
          <t>Not Run</t>
        </is>
      </c>
      <c r="L630" s="16" t="inlineStr">
        <is>
          <t>Medium</t>
        </is>
      </c>
      <c r="M630" s="16" t="inlineStr"/>
      <c r="N630" s="16" t="inlineStr"/>
      <c r="O630" s="16" t="inlineStr"/>
    </row>
    <row r="631" ht="72" customHeight="1">
      <c r="A631" s="16" t="inlineStr">
        <is>
          <t>TC-VI-0055</t>
        </is>
      </c>
      <c r="B631" s="16" t="inlineStr">
        <is>
          <t>Variable Interpolation Matrix</t>
        </is>
      </c>
      <c r="C631" s="16" t="inlineStr">
        <is>
          <t>Form-data key &lt;- Request context var (pm.variables.set)</t>
        </is>
      </c>
      <c r="D631" s="16" t="inlineStr">
        <is>
          <t>Functional</t>
        </is>
      </c>
      <c r="E631" s="16" t="inlineStr">
        <is>
          <t>Interpolate Request context var (pm.variables.set) in Form-data key</t>
        </is>
      </c>
      <c r="F631" s="16" t="inlineStr">
        <is>
          <t>Editor open; workspace has the var configured per scope.</t>
        </is>
      </c>
      <c r="G631" s="16" t="inlineStr">
        <is>
          <t>1. Define a value in Request context var (pm.variables.set).
2. Reference it via {{var}} in Form-data key.
3. Send.</t>
        </is>
      </c>
      <c r="H631" s="16" t="inlineStr">
        <is>
          <t>Request context var (pm.variables.set)-&gt;Form-data key</t>
        </is>
      </c>
      <c r="I631" s="16" t="inlineStr">
        <is>
          <t>Variable resolves correctly into Form-data key; sent request reflects the resolved value; resolution precedence honored.</t>
        </is>
      </c>
      <c r="J631" s="16" t="inlineStr"/>
      <c r="K631" s="16" t="inlineStr">
        <is>
          <t>Not Run</t>
        </is>
      </c>
      <c r="L631" s="16" t="inlineStr">
        <is>
          <t>Medium</t>
        </is>
      </c>
      <c r="M631" s="16" t="inlineStr"/>
      <c r="N631" s="16" t="inlineStr"/>
      <c r="O631" s="16" t="inlineStr"/>
    </row>
    <row r="632" ht="72" customHeight="1">
      <c r="A632" s="16" t="inlineStr">
        <is>
          <t>TC-VI-0056</t>
        </is>
      </c>
      <c r="B632" s="16" t="inlineStr">
        <is>
          <t>Variable Interpolation Matrix</t>
        </is>
      </c>
      <c r="C632" s="16" t="inlineStr">
        <is>
          <t>Form-data key &lt;- Linked workspace override</t>
        </is>
      </c>
      <c r="D632" s="16" t="inlineStr">
        <is>
          <t>Functional</t>
        </is>
      </c>
      <c r="E632" s="16" t="inlineStr">
        <is>
          <t>Interpolate Linked workspace override in Form-data key</t>
        </is>
      </c>
      <c r="F632" s="16" t="inlineStr">
        <is>
          <t>Editor open; workspace has the var configured per scope.</t>
        </is>
      </c>
      <c r="G632" s="16" t="inlineStr">
        <is>
          <t>1. Define a value in Linked workspace override.
2. Reference it via {{var}} in Form-data key.
3. Send.</t>
        </is>
      </c>
      <c r="H632" s="16" t="inlineStr">
        <is>
          <t>Linked workspace override-&gt;Form-data key</t>
        </is>
      </c>
      <c r="I632" s="16" t="inlineStr">
        <is>
          <t>Variable resolves correctly into Form-data key; sent request reflects the resolved value; resolution precedence honored.</t>
        </is>
      </c>
      <c r="J632" s="16" t="inlineStr"/>
      <c r="K632" s="16" t="inlineStr">
        <is>
          <t>Not Run</t>
        </is>
      </c>
      <c r="L632" s="16" t="inlineStr">
        <is>
          <t>Medium</t>
        </is>
      </c>
      <c r="M632" s="16" t="inlineStr"/>
      <c r="N632" s="16" t="inlineStr"/>
      <c r="O632" s="16" t="inlineStr"/>
    </row>
    <row r="633" ht="72" customHeight="1">
      <c r="A633" s="16" t="inlineStr">
        <is>
          <t>TC-VI-0057</t>
        </is>
      </c>
      <c r="B633" s="16" t="inlineStr">
        <is>
          <t>Variable Interpolation Matrix</t>
        </is>
      </c>
      <c r="C633" s="16" t="inlineStr">
        <is>
          <t>Auth Basic username &lt;- Workspace var</t>
        </is>
      </c>
      <c r="D633" s="16" t="inlineStr">
        <is>
          <t>Functional</t>
        </is>
      </c>
      <c r="E633" s="16" t="inlineStr">
        <is>
          <t>Interpolate Workspace var in Auth Basic username</t>
        </is>
      </c>
      <c r="F633" s="16" t="inlineStr">
        <is>
          <t>Editor open; workspace has the var configured per scope.</t>
        </is>
      </c>
      <c r="G633" s="16" t="inlineStr">
        <is>
          <t>1. Define a value in Workspace var.
2. Reference it via {{var}} in Auth Basic username.
3. Send.</t>
        </is>
      </c>
      <c r="H633" s="16" t="inlineStr">
        <is>
          <t>Workspace var-&gt;Auth Basic username</t>
        </is>
      </c>
      <c r="I633" s="16" t="inlineStr">
        <is>
          <t>Variable resolves correctly into Auth Basic username; sent request reflects the resolved value; resolution precedence honored.</t>
        </is>
      </c>
      <c r="J633" s="16" t="inlineStr"/>
      <c r="K633" s="16" t="inlineStr">
        <is>
          <t>Not Run</t>
        </is>
      </c>
      <c r="L633" s="16" t="inlineStr">
        <is>
          <t>Medium</t>
        </is>
      </c>
      <c r="M633" s="16" t="inlineStr"/>
      <c r="N633" s="16" t="inlineStr"/>
      <c r="O633" s="16" t="inlineStr"/>
    </row>
    <row r="634" ht="72" customHeight="1">
      <c r="A634" s="16" t="inlineStr">
        <is>
          <t>TC-VI-0058</t>
        </is>
      </c>
      <c r="B634" s="16" t="inlineStr">
        <is>
          <t>Variable Interpolation Matrix</t>
        </is>
      </c>
      <c r="C634" s="16" t="inlineStr">
        <is>
          <t>Auth Basic username &lt;- Env var (active)</t>
        </is>
      </c>
      <c r="D634" s="16" t="inlineStr">
        <is>
          <t>Functional</t>
        </is>
      </c>
      <c r="E634" s="16" t="inlineStr">
        <is>
          <t>Interpolate Env var (active) in Auth Basic username</t>
        </is>
      </c>
      <c r="F634" s="16" t="inlineStr">
        <is>
          <t>Editor open; workspace has the var configured per scope.</t>
        </is>
      </c>
      <c r="G634" s="16" t="inlineStr">
        <is>
          <t>1. Define a value in Env var (active).
2. Reference it via {{var}} in Auth Basic username.
3. Send.</t>
        </is>
      </c>
      <c r="H634" s="16" t="inlineStr">
        <is>
          <t>Env var (active)-&gt;Auth Basic username</t>
        </is>
      </c>
      <c r="I634" s="16" t="inlineStr">
        <is>
          <t>Variable resolves correctly into Auth Basic username; sent request reflects the resolved value; resolution precedence honored.</t>
        </is>
      </c>
      <c r="J634" s="16" t="inlineStr"/>
      <c r="K634" s="16" t="inlineStr">
        <is>
          <t>Not Run</t>
        </is>
      </c>
      <c r="L634" s="16" t="inlineStr">
        <is>
          <t>Medium</t>
        </is>
      </c>
      <c r="M634" s="16" t="inlineStr"/>
      <c r="N634" s="16" t="inlineStr"/>
      <c r="O634" s="16" t="inlineStr"/>
    </row>
    <row r="635" ht="72" customHeight="1">
      <c r="A635" s="16" t="inlineStr">
        <is>
          <t>TC-VI-0059</t>
        </is>
      </c>
      <c r="B635" s="16" t="inlineStr">
        <is>
          <t>Variable Interpolation Matrix</t>
        </is>
      </c>
      <c r="C635" s="16" t="inlineStr">
        <is>
          <t>Auth Basic username &lt;- Env var (linked higher priority)</t>
        </is>
      </c>
      <c r="D635" s="16" t="inlineStr">
        <is>
          <t>Functional</t>
        </is>
      </c>
      <c r="E635" s="16" t="inlineStr">
        <is>
          <t>Interpolate Env var (linked higher priority) in Auth Basic username</t>
        </is>
      </c>
      <c r="F635" s="16" t="inlineStr">
        <is>
          <t>Editor open; workspace has the var configured per scope.</t>
        </is>
      </c>
      <c r="G635" s="16" t="inlineStr">
        <is>
          <t>1. Define a value in Env var (linked higher priority).
2. Reference it via {{var}} in Auth Basic username.
3. Send.</t>
        </is>
      </c>
      <c r="H635" s="16" t="inlineStr">
        <is>
          <t>Env var (linked higher priority)-&gt;Auth Basic username</t>
        </is>
      </c>
      <c r="I635" s="16" t="inlineStr">
        <is>
          <t>Variable resolves correctly into Auth Basic username; sent request reflects the resolved value; resolution precedence honored.</t>
        </is>
      </c>
      <c r="J635" s="16" t="inlineStr"/>
      <c r="K635" s="16" t="inlineStr">
        <is>
          <t>Not Run</t>
        </is>
      </c>
      <c r="L635" s="16" t="inlineStr">
        <is>
          <t>Medium</t>
        </is>
      </c>
      <c r="M635" s="16" t="inlineStr"/>
      <c r="N635" s="16" t="inlineStr"/>
      <c r="O635" s="16" t="inlineStr"/>
    </row>
    <row r="636" ht="72" customHeight="1">
      <c r="A636" s="16" t="inlineStr">
        <is>
          <t>TC-VI-0060</t>
        </is>
      </c>
      <c r="B636" s="16" t="inlineStr">
        <is>
          <t>Variable Interpolation Matrix</t>
        </is>
      </c>
      <c r="C636" s="16" t="inlineStr">
        <is>
          <t>Auth Basic username &lt;- Env var (linked lower priority)</t>
        </is>
      </c>
      <c r="D636" s="16" t="inlineStr">
        <is>
          <t>Functional</t>
        </is>
      </c>
      <c r="E636" s="16" t="inlineStr">
        <is>
          <t>Interpolate Env var (linked lower priority) in Auth Basic username</t>
        </is>
      </c>
      <c r="F636" s="16" t="inlineStr">
        <is>
          <t>Editor open; workspace has the var configured per scope.</t>
        </is>
      </c>
      <c r="G636" s="16" t="inlineStr">
        <is>
          <t>1. Define a value in Env var (linked lower priority).
2. Reference it via {{var}} in Auth Basic username.
3. Send.</t>
        </is>
      </c>
      <c r="H636" s="16" t="inlineStr">
        <is>
          <t>Env var (linked lower priority)-&gt;Auth Basic username</t>
        </is>
      </c>
      <c r="I636" s="16" t="inlineStr">
        <is>
          <t>Variable resolves correctly into Auth Basic username; sent request reflects the resolved value; resolution precedence honored.</t>
        </is>
      </c>
      <c r="J636" s="16" t="inlineStr"/>
      <c r="K636" s="16" t="inlineStr">
        <is>
          <t>Not Run</t>
        </is>
      </c>
      <c r="L636" s="16" t="inlineStr">
        <is>
          <t>Medium</t>
        </is>
      </c>
      <c r="M636" s="16" t="inlineStr"/>
      <c r="N636" s="16" t="inlineStr"/>
      <c r="O636" s="16" t="inlineStr"/>
    </row>
    <row r="637" ht="72" customHeight="1">
      <c r="A637" s="16" t="inlineStr">
        <is>
          <t>TC-VI-0061</t>
        </is>
      </c>
      <c r="B637" s="16" t="inlineStr">
        <is>
          <t>Variable Interpolation Matrix</t>
        </is>
      </c>
      <c r="C637" s="16" t="inlineStr">
        <is>
          <t>Auth Basic username &lt;- Secret var (plaintext after decrypt)</t>
        </is>
      </c>
      <c r="D637" s="16" t="inlineStr">
        <is>
          <t>Functional</t>
        </is>
      </c>
      <c r="E637" s="16" t="inlineStr">
        <is>
          <t>Interpolate Secret var (plaintext after decrypt) in Auth Basic username</t>
        </is>
      </c>
      <c r="F637" s="16" t="inlineStr">
        <is>
          <t>Editor open; workspace has the var configured per scope.</t>
        </is>
      </c>
      <c r="G637" s="16" t="inlineStr">
        <is>
          <t>1. Define a value in Secret var (plaintext after decrypt).
2. Reference it via {{var}} in Auth Basic username.
3. Send.</t>
        </is>
      </c>
      <c r="H637" s="16" t="inlineStr">
        <is>
          <t>Secret var (plaintext after decrypt)-&gt;Auth Basic username</t>
        </is>
      </c>
      <c r="I637" s="16" t="inlineStr">
        <is>
          <t>Variable resolves correctly into Auth Basic username; sent request reflects the resolved value; resolution precedence honored.</t>
        </is>
      </c>
      <c r="J637" s="16" t="inlineStr"/>
      <c r="K637" s="16" t="inlineStr">
        <is>
          <t>Not Run</t>
        </is>
      </c>
      <c r="L637" s="16" t="inlineStr">
        <is>
          <t>Medium</t>
        </is>
      </c>
      <c r="M637" s="16" t="inlineStr"/>
      <c r="N637" s="16" t="inlineStr"/>
      <c r="O637" s="16" t="inlineStr"/>
    </row>
    <row r="638" ht="72" customHeight="1">
      <c r="A638" s="16" t="inlineStr">
        <is>
          <t>TC-VI-0062</t>
        </is>
      </c>
      <c r="B638" s="16" t="inlineStr">
        <is>
          <t>Variable Interpolation Matrix</t>
        </is>
      </c>
      <c r="C638" s="16" t="inlineStr">
        <is>
          <t>Auth Basic username &lt;- Request context var (pm.variables.set)</t>
        </is>
      </c>
      <c r="D638" s="16" t="inlineStr">
        <is>
          <t>Functional</t>
        </is>
      </c>
      <c r="E638" s="16" t="inlineStr">
        <is>
          <t>Interpolate Request context var (pm.variables.set) in Auth Basic username</t>
        </is>
      </c>
      <c r="F638" s="16" t="inlineStr">
        <is>
          <t>Editor open; workspace has the var configured per scope.</t>
        </is>
      </c>
      <c r="G638" s="16" t="inlineStr">
        <is>
          <t>1. Define a value in Request context var (pm.variables.set).
2. Reference it via {{var}} in Auth Basic username.
3. Send.</t>
        </is>
      </c>
      <c r="H638" s="16" t="inlineStr">
        <is>
          <t>Request context var (pm.variables.set)-&gt;Auth Basic username</t>
        </is>
      </c>
      <c r="I638" s="16" t="inlineStr">
        <is>
          <t>Variable resolves correctly into Auth Basic username; sent request reflects the resolved value; resolution precedence honored.</t>
        </is>
      </c>
      <c r="J638" s="16" t="inlineStr"/>
      <c r="K638" s="16" t="inlineStr">
        <is>
          <t>Not Run</t>
        </is>
      </c>
      <c r="L638" s="16" t="inlineStr">
        <is>
          <t>Medium</t>
        </is>
      </c>
      <c r="M638" s="16" t="inlineStr"/>
      <c r="N638" s="16" t="inlineStr"/>
      <c r="O638" s="16" t="inlineStr"/>
    </row>
    <row r="639" ht="72" customHeight="1">
      <c r="A639" s="16" t="inlineStr">
        <is>
          <t>TC-VI-0063</t>
        </is>
      </c>
      <c r="B639" s="16" t="inlineStr">
        <is>
          <t>Variable Interpolation Matrix</t>
        </is>
      </c>
      <c r="C639" s="16" t="inlineStr">
        <is>
          <t>Auth Basic username &lt;- Linked workspace override</t>
        </is>
      </c>
      <c r="D639" s="16" t="inlineStr">
        <is>
          <t>Functional</t>
        </is>
      </c>
      <c r="E639" s="16" t="inlineStr">
        <is>
          <t>Interpolate Linked workspace override in Auth Basic username</t>
        </is>
      </c>
      <c r="F639" s="16" t="inlineStr">
        <is>
          <t>Editor open; workspace has the var configured per scope.</t>
        </is>
      </c>
      <c r="G639" s="16" t="inlineStr">
        <is>
          <t>1. Define a value in Linked workspace override.
2. Reference it via {{var}} in Auth Basic username.
3. Send.</t>
        </is>
      </c>
      <c r="H639" s="16" t="inlineStr">
        <is>
          <t>Linked workspace override-&gt;Auth Basic username</t>
        </is>
      </c>
      <c r="I639" s="16" t="inlineStr">
        <is>
          <t>Variable resolves correctly into Auth Basic username; sent request reflects the resolved value; resolution precedence honored.</t>
        </is>
      </c>
      <c r="J639" s="16" t="inlineStr"/>
      <c r="K639" s="16" t="inlineStr">
        <is>
          <t>Not Run</t>
        </is>
      </c>
      <c r="L639" s="16" t="inlineStr">
        <is>
          <t>Medium</t>
        </is>
      </c>
      <c r="M639" s="16" t="inlineStr"/>
      <c r="N639" s="16" t="inlineStr"/>
      <c r="O639" s="16" t="inlineStr"/>
    </row>
    <row r="640" ht="72" customHeight="1">
      <c r="A640" s="16" t="inlineStr">
        <is>
          <t>TC-VI-0064</t>
        </is>
      </c>
      <c r="B640" s="16" t="inlineStr">
        <is>
          <t>Variable Interpolation Matrix</t>
        </is>
      </c>
      <c r="C640" s="16" t="inlineStr">
        <is>
          <t>Auth Basic password &lt;- Workspace var</t>
        </is>
      </c>
      <c r="D640" s="16" t="inlineStr">
        <is>
          <t>Functional</t>
        </is>
      </c>
      <c r="E640" s="16" t="inlineStr">
        <is>
          <t>Interpolate Workspace var in Auth Basic password</t>
        </is>
      </c>
      <c r="F640" s="16" t="inlineStr">
        <is>
          <t>Editor open; workspace has the var configured per scope.</t>
        </is>
      </c>
      <c r="G640" s="16" t="inlineStr">
        <is>
          <t>1. Define a value in Workspace var.
2. Reference it via {{var}} in Auth Basic password.
3. Send.</t>
        </is>
      </c>
      <c r="H640" s="16" t="inlineStr">
        <is>
          <t>Workspace var-&gt;Auth Basic password</t>
        </is>
      </c>
      <c r="I640" s="16" t="inlineStr">
        <is>
          <t>Variable resolves correctly into Auth Basic password; sent request reflects the resolved value; resolution precedence honored.</t>
        </is>
      </c>
      <c r="J640" s="16" t="inlineStr"/>
      <c r="K640" s="16" t="inlineStr">
        <is>
          <t>Not Run</t>
        </is>
      </c>
      <c r="L640" s="16" t="inlineStr">
        <is>
          <t>Medium</t>
        </is>
      </c>
      <c r="M640" s="16" t="inlineStr"/>
      <c r="N640" s="16" t="inlineStr"/>
      <c r="O640" s="16" t="inlineStr"/>
    </row>
    <row r="641" ht="72" customHeight="1">
      <c r="A641" s="16" t="inlineStr">
        <is>
          <t>TC-VI-0065</t>
        </is>
      </c>
      <c r="B641" s="16" t="inlineStr">
        <is>
          <t>Variable Interpolation Matrix</t>
        </is>
      </c>
      <c r="C641" s="16" t="inlineStr">
        <is>
          <t>Auth Basic password &lt;- Env var (active)</t>
        </is>
      </c>
      <c r="D641" s="16" t="inlineStr">
        <is>
          <t>Functional</t>
        </is>
      </c>
      <c r="E641" s="16" t="inlineStr">
        <is>
          <t>Interpolate Env var (active) in Auth Basic password</t>
        </is>
      </c>
      <c r="F641" s="16" t="inlineStr">
        <is>
          <t>Editor open; workspace has the var configured per scope.</t>
        </is>
      </c>
      <c r="G641" s="16" t="inlineStr">
        <is>
          <t>1. Define a value in Env var (active).
2. Reference it via {{var}} in Auth Basic password.
3. Send.</t>
        </is>
      </c>
      <c r="H641" s="16" t="inlineStr">
        <is>
          <t>Env var (active)-&gt;Auth Basic password</t>
        </is>
      </c>
      <c r="I641" s="16" t="inlineStr">
        <is>
          <t>Variable resolves correctly into Auth Basic password; sent request reflects the resolved value; resolution precedence honored.</t>
        </is>
      </c>
      <c r="J641" s="16" t="inlineStr"/>
      <c r="K641" s="16" t="inlineStr">
        <is>
          <t>Not Run</t>
        </is>
      </c>
      <c r="L641" s="16" t="inlineStr">
        <is>
          <t>Medium</t>
        </is>
      </c>
      <c r="M641" s="16" t="inlineStr"/>
      <c r="N641" s="16" t="inlineStr"/>
      <c r="O641" s="16" t="inlineStr"/>
    </row>
    <row r="642" ht="72" customHeight="1">
      <c r="A642" s="16" t="inlineStr">
        <is>
          <t>TC-VI-0066</t>
        </is>
      </c>
      <c r="B642" s="16" t="inlineStr">
        <is>
          <t>Variable Interpolation Matrix</t>
        </is>
      </c>
      <c r="C642" s="16" t="inlineStr">
        <is>
          <t>Auth Basic password &lt;- Env var (linked higher priority)</t>
        </is>
      </c>
      <c r="D642" s="16" t="inlineStr">
        <is>
          <t>Functional</t>
        </is>
      </c>
      <c r="E642" s="16" t="inlineStr">
        <is>
          <t>Interpolate Env var (linked higher priority) in Auth Basic password</t>
        </is>
      </c>
      <c r="F642" s="16" t="inlineStr">
        <is>
          <t>Editor open; workspace has the var configured per scope.</t>
        </is>
      </c>
      <c r="G642" s="16" t="inlineStr">
        <is>
          <t>1. Define a value in Env var (linked higher priority).
2. Reference it via {{var}} in Auth Basic password.
3. Send.</t>
        </is>
      </c>
      <c r="H642" s="16" t="inlineStr">
        <is>
          <t>Env var (linked higher priority)-&gt;Auth Basic password</t>
        </is>
      </c>
      <c r="I642" s="16" t="inlineStr">
        <is>
          <t>Variable resolves correctly into Auth Basic password; sent request reflects the resolved value; resolution precedence honored.</t>
        </is>
      </c>
      <c r="J642" s="16" t="inlineStr"/>
      <c r="K642" s="16" t="inlineStr">
        <is>
          <t>Not Run</t>
        </is>
      </c>
      <c r="L642" s="16" t="inlineStr">
        <is>
          <t>Medium</t>
        </is>
      </c>
      <c r="M642" s="16" t="inlineStr"/>
      <c r="N642" s="16" t="inlineStr"/>
      <c r="O642" s="16" t="inlineStr"/>
    </row>
    <row r="643" ht="72" customHeight="1">
      <c r="A643" s="16" t="inlineStr">
        <is>
          <t>TC-VI-0067</t>
        </is>
      </c>
      <c r="B643" s="16" t="inlineStr">
        <is>
          <t>Variable Interpolation Matrix</t>
        </is>
      </c>
      <c r="C643" s="16" t="inlineStr">
        <is>
          <t>Auth Basic password &lt;- Env var (linked lower priority)</t>
        </is>
      </c>
      <c r="D643" s="16" t="inlineStr">
        <is>
          <t>Functional</t>
        </is>
      </c>
      <c r="E643" s="16" t="inlineStr">
        <is>
          <t>Interpolate Env var (linked lower priority) in Auth Basic password</t>
        </is>
      </c>
      <c r="F643" s="16" t="inlineStr">
        <is>
          <t>Editor open; workspace has the var configured per scope.</t>
        </is>
      </c>
      <c r="G643" s="16" t="inlineStr">
        <is>
          <t>1. Define a value in Env var (linked lower priority).
2. Reference it via {{var}} in Auth Basic password.
3. Send.</t>
        </is>
      </c>
      <c r="H643" s="16" t="inlineStr">
        <is>
          <t>Env var (linked lower priority)-&gt;Auth Basic password</t>
        </is>
      </c>
      <c r="I643" s="16" t="inlineStr">
        <is>
          <t>Variable resolves correctly into Auth Basic password; sent request reflects the resolved value; resolution precedence honored.</t>
        </is>
      </c>
      <c r="J643" s="16" t="inlineStr"/>
      <c r="K643" s="16" t="inlineStr">
        <is>
          <t>Not Run</t>
        </is>
      </c>
      <c r="L643" s="16" t="inlineStr">
        <is>
          <t>Medium</t>
        </is>
      </c>
      <c r="M643" s="16" t="inlineStr"/>
      <c r="N643" s="16" t="inlineStr"/>
      <c r="O643" s="16" t="inlineStr"/>
    </row>
    <row r="644" ht="72" customHeight="1">
      <c r="A644" s="16" t="inlineStr">
        <is>
          <t>TC-VI-0068</t>
        </is>
      </c>
      <c r="B644" s="16" t="inlineStr">
        <is>
          <t>Variable Interpolation Matrix</t>
        </is>
      </c>
      <c r="C644" s="16" t="inlineStr">
        <is>
          <t>Auth Basic password &lt;- Secret var (plaintext after decrypt)</t>
        </is>
      </c>
      <c r="D644" s="16" t="inlineStr">
        <is>
          <t>Functional</t>
        </is>
      </c>
      <c r="E644" s="16" t="inlineStr">
        <is>
          <t>Interpolate Secret var (plaintext after decrypt) in Auth Basic password</t>
        </is>
      </c>
      <c r="F644" s="16" t="inlineStr">
        <is>
          <t>Editor open; workspace has the var configured per scope.</t>
        </is>
      </c>
      <c r="G644" s="16" t="inlineStr">
        <is>
          <t>1. Define a value in Secret var (plaintext after decrypt).
2. Reference it via {{var}} in Auth Basic password.
3. Send.</t>
        </is>
      </c>
      <c r="H644" s="16" t="inlineStr">
        <is>
          <t>Secret var (plaintext after decrypt)-&gt;Auth Basic password</t>
        </is>
      </c>
      <c r="I644" s="16" t="inlineStr">
        <is>
          <t>Variable resolves correctly into Auth Basic password; sent request reflects the resolved value; resolution precedence honored.</t>
        </is>
      </c>
      <c r="J644" s="16" t="inlineStr"/>
      <c r="K644" s="16" t="inlineStr">
        <is>
          <t>Not Run</t>
        </is>
      </c>
      <c r="L644" s="16" t="inlineStr">
        <is>
          <t>Medium</t>
        </is>
      </c>
      <c r="M644" s="16" t="inlineStr"/>
      <c r="N644" s="16" t="inlineStr"/>
      <c r="O644" s="16" t="inlineStr"/>
    </row>
    <row r="645" ht="72" customHeight="1">
      <c r="A645" s="16" t="inlineStr">
        <is>
          <t>TC-VI-0069</t>
        </is>
      </c>
      <c r="B645" s="16" t="inlineStr">
        <is>
          <t>Variable Interpolation Matrix</t>
        </is>
      </c>
      <c r="C645" s="16" t="inlineStr">
        <is>
          <t>Auth Basic password &lt;- Request context var (pm.variables.set)</t>
        </is>
      </c>
      <c r="D645" s="16" t="inlineStr">
        <is>
          <t>Functional</t>
        </is>
      </c>
      <c r="E645" s="16" t="inlineStr">
        <is>
          <t>Interpolate Request context var (pm.variables.set) in Auth Basic password</t>
        </is>
      </c>
      <c r="F645" s="16" t="inlineStr">
        <is>
          <t>Editor open; workspace has the var configured per scope.</t>
        </is>
      </c>
      <c r="G645" s="16" t="inlineStr">
        <is>
          <t>1. Define a value in Request context var (pm.variables.set).
2. Reference it via {{var}} in Auth Basic password.
3. Send.</t>
        </is>
      </c>
      <c r="H645" s="16" t="inlineStr">
        <is>
          <t>Request context var (pm.variables.set)-&gt;Auth Basic password</t>
        </is>
      </c>
      <c r="I645" s="16" t="inlineStr">
        <is>
          <t>Variable resolves correctly into Auth Basic password; sent request reflects the resolved value; resolution precedence honored.</t>
        </is>
      </c>
      <c r="J645" s="16" t="inlineStr"/>
      <c r="K645" s="16" t="inlineStr">
        <is>
          <t>Not Run</t>
        </is>
      </c>
      <c r="L645" s="16" t="inlineStr">
        <is>
          <t>Medium</t>
        </is>
      </c>
      <c r="M645" s="16" t="inlineStr"/>
      <c r="N645" s="16" t="inlineStr"/>
      <c r="O645" s="16" t="inlineStr"/>
    </row>
    <row r="646" ht="72" customHeight="1">
      <c r="A646" s="16" t="inlineStr">
        <is>
          <t>TC-VI-0070</t>
        </is>
      </c>
      <c r="B646" s="16" t="inlineStr">
        <is>
          <t>Variable Interpolation Matrix</t>
        </is>
      </c>
      <c r="C646" s="16" t="inlineStr">
        <is>
          <t>Auth Basic password &lt;- Linked workspace override</t>
        </is>
      </c>
      <c r="D646" s="16" t="inlineStr">
        <is>
          <t>Functional</t>
        </is>
      </c>
      <c r="E646" s="16" t="inlineStr">
        <is>
          <t>Interpolate Linked workspace override in Auth Basic password</t>
        </is>
      </c>
      <c r="F646" s="16" t="inlineStr">
        <is>
          <t>Editor open; workspace has the var configured per scope.</t>
        </is>
      </c>
      <c r="G646" s="16" t="inlineStr">
        <is>
          <t>1. Define a value in Linked workspace override.
2. Reference it via {{var}} in Auth Basic password.
3. Send.</t>
        </is>
      </c>
      <c r="H646" s="16" t="inlineStr">
        <is>
          <t>Linked workspace override-&gt;Auth Basic password</t>
        </is>
      </c>
      <c r="I646" s="16" t="inlineStr">
        <is>
          <t>Variable resolves correctly into Auth Basic password; sent request reflects the resolved value; resolution precedence honored.</t>
        </is>
      </c>
      <c r="J646" s="16" t="inlineStr"/>
      <c r="K646" s="16" t="inlineStr">
        <is>
          <t>Not Run</t>
        </is>
      </c>
      <c r="L646" s="16" t="inlineStr">
        <is>
          <t>Medium</t>
        </is>
      </c>
      <c r="M646" s="16" t="inlineStr"/>
      <c r="N646" s="16" t="inlineStr"/>
      <c r="O646" s="16" t="inlineStr"/>
    </row>
    <row r="647" ht="72" customHeight="1">
      <c r="A647" s="16" t="inlineStr">
        <is>
          <t>TC-VI-0071</t>
        </is>
      </c>
      <c r="B647" s="16" t="inlineStr">
        <is>
          <t>Variable Interpolation Matrix</t>
        </is>
      </c>
      <c r="C647" s="16" t="inlineStr">
        <is>
          <t>Auth Bearer token &lt;- Workspace var</t>
        </is>
      </c>
      <c r="D647" s="16" t="inlineStr">
        <is>
          <t>Functional</t>
        </is>
      </c>
      <c r="E647" s="16" t="inlineStr">
        <is>
          <t>Interpolate Workspace var in Auth Bearer token</t>
        </is>
      </c>
      <c r="F647" s="16" t="inlineStr">
        <is>
          <t>Editor open; workspace has the var configured per scope.</t>
        </is>
      </c>
      <c r="G647" s="16" t="inlineStr">
        <is>
          <t>1. Define a value in Workspace var.
2. Reference it via {{var}} in Auth Bearer token.
3. Send.</t>
        </is>
      </c>
      <c r="H647" s="16" t="inlineStr">
        <is>
          <t>Workspace var-&gt;Auth Bearer token</t>
        </is>
      </c>
      <c r="I647" s="16" t="inlineStr">
        <is>
          <t>Variable resolves correctly into Auth Bearer token; sent request reflects the resolved value; resolution precedence honored.</t>
        </is>
      </c>
      <c r="J647" s="16" t="inlineStr"/>
      <c r="K647" s="16" t="inlineStr">
        <is>
          <t>Not Run</t>
        </is>
      </c>
      <c r="L647" s="16" t="inlineStr">
        <is>
          <t>Medium</t>
        </is>
      </c>
      <c r="M647" s="16" t="inlineStr"/>
      <c r="N647" s="16" t="inlineStr"/>
      <c r="O647" s="16" t="inlineStr"/>
    </row>
    <row r="648" ht="72" customHeight="1">
      <c r="A648" s="16" t="inlineStr">
        <is>
          <t>TC-VI-0072</t>
        </is>
      </c>
      <c r="B648" s="16" t="inlineStr">
        <is>
          <t>Variable Interpolation Matrix</t>
        </is>
      </c>
      <c r="C648" s="16" t="inlineStr">
        <is>
          <t>Auth Bearer token &lt;- Env var (active)</t>
        </is>
      </c>
      <c r="D648" s="16" t="inlineStr">
        <is>
          <t>Functional</t>
        </is>
      </c>
      <c r="E648" s="16" t="inlineStr">
        <is>
          <t>Interpolate Env var (active) in Auth Bearer token</t>
        </is>
      </c>
      <c r="F648" s="16" t="inlineStr">
        <is>
          <t>Editor open; workspace has the var configured per scope.</t>
        </is>
      </c>
      <c r="G648" s="16" t="inlineStr">
        <is>
          <t>1. Define a value in Env var (active).
2. Reference it via {{var}} in Auth Bearer token.
3. Send.</t>
        </is>
      </c>
      <c r="H648" s="16" t="inlineStr">
        <is>
          <t>Env var (active)-&gt;Auth Bearer token</t>
        </is>
      </c>
      <c r="I648" s="16" t="inlineStr">
        <is>
          <t>Variable resolves correctly into Auth Bearer token; sent request reflects the resolved value; resolution precedence honored.</t>
        </is>
      </c>
      <c r="J648" s="16" t="inlineStr"/>
      <c r="K648" s="16" t="inlineStr">
        <is>
          <t>Not Run</t>
        </is>
      </c>
      <c r="L648" s="16" t="inlineStr">
        <is>
          <t>Medium</t>
        </is>
      </c>
      <c r="M648" s="16" t="inlineStr"/>
      <c r="N648" s="16" t="inlineStr"/>
      <c r="O648" s="16" t="inlineStr"/>
    </row>
    <row r="649" ht="72" customHeight="1">
      <c r="A649" s="16" t="inlineStr">
        <is>
          <t>TC-VI-0073</t>
        </is>
      </c>
      <c r="B649" s="16" t="inlineStr">
        <is>
          <t>Variable Interpolation Matrix</t>
        </is>
      </c>
      <c r="C649" s="16" t="inlineStr">
        <is>
          <t>Auth Bearer token &lt;- Env var (linked higher priority)</t>
        </is>
      </c>
      <c r="D649" s="16" t="inlineStr">
        <is>
          <t>Functional</t>
        </is>
      </c>
      <c r="E649" s="16" t="inlineStr">
        <is>
          <t>Interpolate Env var (linked higher priority) in Auth Bearer token</t>
        </is>
      </c>
      <c r="F649" s="16" t="inlineStr">
        <is>
          <t>Editor open; workspace has the var configured per scope.</t>
        </is>
      </c>
      <c r="G649" s="16" t="inlineStr">
        <is>
          <t>1. Define a value in Env var (linked higher priority).
2. Reference it via {{var}} in Auth Bearer token.
3. Send.</t>
        </is>
      </c>
      <c r="H649" s="16" t="inlineStr">
        <is>
          <t>Env var (linked higher priority)-&gt;Auth Bearer token</t>
        </is>
      </c>
      <c r="I649" s="16" t="inlineStr">
        <is>
          <t>Variable resolves correctly into Auth Bearer token; sent request reflects the resolved value; resolution precedence honored.</t>
        </is>
      </c>
      <c r="J649" s="16" t="inlineStr"/>
      <c r="K649" s="16" t="inlineStr">
        <is>
          <t>Not Run</t>
        </is>
      </c>
      <c r="L649" s="16" t="inlineStr">
        <is>
          <t>Medium</t>
        </is>
      </c>
      <c r="M649" s="16" t="inlineStr"/>
      <c r="N649" s="16" t="inlineStr"/>
      <c r="O649" s="16" t="inlineStr"/>
    </row>
    <row r="650" ht="72" customHeight="1">
      <c r="A650" s="16" t="inlineStr">
        <is>
          <t>TC-VI-0074</t>
        </is>
      </c>
      <c r="B650" s="16" t="inlineStr">
        <is>
          <t>Variable Interpolation Matrix</t>
        </is>
      </c>
      <c r="C650" s="16" t="inlineStr">
        <is>
          <t>Auth Bearer token &lt;- Env var (linked lower priority)</t>
        </is>
      </c>
      <c r="D650" s="16" t="inlineStr">
        <is>
          <t>Functional</t>
        </is>
      </c>
      <c r="E650" s="16" t="inlineStr">
        <is>
          <t>Interpolate Env var (linked lower priority) in Auth Bearer token</t>
        </is>
      </c>
      <c r="F650" s="16" t="inlineStr">
        <is>
          <t>Editor open; workspace has the var configured per scope.</t>
        </is>
      </c>
      <c r="G650" s="16" t="inlineStr">
        <is>
          <t>1. Define a value in Env var (linked lower priority).
2. Reference it via {{var}} in Auth Bearer token.
3. Send.</t>
        </is>
      </c>
      <c r="H650" s="16" t="inlineStr">
        <is>
          <t>Env var (linked lower priority)-&gt;Auth Bearer token</t>
        </is>
      </c>
      <c r="I650" s="16" t="inlineStr">
        <is>
          <t>Variable resolves correctly into Auth Bearer token; sent request reflects the resolved value; resolution precedence honored.</t>
        </is>
      </c>
      <c r="J650" s="16" t="inlineStr"/>
      <c r="K650" s="16" t="inlineStr">
        <is>
          <t>Not Run</t>
        </is>
      </c>
      <c r="L650" s="16" t="inlineStr">
        <is>
          <t>Medium</t>
        </is>
      </c>
      <c r="M650" s="16" t="inlineStr"/>
      <c r="N650" s="16" t="inlineStr"/>
      <c r="O650" s="16" t="inlineStr"/>
    </row>
    <row r="651" ht="72" customHeight="1">
      <c r="A651" s="16" t="inlineStr">
        <is>
          <t>TC-VI-0075</t>
        </is>
      </c>
      <c r="B651" s="16" t="inlineStr">
        <is>
          <t>Variable Interpolation Matrix</t>
        </is>
      </c>
      <c r="C651" s="16" t="inlineStr">
        <is>
          <t>Auth Bearer token &lt;- Secret var (plaintext after decrypt)</t>
        </is>
      </c>
      <c r="D651" s="16" t="inlineStr">
        <is>
          <t>Functional</t>
        </is>
      </c>
      <c r="E651" s="16" t="inlineStr">
        <is>
          <t>Interpolate Secret var (plaintext after decrypt) in Auth Bearer token</t>
        </is>
      </c>
      <c r="F651" s="16" t="inlineStr">
        <is>
          <t>Editor open; workspace has the var configured per scope.</t>
        </is>
      </c>
      <c r="G651" s="16" t="inlineStr">
        <is>
          <t>1. Define a value in Secret var (plaintext after decrypt).
2. Reference it via {{var}} in Auth Bearer token.
3. Send.</t>
        </is>
      </c>
      <c r="H651" s="16" t="inlineStr">
        <is>
          <t>Secret var (plaintext after decrypt)-&gt;Auth Bearer token</t>
        </is>
      </c>
      <c r="I651" s="16" t="inlineStr">
        <is>
          <t>Variable resolves correctly into Auth Bearer token; sent request reflects the resolved value; resolution precedence honored.</t>
        </is>
      </c>
      <c r="J651" s="16" t="inlineStr"/>
      <c r="K651" s="16" t="inlineStr">
        <is>
          <t>Not Run</t>
        </is>
      </c>
      <c r="L651" s="16" t="inlineStr">
        <is>
          <t>Medium</t>
        </is>
      </c>
      <c r="M651" s="16" t="inlineStr"/>
      <c r="N651" s="16" t="inlineStr"/>
      <c r="O651" s="16" t="inlineStr"/>
    </row>
    <row r="652" ht="72" customHeight="1">
      <c r="A652" s="16" t="inlineStr">
        <is>
          <t>TC-VI-0076</t>
        </is>
      </c>
      <c r="B652" s="16" t="inlineStr">
        <is>
          <t>Variable Interpolation Matrix</t>
        </is>
      </c>
      <c r="C652" s="16" t="inlineStr">
        <is>
          <t>Auth Bearer token &lt;- Request context var (pm.variables.set)</t>
        </is>
      </c>
      <c r="D652" s="16" t="inlineStr">
        <is>
          <t>Functional</t>
        </is>
      </c>
      <c r="E652" s="16" t="inlineStr">
        <is>
          <t>Interpolate Request context var (pm.variables.set) in Auth Bearer token</t>
        </is>
      </c>
      <c r="F652" s="16" t="inlineStr">
        <is>
          <t>Editor open; workspace has the var configured per scope.</t>
        </is>
      </c>
      <c r="G652" s="16" t="inlineStr">
        <is>
          <t>1. Define a value in Request context var (pm.variables.set).
2. Reference it via {{var}} in Auth Bearer token.
3. Send.</t>
        </is>
      </c>
      <c r="H652" s="16" t="inlineStr">
        <is>
          <t>Request context var (pm.variables.set)-&gt;Auth Bearer token</t>
        </is>
      </c>
      <c r="I652" s="16" t="inlineStr">
        <is>
          <t>Variable resolves correctly into Auth Bearer token; sent request reflects the resolved value; resolution precedence honored.</t>
        </is>
      </c>
      <c r="J652" s="16" t="inlineStr"/>
      <c r="K652" s="16" t="inlineStr">
        <is>
          <t>Not Run</t>
        </is>
      </c>
      <c r="L652" s="16" t="inlineStr">
        <is>
          <t>Medium</t>
        </is>
      </c>
      <c r="M652" s="16" t="inlineStr"/>
      <c r="N652" s="16" t="inlineStr"/>
      <c r="O652" s="16" t="inlineStr"/>
    </row>
    <row r="653" ht="72" customHeight="1">
      <c r="A653" s="16" t="inlineStr">
        <is>
          <t>TC-VI-0077</t>
        </is>
      </c>
      <c r="B653" s="16" t="inlineStr">
        <is>
          <t>Variable Interpolation Matrix</t>
        </is>
      </c>
      <c r="C653" s="16" t="inlineStr">
        <is>
          <t>Auth Bearer token &lt;- Linked workspace override</t>
        </is>
      </c>
      <c r="D653" s="16" t="inlineStr">
        <is>
          <t>Functional</t>
        </is>
      </c>
      <c r="E653" s="16" t="inlineStr">
        <is>
          <t>Interpolate Linked workspace override in Auth Bearer token</t>
        </is>
      </c>
      <c r="F653" s="16" t="inlineStr">
        <is>
          <t>Editor open; workspace has the var configured per scope.</t>
        </is>
      </c>
      <c r="G653" s="16" t="inlineStr">
        <is>
          <t>1. Define a value in Linked workspace override.
2. Reference it via {{var}} in Auth Bearer token.
3. Send.</t>
        </is>
      </c>
      <c r="H653" s="16" t="inlineStr">
        <is>
          <t>Linked workspace override-&gt;Auth Bearer token</t>
        </is>
      </c>
      <c r="I653" s="16" t="inlineStr">
        <is>
          <t>Variable resolves correctly into Auth Bearer token; sent request reflects the resolved value; resolution precedence honored.</t>
        </is>
      </c>
      <c r="J653" s="16" t="inlineStr"/>
      <c r="K653" s="16" t="inlineStr">
        <is>
          <t>Not Run</t>
        </is>
      </c>
      <c r="L653" s="16" t="inlineStr">
        <is>
          <t>Medium</t>
        </is>
      </c>
      <c r="M653" s="16" t="inlineStr"/>
      <c r="N653" s="16" t="inlineStr"/>
      <c r="O653" s="16" t="inlineStr"/>
    </row>
    <row r="654" ht="72" customHeight="1">
      <c r="A654" s="16" t="inlineStr">
        <is>
          <t>TC-VI-0078</t>
        </is>
      </c>
      <c r="B654" s="16" t="inlineStr">
        <is>
          <t>Variable Interpolation Matrix</t>
        </is>
      </c>
      <c r="C654" s="16" t="inlineStr">
        <is>
          <t>Auth API Key value &lt;- Workspace var</t>
        </is>
      </c>
      <c r="D654" s="16" t="inlineStr">
        <is>
          <t>Functional</t>
        </is>
      </c>
      <c r="E654" s="16" t="inlineStr">
        <is>
          <t>Interpolate Workspace var in Auth API Key value</t>
        </is>
      </c>
      <c r="F654" s="16" t="inlineStr">
        <is>
          <t>Editor open; workspace has the var configured per scope.</t>
        </is>
      </c>
      <c r="G654" s="16" t="inlineStr">
        <is>
          <t>1. Define a value in Workspace var.
2. Reference it via {{var}} in Auth API Key value.
3. Send.</t>
        </is>
      </c>
      <c r="H654" s="16" t="inlineStr">
        <is>
          <t>Workspace var-&gt;Auth API Key value</t>
        </is>
      </c>
      <c r="I654" s="16" t="inlineStr">
        <is>
          <t>Variable resolves correctly into Auth API Key value; sent request reflects the resolved value; resolution precedence honored.</t>
        </is>
      </c>
      <c r="J654" s="16" t="inlineStr"/>
      <c r="K654" s="16" t="inlineStr">
        <is>
          <t>Not Run</t>
        </is>
      </c>
      <c r="L654" s="16" t="inlineStr">
        <is>
          <t>Medium</t>
        </is>
      </c>
      <c r="M654" s="16" t="inlineStr"/>
      <c r="N654" s="16" t="inlineStr"/>
      <c r="O654" s="16" t="inlineStr"/>
    </row>
    <row r="655" ht="72" customHeight="1">
      <c r="A655" s="16" t="inlineStr">
        <is>
          <t>TC-VI-0079</t>
        </is>
      </c>
      <c r="B655" s="16" t="inlineStr">
        <is>
          <t>Variable Interpolation Matrix</t>
        </is>
      </c>
      <c r="C655" s="16" t="inlineStr">
        <is>
          <t>Auth API Key value &lt;- Env var (active)</t>
        </is>
      </c>
      <c r="D655" s="16" t="inlineStr">
        <is>
          <t>Functional</t>
        </is>
      </c>
      <c r="E655" s="16" t="inlineStr">
        <is>
          <t>Interpolate Env var (active) in Auth API Key value</t>
        </is>
      </c>
      <c r="F655" s="16" t="inlineStr">
        <is>
          <t>Editor open; workspace has the var configured per scope.</t>
        </is>
      </c>
      <c r="G655" s="16" t="inlineStr">
        <is>
          <t>1. Define a value in Env var (active).
2. Reference it via {{var}} in Auth API Key value.
3. Send.</t>
        </is>
      </c>
      <c r="H655" s="16" t="inlineStr">
        <is>
          <t>Env var (active)-&gt;Auth API Key value</t>
        </is>
      </c>
      <c r="I655" s="16" t="inlineStr">
        <is>
          <t>Variable resolves correctly into Auth API Key value; sent request reflects the resolved value; resolution precedence honored.</t>
        </is>
      </c>
      <c r="J655" s="16" t="inlineStr"/>
      <c r="K655" s="16" t="inlineStr">
        <is>
          <t>Not Run</t>
        </is>
      </c>
      <c r="L655" s="16" t="inlineStr">
        <is>
          <t>Medium</t>
        </is>
      </c>
      <c r="M655" s="16" t="inlineStr"/>
      <c r="N655" s="16" t="inlineStr"/>
      <c r="O655" s="16" t="inlineStr"/>
    </row>
    <row r="656" ht="72" customHeight="1">
      <c r="A656" s="16" t="inlineStr">
        <is>
          <t>TC-VI-0080</t>
        </is>
      </c>
      <c r="B656" s="16" t="inlineStr">
        <is>
          <t>Variable Interpolation Matrix</t>
        </is>
      </c>
      <c r="C656" s="16" t="inlineStr">
        <is>
          <t>Auth API Key value &lt;- Env var (linked higher priority)</t>
        </is>
      </c>
      <c r="D656" s="16" t="inlineStr">
        <is>
          <t>Functional</t>
        </is>
      </c>
      <c r="E656" s="16" t="inlineStr">
        <is>
          <t>Interpolate Env var (linked higher priority) in Auth API Key value</t>
        </is>
      </c>
      <c r="F656" s="16" t="inlineStr">
        <is>
          <t>Editor open; workspace has the var configured per scope.</t>
        </is>
      </c>
      <c r="G656" s="16" t="inlineStr">
        <is>
          <t>1. Define a value in Env var (linked higher priority).
2. Reference it via {{var}} in Auth API Key value.
3. Send.</t>
        </is>
      </c>
      <c r="H656" s="16" t="inlineStr">
        <is>
          <t>Env var (linked higher priority)-&gt;Auth API Key value</t>
        </is>
      </c>
      <c r="I656" s="16" t="inlineStr">
        <is>
          <t>Variable resolves correctly into Auth API Key value; sent request reflects the resolved value; resolution precedence honored.</t>
        </is>
      </c>
      <c r="J656" s="16" t="inlineStr"/>
      <c r="K656" s="16" t="inlineStr">
        <is>
          <t>Not Run</t>
        </is>
      </c>
      <c r="L656" s="16" t="inlineStr">
        <is>
          <t>Medium</t>
        </is>
      </c>
      <c r="M656" s="16" t="inlineStr"/>
      <c r="N656" s="16" t="inlineStr"/>
      <c r="O656" s="16" t="inlineStr"/>
    </row>
    <row r="657" ht="72" customHeight="1">
      <c r="A657" s="16" t="inlineStr">
        <is>
          <t>TC-VI-0081</t>
        </is>
      </c>
      <c r="B657" s="16" t="inlineStr">
        <is>
          <t>Variable Interpolation Matrix</t>
        </is>
      </c>
      <c r="C657" s="16" t="inlineStr">
        <is>
          <t>Auth API Key value &lt;- Env var (linked lower priority)</t>
        </is>
      </c>
      <c r="D657" s="16" t="inlineStr">
        <is>
          <t>Functional</t>
        </is>
      </c>
      <c r="E657" s="16" t="inlineStr">
        <is>
          <t>Interpolate Env var (linked lower priority) in Auth API Key value</t>
        </is>
      </c>
      <c r="F657" s="16" t="inlineStr">
        <is>
          <t>Editor open; workspace has the var configured per scope.</t>
        </is>
      </c>
      <c r="G657" s="16" t="inlineStr">
        <is>
          <t>1. Define a value in Env var (linked lower priority).
2. Reference it via {{var}} in Auth API Key value.
3. Send.</t>
        </is>
      </c>
      <c r="H657" s="16" t="inlineStr">
        <is>
          <t>Env var (linked lower priority)-&gt;Auth API Key value</t>
        </is>
      </c>
      <c r="I657" s="16" t="inlineStr">
        <is>
          <t>Variable resolves correctly into Auth API Key value; sent request reflects the resolved value; resolution precedence honored.</t>
        </is>
      </c>
      <c r="J657" s="16" t="inlineStr"/>
      <c r="K657" s="16" t="inlineStr">
        <is>
          <t>Not Run</t>
        </is>
      </c>
      <c r="L657" s="16" t="inlineStr">
        <is>
          <t>Medium</t>
        </is>
      </c>
      <c r="M657" s="16" t="inlineStr"/>
      <c r="N657" s="16" t="inlineStr"/>
      <c r="O657" s="16" t="inlineStr"/>
    </row>
    <row r="658" ht="72" customHeight="1">
      <c r="A658" s="16" t="inlineStr">
        <is>
          <t>TC-VI-0082</t>
        </is>
      </c>
      <c r="B658" s="16" t="inlineStr">
        <is>
          <t>Variable Interpolation Matrix</t>
        </is>
      </c>
      <c r="C658" s="16" t="inlineStr">
        <is>
          <t>Auth API Key value &lt;- Secret var (plaintext after decrypt)</t>
        </is>
      </c>
      <c r="D658" s="16" t="inlineStr">
        <is>
          <t>Functional</t>
        </is>
      </c>
      <c r="E658" s="16" t="inlineStr">
        <is>
          <t>Interpolate Secret var (plaintext after decrypt) in Auth API Key value</t>
        </is>
      </c>
      <c r="F658" s="16" t="inlineStr">
        <is>
          <t>Editor open; workspace has the var configured per scope.</t>
        </is>
      </c>
      <c r="G658" s="16" t="inlineStr">
        <is>
          <t>1. Define a value in Secret var (plaintext after decrypt).
2. Reference it via {{var}} in Auth API Key value.
3. Send.</t>
        </is>
      </c>
      <c r="H658" s="16" t="inlineStr">
        <is>
          <t>Secret var (plaintext after decrypt)-&gt;Auth API Key value</t>
        </is>
      </c>
      <c r="I658" s="16" t="inlineStr">
        <is>
          <t>Variable resolves correctly into Auth API Key value; sent request reflects the resolved value; resolution precedence honored.</t>
        </is>
      </c>
      <c r="J658" s="16" t="inlineStr"/>
      <c r="K658" s="16" t="inlineStr">
        <is>
          <t>Not Run</t>
        </is>
      </c>
      <c r="L658" s="16" t="inlineStr">
        <is>
          <t>Medium</t>
        </is>
      </c>
      <c r="M658" s="16" t="inlineStr"/>
      <c r="N658" s="16" t="inlineStr"/>
      <c r="O658" s="16" t="inlineStr"/>
    </row>
    <row r="659" ht="72" customHeight="1">
      <c r="A659" s="16" t="inlineStr">
        <is>
          <t>TC-VI-0083</t>
        </is>
      </c>
      <c r="B659" s="16" t="inlineStr">
        <is>
          <t>Variable Interpolation Matrix</t>
        </is>
      </c>
      <c r="C659" s="16" t="inlineStr">
        <is>
          <t>Auth API Key value &lt;- Request context var (pm.variables.set)</t>
        </is>
      </c>
      <c r="D659" s="16" t="inlineStr">
        <is>
          <t>Functional</t>
        </is>
      </c>
      <c r="E659" s="16" t="inlineStr">
        <is>
          <t>Interpolate Request context var (pm.variables.set) in Auth API Key value</t>
        </is>
      </c>
      <c r="F659" s="16" t="inlineStr">
        <is>
          <t>Editor open; workspace has the var configured per scope.</t>
        </is>
      </c>
      <c r="G659" s="16" t="inlineStr">
        <is>
          <t>1. Define a value in Request context var (pm.variables.set).
2. Reference it via {{var}} in Auth API Key value.
3. Send.</t>
        </is>
      </c>
      <c r="H659" s="16" t="inlineStr">
        <is>
          <t>Request context var (pm.variables.set)-&gt;Auth API Key value</t>
        </is>
      </c>
      <c r="I659" s="16" t="inlineStr">
        <is>
          <t>Variable resolves correctly into Auth API Key value; sent request reflects the resolved value; resolution precedence honored.</t>
        </is>
      </c>
      <c r="J659" s="16" t="inlineStr"/>
      <c r="K659" s="16" t="inlineStr">
        <is>
          <t>Not Run</t>
        </is>
      </c>
      <c r="L659" s="16" t="inlineStr">
        <is>
          <t>Medium</t>
        </is>
      </c>
      <c r="M659" s="16" t="inlineStr"/>
      <c r="N659" s="16" t="inlineStr"/>
      <c r="O659" s="16" t="inlineStr"/>
    </row>
    <row r="660" ht="72" customHeight="1">
      <c r="A660" s="16" t="inlineStr">
        <is>
          <t>TC-VI-0084</t>
        </is>
      </c>
      <c r="B660" s="16" t="inlineStr">
        <is>
          <t>Variable Interpolation Matrix</t>
        </is>
      </c>
      <c r="C660" s="16" t="inlineStr">
        <is>
          <t>Auth API Key value &lt;- Linked workspace override</t>
        </is>
      </c>
      <c r="D660" s="16" t="inlineStr">
        <is>
          <t>Functional</t>
        </is>
      </c>
      <c r="E660" s="16" t="inlineStr">
        <is>
          <t>Interpolate Linked workspace override in Auth API Key value</t>
        </is>
      </c>
      <c r="F660" s="16" t="inlineStr">
        <is>
          <t>Editor open; workspace has the var configured per scope.</t>
        </is>
      </c>
      <c r="G660" s="16" t="inlineStr">
        <is>
          <t>1. Define a value in Linked workspace override.
2. Reference it via {{var}} in Auth API Key value.
3. Send.</t>
        </is>
      </c>
      <c r="H660" s="16" t="inlineStr">
        <is>
          <t>Linked workspace override-&gt;Auth API Key value</t>
        </is>
      </c>
      <c r="I660" s="16" t="inlineStr">
        <is>
          <t>Variable resolves correctly into Auth API Key value; sent request reflects the resolved value; resolution precedence honored.</t>
        </is>
      </c>
      <c r="J660" s="16" t="inlineStr"/>
      <c r="K660" s="16" t="inlineStr">
        <is>
          <t>Not Run</t>
        </is>
      </c>
      <c r="L660" s="16" t="inlineStr">
        <is>
          <t>Medium</t>
        </is>
      </c>
      <c r="M660" s="16" t="inlineStr"/>
      <c r="N660" s="16" t="inlineStr"/>
      <c r="O660" s="16" t="inlineStr"/>
    </row>
    <row r="661" ht="72" customHeight="1">
      <c r="A661" s="16" t="inlineStr">
        <is>
          <t>TC-VI-0085</t>
        </is>
      </c>
      <c r="B661" s="16" t="inlineStr">
        <is>
          <t>Variable Interpolation Matrix</t>
        </is>
      </c>
      <c r="C661" s="16" t="inlineStr">
        <is>
          <t>Pre-request script body &lt;- Workspace var</t>
        </is>
      </c>
      <c r="D661" s="16" t="inlineStr">
        <is>
          <t>Functional</t>
        </is>
      </c>
      <c r="E661" s="16" t="inlineStr">
        <is>
          <t>Interpolate Workspace var in Pre-request script body</t>
        </is>
      </c>
      <c r="F661" s="16" t="inlineStr">
        <is>
          <t>Editor open; workspace has the var configured per scope.</t>
        </is>
      </c>
      <c r="G661" s="16" t="inlineStr">
        <is>
          <t>1. Define a value in Workspace var.
2. Reference it via {{var}} in Pre-request script body.
3. Send.</t>
        </is>
      </c>
      <c r="H661" s="16" t="inlineStr">
        <is>
          <t>Workspace var-&gt;Pre-request script body</t>
        </is>
      </c>
      <c r="I661" s="16" t="inlineStr">
        <is>
          <t>Variable resolves correctly into Pre-request script body; sent request reflects the resolved value; resolution precedence honored.</t>
        </is>
      </c>
      <c r="J661" s="16" t="inlineStr"/>
      <c r="K661" s="16" t="inlineStr">
        <is>
          <t>Not Run</t>
        </is>
      </c>
      <c r="L661" s="16" t="inlineStr">
        <is>
          <t>Medium</t>
        </is>
      </c>
      <c r="M661" s="16" t="inlineStr"/>
      <c r="N661" s="16" t="inlineStr"/>
      <c r="O661" s="16" t="inlineStr"/>
    </row>
    <row r="662" ht="72" customHeight="1">
      <c r="A662" s="16" t="inlineStr">
        <is>
          <t>TC-VI-0086</t>
        </is>
      </c>
      <c r="B662" s="16" t="inlineStr">
        <is>
          <t>Variable Interpolation Matrix</t>
        </is>
      </c>
      <c r="C662" s="16" t="inlineStr">
        <is>
          <t>Pre-request script body &lt;- Env var (active)</t>
        </is>
      </c>
      <c r="D662" s="16" t="inlineStr">
        <is>
          <t>Functional</t>
        </is>
      </c>
      <c r="E662" s="16" t="inlineStr">
        <is>
          <t>Interpolate Env var (active) in Pre-request script body</t>
        </is>
      </c>
      <c r="F662" s="16" t="inlineStr">
        <is>
          <t>Editor open; workspace has the var configured per scope.</t>
        </is>
      </c>
      <c r="G662" s="16" t="inlineStr">
        <is>
          <t>1. Define a value in Env var (active).
2. Reference it via {{var}} in Pre-request script body.
3. Send.</t>
        </is>
      </c>
      <c r="H662" s="16" t="inlineStr">
        <is>
          <t>Env var (active)-&gt;Pre-request script body</t>
        </is>
      </c>
      <c r="I662" s="16" t="inlineStr">
        <is>
          <t>Variable resolves correctly into Pre-request script body; sent request reflects the resolved value; resolution precedence honored.</t>
        </is>
      </c>
      <c r="J662" s="16" t="inlineStr"/>
      <c r="K662" s="16" t="inlineStr">
        <is>
          <t>Not Run</t>
        </is>
      </c>
      <c r="L662" s="16" t="inlineStr">
        <is>
          <t>Medium</t>
        </is>
      </c>
      <c r="M662" s="16" t="inlineStr"/>
      <c r="N662" s="16" t="inlineStr"/>
      <c r="O662" s="16" t="inlineStr"/>
    </row>
    <row r="663" ht="72" customHeight="1">
      <c r="A663" s="16" t="inlineStr">
        <is>
          <t>TC-VI-0087</t>
        </is>
      </c>
      <c r="B663" s="16" t="inlineStr">
        <is>
          <t>Variable Interpolation Matrix</t>
        </is>
      </c>
      <c r="C663" s="16" t="inlineStr">
        <is>
          <t>Pre-request script body &lt;- Env var (linked higher priority)</t>
        </is>
      </c>
      <c r="D663" s="16" t="inlineStr">
        <is>
          <t>Functional</t>
        </is>
      </c>
      <c r="E663" s="16" t="inlineStr">
        <is>
          <t>Interpolate Env var (linked higher priority) in Pre-request script body</t>
        </is>
      </c>
      <c r="F663" s="16" t="inlineStr">
        <is>
          <t>Editor open; workspace has the var configured per scope.</t>
        </is>
      </c>
      <c r="G663" s="16" t="inlineStr">
        <is>
          <t>1. Define a value in Env var (linked higher priority).
2. Reference it via {{var}} in Pre-request script body.
3. Send.</t>
        </is>
      </c>
      <c r="H663" s="16" t="inlineStr">
        <is>
          <t>Env var (linked higher priority)-&gt;Pre-request script body</t>
        </is>
      </c>
      <c r="I663" s="16" t="inlineStr">
        <is>
          <t>Variable resolves correctly into Pre-request script body; sent request reflects the resolved value; resolution precedence honored.</t>
        </is>
      </c>
      <c r="J663" s="16" t="inlineStr"/>
      <c r="K663" s="16" t="inlineStr">
        <is>
          <t>Not Run</t>
        </is>
      </c>
      <c r="L663" s="16" t="inlineStr">
        <is>
          <t>Medium</t>
        </is>
      </c>
      <c r="M663" s="16" t="inlineStr"/>
      <c r="N663" s="16" t="inlineStr"/>
      <c r="O663" s="16" t="inlineStr"/>
    </row>
    <row r="664" ht="72" customHeight="1">
      <c r="A664" s="16" t="inlineStr">
        <is>
          <t>TC-VI-0088</t>
        </is>
      </c>
      <c r="B664" s="16" t="inlineStr">
        <is>
          <t>Variable Interpolation Matrix</t>
        </is>
      </c>
      <c r="C664" s="16" t="inlineStr">
        <is>
          <t>Pre-request script body &lt;- Env var (linked lower priority)</t>
        </is>
      </c>
      <c r="D664" s="16" t="inlineStr">
        <is>
          <t>Functional</t>
        </is>
      </c>
      <c r="E664" s="16" t="inlineStr">
        <is>
          <t>Interpolate Env var (linked lower priority) in Pre-request script body</t>
        </is>
      </c>
      <c r="F664" s="16" t="inlineStr">
        <is>
          <t>Editor open; workspace has the var configured per scope.</t>
        </is>
      </c>
      <c r="G664" s="16" t="inlineStr">
        <is>
          <t>1. Define a value in Env var (linked lower priority).
2. Reference it via {{var}} in Pre-request script body.
3. Send.</t>
        </is>
      </c>
      <c r="H664" s="16" t="inlineStr">
        <is>
          <t>Env var (linked lower priority)-&gt;Pre-request script body</t>
        </is>
      </c>
      <c r="I664" s="16" t="inlineStr">
        <is>
          <t>Variable resolves correctly into Pre-request script body; sent request reflects the resolved value; resolution precedence honored.</t>
        </is>
      </c>
      <c r="J664" s="16" t="inlineStr"/>
      <c r="K664" s="16" t="inlineStr">
        <is>
          <t>Not Run</t>
        </is>
      </c>
      <c r="L664" s="16" t="inlineStr">
        <is>
          <t>Medium</t>
        </is>
      </c>
      <c r="M664" s="16" t="inlineStr"/>
      <c r="N664" s="16" t="inlineStr"/>
      <c r="O664" s="16" t="inlineStr"/>
    </row>
    <row r="665" ht="72" customHeight="1">
      <c r="A665" s="16" t="inlineStr">
        <is>
          <t>TC-VI-0089</t>
        </is>
      </c>
      <c r="B665" s="16" t="inlineStr">
        <is>
          <t>Variable Interpolation Matrix</t>
        </is>
      </c>
      <c r="C665" s="16" t="inlineStr">
        <is>
          <t>Pre-request script body &lt;- Secret var (plaintext after decrypt)</t>
        </is>
      </c>
      <c r="D665" s="16" t="inlineStr">
        <is>
          <t>Functional</t>
        </is>
      </c>
      <c r="E665" s="16" t="inlineStr">
        <is>
          <t>Interpolate Secret var (plaintext after decrypt) in Pre-request script body</t>
        </is>
      </c>
      <c r="F665" s="16" t="inlineStr">
        <is>
          <t>Editor open; workspace has the var configured per scope.</t>
        </is>
      </c>
      <c r="G665" s="16" t="inlineStr">
        <is>
          <t>1. Define a value in Secret var (plaintext after decrypt).
2. Reference it via {{var}} in Pre-request script body.
3. Send.</t>
        </is>
      </c>
      <c r="H665" s="16" t="inlineStr">
        <is>
          <t>Secret var (plaintext after decrypt)-&gt;Pre-request script body</t>
        </is>
      </c>
      <c r="I665" s="16" t="inlineStr">
        <is>
          <t>Variable resolves correctly into Pre-request script body; sent request reflects the resolved value; resolution precedence honored.</t>
        </is>
      </c>
      <c r="J665" s="16" t="inlineStr"/>
      <c r="K665" s="16" t="inlineStr">
        <is>
          <t>Not Run</t>
        </is>
      </c>
      <c r="L665" s="16" t="inlineStr">
        <is>
          <t>Medium</t>
        </is>
      </c>
      <c r="M665" s="16" t="inlineStr"/>
      <c r="N665" s="16" t="inlineStr"/>
      <c r="O665" s="16" t="inlineStr"/>
    </row>
    <row r="666" ht="72" customHeight="1">
      <c r="A666" s="16" t="inlineStr">
        <is>
          <t>TC-VI-0090</t>
        </is>
      </c>
      <c r="B666" s="16" t="inlineStr">
        <is>
          <t>Variable Interpolation Matrix</t>
        </is>
      </c>
      <c r="C666" s="16" t="inlineStr">
        <is>
          <t>Pre-request script body &lt;- Request context var (pm.variables.set)</t>
        </is>
      </c>
      <c r="D666" s="16" t="inlineStr">
        <is>
          <t>Functional</t>
        </is>
      </c>
      <c r="E666" s="16" t="inlineStr">
        <is>
          <t>Interpolate Request context var (pm.variables.set) in Pre-request script body</t>
        </is>
      </c>
      <c r="F666" s="16" t="inlineStr">
        <is>
          <t>Editor open; workspace has the var configured per scope.</t>
        </is>
      </c>
      <c r="G666" s="16" t="inlineStr">
        <is>
          <t>1. Define a value in Request context var (pm.variables.set).
2. Reference it via {{var}} in Pre-request script body.
3. Send.</t>
        </is>
      </c>
      <c r="H666" s="16" t="inlineStr">
        <is>
          <t>Request context var (pm.variables.set)-&gt;Pre-request script body</t>
        </is>
      </c>
      <c r="I666" s="16" t="inlineStr">
        <is>
          <t>Variable resolves correctly into Pre-request script body; sent request reflects the resolved value; resolution precedence honored.</t>
        </is>
      </c>
      <c r="J666" s="16" t="inlineStr"/>
      <c r="K666" s="16" t="inlineStr">
        <is>
          <t>Not Run</t>
        </is>
      </c>
      <c r="L666" s="16" t="inlineStr">
        <is>
          <t>Medium</t>
        </is>
      </c>
      <c r="M666" s="16" t="inlineStr"/>
      <c r="N666" s="16" t="inlineStr"/>
      <c r="O666" s="16" t="inlineStr"/>
    </row>
    <row r="667" ht="72" customHeight="1">
      <c r="A667" s="16" t="inlineStr">
        <is>
          <t>TC-VI-0091</t>
        </is>
      </c>
      <c r="B667" s="16" t="inlineStr">
        <is>
          <t>Variable Interpolation Matrix</t>
        </is>
      </c>
      <c r="C667" s="16" t="inlineStr">
        <is>
          <t>Pre-request script body &lt;- Linked workspace override</t>
        </is>
      </c>
      <c r="D667" s="16" t="inlineStr">
        <is>
          <t>Functional</t>
        </is>
      </c>
      <c r="E667" s="16" t="inlineStr">
        <is>
          <t>Interpolate Linked workspace override in Pre-request script body</t>
        </is>
      </c>
      <c r="F667" s="16" t="inlineStr">
        <is>
          <t>Editor open; workspace has the var configured per scope.</t>
        </is>
      </c>
      <c r="G667" s="16" t="inlineStr">
        <is>
          <t>1. Define a value in Linked workspace override.
2. Reference it via {{var}} in Pre-request script body.
3. Send.</t>
        </is>
      </c>
      <c r="H667" s="16" t="inlineStr">
        <is>
          <t>Linked workspace override-&gt;Pre-request script body</t>
        </is>
      </c>
      <c r="I667" s="16" t="inlineStr">
        <is>
          <t>Variable resolves correctly into Pre-request script body; sent request reflects the resolved value; resolution precedence honored.</t>
        </is>
      </c>
      <c r="J667" s="16" t="inlineStr"/>
      <c r="K667" s="16" t="inlineStr">
        <is>
          <t>Not Run</t>
        </is>
      </c>
      <c r="L667" s="16" t="inlineStr">
        <is>
          <t>Medium</t>
        </is>
      </c>
      <c r="M667" s="16" t="inlineStr"/>
      <c r="N667" s="16" t="inlineStr"/>
      <c r="O667" s="16" t="inlineStr"/>
    </row>
    <row r="668" ht="72" customHeight="1">
      <c r="A668" s="16" t="inlineStr">
        <is>
          <t>TC-VI-0092</t>
        </is>
      </c>
      <c r="B668" s="16" t="inlineStr">
        <is>
          <t>Variable Interpolation Matrix</t>
        </is>
      </c>
      <c r="C668" s="16" t="inlineStr">
        <is>
          <t>Test assertion expected &lt;- Workspace var</t>
        </is>
      </c>
      <c r="D668" s="16" t="inlineStr">
        <is>
          <t>Functional</t>
        </is>
      </c>
      <c r="E668" s="16" t="inlineStr">
        <is>
          <t>Interpolate Workspace var in Test assertion expected</t>
        </is>
      </c>
      <c r="F668" s="16" t="inlineStr">
        <is>
          <t>Editor open; workspace has the var configured per scope.</t>
        </is>
      </c>
      <c r="G668" s="16" t="inlineStr">
        <is>
          <t>1. Define a value in Workspace var.
2. Reference it via {{var}} in Test assertion expected.
3. Send.</t>
        </is>
      </c>
      <c r="H668" s="16" t="inlineStr">
        <is>
          <t>Workspace var-&gt;Test assertion expected</t>
        </is>
      </c>
      <c r="I668" s="16" t="inlineStr">
        <is>
          <t>Variable resolves correctly into Test assertion expected; sent request reflects the resolved value; resolution precedence honored.</t>
        </is>
      </c>
      <c r="J668" s="16" t="inlineStr"/>
      <c r="K668" s="16" t="inlineStr">
        <is>
          <t>Not Run</t>
        </is>
      </c>
      <c r="L668" s="16" t="inlineStr">
        <is>
          <t>Medium</t>
        </is>
      </c>
      <c r="M668" s="16" t="inlineStr"/>
      <c r="N668" s="16" t="inlineStr"/>
      <c r="O668" s="16" t="inlineStr"/>
    </row>
    <row r="669" ht="72" customHeight="1">
      <c r="A669" s="16" t="inlineStr">
        <is>
          <t>TC-VI-0093</t>
        </is>
      </c>
      <c r="B669" s="16" t="inlineStr">
        <is>
          <t>Variable Interpolation Matrix</t>
        </is>
      </c>
      <c r="C669" s="16" t="inlineStr">
        <is>
          <t>Test assertion expected &lt;- Env var (active)</t>
        </is>
      </c>
      <c r="D669" s="16" t="inlineStr">
        <is>
          <t>Functional</t>
        </is>
      </c>
      <c r="E669" s="16" t="inlineStr">
        <is>
          <t>Interpolate Env var (active) in Test assertion expected</t>
        </is>
      </c>
      <c r="F669" s="16" t="inlineStr">
        <is>
          <t>Editor open; workspace has the var configured per scope.</t>
        </is>
      </c>
      <c r="G669" s="16" t="inlineStr">
        <is>
          <t>1. Define a value in Env var (active).
2. Reference it via {{var}} in Test assertion expected.
3. Send.</t>
        </is>
      </c>
      <c r="H669" s="16" t="inlineStr">
        <is>
          <t>Env var (active)-&gt;Test assertion expected</t>
        </is>
      </c>
      <c r="I669" s="16" t="inlineStr">
        <is>
          <t>Variable resolves correctly into Test assertion expected; sent request reflects the resolved value; resolution precedence honored.</t>
        </is>
      </c>
      <c r="J669" s="16" t="inlineStr"/>
      <c r="K669" s="16" t="inlineStr">
        <is>
          <t>Not Run</t>
        </is>
      </c>
      <c r="L669" s="16" t="inlineStr">
        <is>
          <t>Medium</t>
        </is>
      </c>
      <c r="M669" s="16" t="inlineStr"/>
      <c r="N669" s="16" t="inlineStr"/>
      <c r="O669" s="16" t="inlineStr"/>
    </row>
    <row r="670" ht="72" customHeight="1">
      <c r="A670" s="16" t="inlineStr">
        <is>
          <t>TC-VI-0094</t>
        </is>
      </c>
      <c r="B670" s="16" t="inlineStr">
        <is>
          <t>Variable Interpolation Matrix</t>
        </is>
      </c>
      <c r="C670" s="16" t="inlineStr">
        <is>
          <t>Test assertion expected &lt;- Env var (linked higher priority)</t>
        </is>
      </c>
      <c r="D670" s="16" t="inlineStr">
        <is>
          <t>Functional</t>
        </is>
      </c>
      <c r="E670" s="16" t="inlineStr">
        <is>
          <t>Interpolate Env var (linked higher priority) in Test assertion expected</t>
        </is>
      </c>
      <c r="F670" s="16" t="inlineStr">
        <is>
          <t>Editor open; workspace has the var configured per scope.</t>
        </is>
      </c>
      <c r="G670" s="16" t="inlineStr">
        <is>
          <t>1. Define a value in Env var (linked higher priority).
2. Reference it via {{var}} in Test assertion expected.
3. Send.</t>
        </is>
      </c>
      <c r="H670" s="16" t="inlineStr">
        <is>
          <t>Env var (linked higher priority)-&gt;Test assertion expected</t>
        </is>
      </c>
      <c r="I670" s="16" t="inlineStr">
        <is>
          <t>Variable resolves correctly into Test assertion expected; sent request reflects the resolved value; resolution precedence honored.</t>
        </is>
      </c>
      <c r="J670" s="16" t="inlineStr"/>
      <c r="K670" s="16" t="inlineStr">
        <is>
          <t>Not Run</t>
        </is>
      </c>
      <c r="L670" s="16" t="inlineStr">
        <is>
          <t>Medium</t>
        </is>
      </c>
      <c r="M670" s="16" t="inlineStr"/>
      <c r="N670" s="16" t="inlineStr"/>
      <c r="O670" s="16" t="inlineStr"/>
    </row>
    <row r="671" ht="72" customHeight="1">
      <c r="A671" s="16" t="inlineStr">
        <is>
          <t>TC-VI-0095</t>
        </is>
      </c>
      <c r="B671" s="16" t="inlineStr">
        <is>
          <t>Variable Interpolation Matrix</t>
        </is>
      </c>
      <c r="C671" s="16" t="inlineStr">
        <is>
          <t>Test assertion expected &lt;- Env var (linked lower priority)</t>
        </is>
      </c>
      <c r="D671" s="16" t="inlineStr">
        <is>
          <t>Functional</t>
        </is>
      </c>
      <c r="E671" s="16" t="inlineStr">
        <is>
          <t>Interpolate Env var (linked lower priority) in Test assertion expected</t>
        </is>
      </c>
      <c r="F671" s="16" t="inlineStr">
        <is>
          <t>Editor open; workspace has the var configured per scope.</t>
        </is>
      </c>
      <c r="G671" s="16" t="inlineStr">
        <is>
          <t>1. Define a value in Env var (linked lower priority).
2. Reference it via {{var}} in Test assertion expected.
3. Send.</t>
        </is>
      </c>
      <c r="H671" s="16" t="inlineStr">
        <is>
          <t>Env var (linked lower priority)-&gt;Test assertion expected</t>
        </is>
      </c>
      <c r="I671" s="16" t="inlineStr">
        <is>
          <t>Variable resolves correctly into Test assertion expected; sent request reflects the resolved value; resolution precedence honored.</t>
        </is>
      </c>
      <c r="J671" s="16" t="inlineStr"/>
      <c r="K671" s="16" t="inlineStr">
        <is>
          <t>Not Run</t>
        </is>
      </c>
      <c r="L671" s="16" t="inlineStr">
        <is>
          <t>Medium</t>
        </is>
      </c>
      <c r="M671" s="16" t="inlineStr"/>
      <c r="N671" s="16" t="inlineStr"/>
      <c r="O671" s="16" t="inlineStr"/>
    </row>
    <row r="672" ht="72" customHeight="1">
      <c r="A672" s="16" t="inlineStr">
        <is>
          <t>TC-VI-0096</t>
        </is>
      </c>
      <c r="B672" s="16" t="inlineStr">
        <is>
          <t>Variable Interpolation Matrix</t>
        </is>
      </c>
      <c r="C672" s="16" t="inlineStr">
        <is>
          <t>Test assertion expected &lt;- Secret var (plaintext after decrypt)</t>
        </is>
      </c>
      <c r="D672" s="16" t="inlineStr">
        <is>
          <t>Functional</t>
        </is>
      </c>
      <c r="E672" s="16" t="inlineStr">
        <is>
          <t>Interpolate Secret var (plaintext after decrypt) in Test assertion expected</t>
        </is>
      </c>
      <c r="F672" s="16" t="inlineStr">
        <is>
          <t>Editor open; workspace has the var configured per scope.</t>
        </is>
      </c>
      <c r="G672" s="16" t="inlineStr">
        <is>
          <t>1. Define a value in Secret var (plaintext after decrypt).
2. Reference it via {{var}} in Test assertion expected.
3. Send.</t>
        </is>
      </c>
      <c r="H672" s="16" t="inlineStr">
        <is>
          <t>Secret var (plaintext after decrypt)-&gt;Test assertion expected</t>
        </is>
      </c>
      <c r="I672" s="16" t="inlineStr">
        <is>
          <t>Variable resolves correctly into Test assertion expected; sent request reflects the resolved value; resolution precedence honored.</t>
        </is>
      </c>
      <c r="J672" s="16" t="inlineStr"/>
      <c r="K672" s="16" t="inlineStr">
        <is>
          <t>Not Run</t>
        </is>
      </c>
      <c r="L672" s="16" t="inlineStr">
        <is>
          <t>Medium</t>
        </is>
      </c>
      <c r="M672" s="16" t="inlineStr"/>
      <c r="N672" s="16" t="inlineStr"/>
      <c r="O672" s="16" t="inlineStr"/>
    </row>
    <row r="673" ht="72" customHeight="1">
      <c r="A673" s="16" t="inlineStr">
        <is>
          <t>TC-VI-0097</t>
        </is>
      </c>
      <c r="B673" s="16" t="inlineStr">
        <is>
          <t>Variable Interpolation Matrix</t>
        </is>
      </c>
      <c r="C673" s="16" t="inlineStr">
        <is>
          <t>Test assertion expected &lt;- Request context var (pm.variables.set)</t>
        </is>
      </c>
      <c r="D673" s="16" t="inlineStr">
        <is>
          <t>Functional</t>
        </is>
      </c>
      <c r="E673" s="16" t="inlineStr">
        <is>
          <t>Interpolate Request context var (pm.variables.set) in Test assertion expected</t>
        </is>
      </c>
      <c r="F673" s="16" t="inlineStr">
        <is>
          <t>Editor open; workspace has the var configured per scope.</t>
        </is>
      </c>
      <c r="G673" s="16" t="inlineStr">
        <is>
          <t>1. Define a value in Request context var (pm.variables.set).
2. Reference it via {{var}} in Test assertion expected.
3. Send.</t>
        </is>
      </c>
      <c r="H673" s="16" t="inlineStr">
        <is>
          <t>Request context var (pm.variables.set)-&gt;Test assertion expected</t>
        </is>
      </c>
      <c r="I673" s="16" t="inlineStr">
        <is>
          <t>Variable resolves correctly into Test assertion expected; sent request reflects the resolved value; resolution precedence honored.</t>
        </is>
      </c>
      <c r="J673" s="16" t="inlineStr"/>
      <c r="K673" s="16" t="inlineStr">
        <is>
          <t>Not Run</t>
        </is>
      </c>
      <c r="L673" s="16" t="inlineStr">
        <is>
          <t>Medium</t>
        </is>
      </c>
      <c r="M673" s="16" t="inlineStr"/>
      <c r="N673" s="16" t="inlineStr"/>
      <c r="O673" s="16" t="inlineStr"/>
    </row>
    <row r="674" ht="72" customHeight="1">
      <c r="A674" s="16" t="inlineStr">
        <is>
          <t>TC-VI-0098</t>
        </is>
      </c>
      <c r="B674" s="16" t="inlineStr">
        <is>
          <t>Variable Interpolation Matrix</t>
        </is>
      </c>
      <c r="C674" s="16" t="inlineStr">
        <is>
          <t>Test assertion expected &lt;- Linked workspace override</t>
        </is>
      </c>
      <c r="D674" s="16" t="inlineStr">
        <is>
          <t>Functional</t>
        </is>
      </c>
      <c r="E674" s="16" t="inlineStr">
        <is>
          <t>Interpolate Linked workspace override in Test assertion expected</t>
        </is>
      </c>
      <c r="F674" s="16" t="inlineStr">
        <is>
          <t>Editor open; workspace has the var configured per scope.</t>
        </is>
      </c>
      <c r="G674" s="16" t="inlineStr">
        <is>
          <t>1. Define a value in Linked workspace override.
2. Reference it via {{var}} in Test assertion expected.
3. Send.</t>
        </is>
      </c>
      <c r="H674" s="16" t="inlineStr">
        <is>
          <t>Linked workspace override-&gt;Test assertion expected</t>
        </is>
      </c>
      <c r="I674" s="16" t="inlineStr">
        <is>
          <t>Variable resolves correctly into Test assertion expected; sent request reflects the resolved value; resolution precedence honored.</t>
        </is>
      </c>
      <c r="J674" s="16" t="inlineStr"/>
      <c r="K674" s="16" t="inlineStr">
        <is>
          <t>Not Run</t>
        </is>
      </c>
      <c r="L674" s="16" t="inlineStr">
        <is>
          <t>Medium</t>
        </is>
      </c>
      <c r="M674" s="16" t="inlineStr"/>
      <c r="N674" s="16" t="inlineStr"/>
      <c r="O674" s="16" t="inlineStr"/>
    </row>
    <row r="675" ht="72" customHeight="1">
      <c r="A675" s="16" t="inlineStr">
        <is>
          <t>TC-VI-0099</t>
        </is>
      </c>
      <c r="B675" s="16" t="inlineStr">
        <is>
          <t>Variable Interpolation Matrix</t>
        </is>
      </c>
      <c r="C675" s="16" t="inlineStr">
        <is>
          <t>Cookie value &lt;- Workspace var</t>
        </is>
      </c>
      <c r="D675" s="16" t="inlineStr">
        <is>
          <t>Functional</t>
        </is>
      </c>
      <c r="E675" s="16" t="inlineStr">
        <is>
          <t>Interpolate Workspace var in Cookie value</t>
        </is>
      </c>
      <c r="F675" s="16" t="inlineStr">
        <is>
          <t>Editor open; workspace has the var configured per scope.</t>
        </is>
      </c>
      <c r="G675" s="16" t="inlineStr">
        <is>
          <t>1. Define a value in Workspace var.
2. Reference it via {{var}} in Cookie value.
3. Send.</t>
        </is>
      </c>
      <c r="H675" s="16" t="inlineStr">
        <is>
          <t>Workspace var-&gt;Cookie value</t>
        </is>
      </c>
      <c r="I675" s="16" t="inlineStr">
        <is>
          <t>Variable resolves correctly into Cookie value; sent request reflects the resolved value; resolution precedence honored.</t>
        </is>
      </c>
      <c r="J675" s="16" t="inlineStr"/>
      <c r="K675" s="16" t="inlineStr">
        <is>
          <t>Not Run</t>
        </is>
      </c>
      <c r="L675" s="16" t="inlineStr">
        <is>
          <t>Medium</t>
        </is>
      </c>
      <c r="M675" s="16" t="inlineStr"/>
      <c r="N675" s="16" t="inlineStr"/>
      <c r="O675" s="16" t="inlineStr"/>
    </row>
    <row r="676" ht="72" customHeight="1">
      <c r="A676" s="16" t="inlineStr">
        <is>
          <t>TC-VI-0100</t>
        </is>
      </c>
      <c r="B676" s="16" t="inlineStr">
        <is>
          <t>Variable Interpolation Matrix</t>
        </is>
      </c>
      <c r="C676" s="16" t="inlineStr">
        <is>
          <t>Cookie value &lt;- Env var (active)</t>
        </is>
      </c>
      <c r="D676" s="16" t="inlineStr">
        <is>
          <t>Functional</t>
        </is>
      </c>
      <c r="E676" s="16" t="inlineStr">
        <is>
          <t>Interpolate Env var (active) in Cookie value</t>
        </is>
      </c>
      <c r="F676" s="16" t="inlineStr">
        <is>
          <t>Editor open; workspace has the var configured per scope.</t>
        </is>
      </c>
      <c r="G676" s="16" t="inlineStr">
        <is>
          <t>1. Define a value in Env var (active).
2. Reference it via {{var}} in Cookie value.
3. Send.</t>
        </is>
      </c>
      <c r="H676" s="16" t="inlineStr">
        <is>
          <t>Env var (active)-&gt;Cookie value</t>
        </is>
      </c>
      <c r="I676" s="16" t="inlineStr">
        <is>
          <t>Variable resolves correctly into Cookie value; sent request reflects the resolved value; resolution precedence honored.</t>
        </is>
      </c>
      <c r="J676" s="16" t="inlineStr"/>
      <c r="K676" s="16" t="inlineStr">
        <is>
          <t>Not Run</t>
        </is>
      </c>
      <c r="L676" s="16" t="inlineStr">
        <is>
          <t>Medium</t>
        </is>
      </c>
      <c r="M676" s="16" t="inlineStr"/>
      <c r="N676" s="16" t="inlineStr"/>
      <c r="O676" s="16" t="inlineStr"/>
    </row>
    <row r="677" ht="72" customHeight="1">
      <c r="A677" s="16" t="inlineStr">
        <is>
          <t>TC-VI-0101</t>
        </is>
      </c>
      <c r="B677" s="16" t="inlineStr">
        <is>
          <t>Variable Interpolation Matrix</t>
        </is>
      </c>
      <c r="C677" s="16" t="inlineStr">
        <is>
          <t>Cookie value &lt;- Env var (linked higher priority)</t>
        </is>
      </c>
      <c r="D677" s="16" t="inlineStr">
        <is>
          <t>Functional</t>
        </is>
      </c>
      <c r="E677" s="16" t="inlineStr">
        <is>
          <t>Interpolate Env var (linked higher priority) in Cookie value</t>
        </is>
      </c>
      <c r="F677" s="16" t="inlineStr">
        <is>
          <t>Editor open; workspace has the var configured per scope.</t>
        </is>
      </c>
      <c r="G677" s="16" t="inlineStr">
        <is>
          <t>1. Define a value in Env var (linked higher priority).
2. Reference it via {{var}} in Cookie value.
3. Send.</t>
        </is>
      </c>
      <c r="H677" s="16" t="inlineStr">
        <is>
          <t>Env var (linked higher priority)-&gt;Cookie value</t>
        </is>
      </c>
      <c r="I677" s="16" t="inlineStr">
        <is>
          <t>Variable resolves correctly into Cookie value; sent request reflects the resolved value; resolution precedence honored.</t>
        </is>
      </c>
      <c r="J677" s="16" t="inlineStr"/>
      <c r="K677" s="16" t="inlineStr">
        <is>
          <t>Not Run</t>
        </is>
      </c>
      <c r="L677" s="16" t="inlineStr">
        <is>
          <t>Medium</t>
        </is>
      </c>
      <c r="M677" s="16" t="inlineStr"/>
      <c r="N677" s="16" t="inlineStr"/>
      <c r="O677" s="16" t="inlineStr"/>
    </row>
    <row r="678" ht="72" customHeight="1">
      <c r="A678" s="16" t="inlineStr">
        <is>
          <t>TC-VI-0102</t>
        </is>
      </c>
      <c r="B678" s="16" t="inlineStr">
        <is>
          <t>Variable Interpolation Matrix</t>
        </is>
      </c>
      <c r="C678" s="16" t="inlineStr">
        <is>
          <t>Cookie value &lt;- Env var (linked lower priority)</t>
        </is>
      </c>
      <c r="D678" s="16" t="inlineStr">
        <is>
          <t>Functional</t>
        </is>
      </c>
      <c r="E678" s="16" t="inlineStr">
        <is>
          <t>Interpolate Env var (linked lower priority) in Cookie value</t>
        </is>
      </c>
      <c r="F678" s="16" t="inlineStr">
        <is>
          <t>Editor open; workspace has the var configured per scope.</t>
        </is>
      </c>
      <c r="G678" s="16" t="inlineStr">
        <is>
          <t>1. Define a value in Env var (linked lower priority).
2. Reference it via {{var}} in Cookie value.
3. Send.</t>
        </is>
      </c>
      <c r="H678" s="16" t="inlineStr">
        <is>
          <t>Env var (linked lower priority)-&gt;Cookie value</t>
        </is>
      </c>
      <c r="I678" s="16" t="inlineStr">
        <is>
          <t>Variable resolves correctly into Cookie value; sent request reflects the resolved value; resolution precedence honored.</t>
        </is>
      </c>
      <c r="J678" s="16" t="inlineStr"/>
      <c r="K678" s="16" t="inlineStr">
        <is>
          <t>Not Run</t>
        </is>
      </c>
      <c r="L678" s="16" t="inlineStr">
        <is>
          <t>Medium</t>
        </is>
      </c>
      <c r="M678" s="16" t="inlineStr"/>
      <c r="N678" s="16" t="inlineStr"/>
      <c r="O678" s="16" t="inlineStr"/>
    </row>
    <row r="679" ht="72" customHeight="1">
      <c r="A679" s="16" t="inlineStr">
        <is>
          <t>TC-VI-0103</t>
        </is>
      </c>
      <c r="B679" s="16" t="inlineStr">
        <is>
          <t>Variable Interpolation Matrix</t>
        </is>
      </c>
      <c r="C679" s="16" t="inlineStr">
        <is>
          <t>Cookie value &lt;- Secret var (plaintext after decrypt)</t>
        </is>
      </c>
      <c r="D679" s="16" t="inlineStr">
        <is>
          <t>Functional</t>
        </is>
      </c>
      <c r="E679" s="16" t="inlineStr">
        <is>
          <t>Interpolate Secret var (plaintext after decrypt) in Cookie value</t>
        </is>
      </c>
      <c r="F679" s="16" t="inlineStr">
        <is>
          <t>Editor open; workspace has the var configured per scope.</t>
        </is>
      </c>
      <c r="G679" s="16" t="inlineStr">
        <is>
          <t>1. Define a value in Secret var (plaintext after decrypt).
2. Reference it via {{var}} in Cookie value.
3. Send.</t>
        </is>
      </c>
      <c r="H679" s="16" t="inlineStr">
        <is>
          <t>Secret var (plaintext after decrypt)-&gt;Cookie value</t>
        </is>
      </c>
      <c r="I679" s="16" t="inlineStr">
        <is>
          <t>Variable resolves correctly into Cookie value; sent request reflects the resolved value; resolution precedence honored.</t>
        </is>
      </c>
      <c r="J679" s="16" t="inlineStr"/>
      <c r="K679" s="16" t="inlineStr">
        <is>
          <t>Not Run</t>
        </is>
      </c>
      <c r="L679" s="16" t="inlineStr">
        <is>
          <t>Medium</t>
        </is>
      </c>
      <c r="M679" s="16" t="inlineStr"/>
      <c r="N679" s="16" t="inlineStr"/>
      <c r="O679" s="16" t="inlineStr"/>
    </row>
    <row r="680" ht="72" customHeight="1">
      <c r="A680" s="16" t="inlineStr">
        <is>
          <t>TC-VI-0104</t>
        </is>
      </c>
      <c r="B680" s="16" t="inlineStr">
        <is>
          <t>Variable Interpolation Matrix</t>
        </is>
      </c>
      <c r="C680" s="16" t="inlineStr">
        <is>
          <t>Cookie value &lt;- Request context var (pm.variables.set)</t>
        </is>
      </c>
      <c r="D680" s="16" t="inlineStr">
        <is>
          <t>Functional</t>
        </is>
      </c>
      <c r="E680" s="16" t="inlineStr">
        <is>
          <t>Interpolate Request context var (pm.variables.set) in Cookie value</t>
        </is>
      </c>
      <c r="F680" s="16" t="inlineStr">
        <is>
          <t>Editor open; workspace has the var configured per scope.</t>
        </is>
      </c>
      <c r="G680" s="16" t="inlineStr">
        <is>
          <t>1. Define a value in Request context var (pm.variables.set).
2. Reference it via {{var}} in Cookie value.
3. Send.</t>
        </is>
      </c>
      <c r="H680" s="16" t="inlineStr">
        <is>
          <t>Request context var (pm.variables.set)-&gt;Cookie value</t>
        </is>
      </c>
      <c r="I680" s="16" t="inlineStr">
        <is>
          <t>Variable resolves correctly into Cookie value; sent request reflects the resolved value; resolution precedence honored.</t>
        </is>
      </c>
      <c r="J680" s="16" t="inlineStr"/>
      <c r="K680" s="16" t="inlineStr">
        <is>
          <t>Not Run</t>
        </is>
      </c>
      <c r="L680" s="16" t="inlineStr">
        <is>
          <t>Medium</t>
        </is>
      </c>
      <c r="M680" s="16" t="inlineStr"/>
      <c r="N680" s="16" t="inlineStr"/>
      <c r="O680" s="16" t="inlineStr"/>
    </row>
    <row r="681" ht="72" customHeight="1">
      <c r="A681" s="16" t="inlineStr">
        <is>
          <t>TC-VI-0105</t>
        </is>
      </c>
      <c r="B681" s="16" t="inlineStr">
        <is>
          <t>Variable Interpolation Matrix</t>
        </is>
      </c>
      <c r="C681" s="16" t="inlineStr">
        <is>
          <t>Cookie value &lt;- Linked workspace override</t>
        </is>
      </c>
      <c r="D681" s="16" t="inlineStr">
        <is>
          <t>Functional</t>
        </is>
      </c>
      <c r="E681" s="16" t="inlineStr">
        <is>
          <t>Interpolate Linked workspace override in Cookie value</t>
        </is>
      </c>
      <c r="F681" s="16" t="inlineStr">
        <is>
          <t>Editor open; workspace has the var configured per scope.</t>
        </is>
      </c>
      <c r="G681" s="16" t="inlineStr">
        <is>
          <t>1. Define a value in Linked workspace override.
2. Reference it via {{var}} in Cookie value.
3. Send.</t>
        </is>
      </c>
      <c r="H681" s="16" t="inlineStr">
        <is>
          <t>Linked workspace override-&gt;Cookie value</t>
        </is>
      </c>
      <c r="I681" s="16" t="inlineStr">
        <is>
          <t>Variable resolves correctly into Cookie value; sent request reflects the resolved value; resolution precedence honored.</t>
        </is>
      </c>
      <c r="J681" s="16" t="inlineStr"/>
      <c r="K681" s="16" t="inlineStr">
        <is>
          <t>Not Run</t>
        </is>
      </c>
      <c r="L681" s="16" t="inlineStr">
        <is>
          <t>Medium</t>
        </is>
      </c>
      <c r="M681" s="16" t="inlineStr"/>
      <c r="N681" s="16" t="inlineStr"/>
      <c r="O681" s="16" t="inlineStr"/>
    </row>
    <row r="682" ht="72" customHeight="1">
      <c r="A682" s="16" t="inlineStr">
        <is>
          <t>TC-VI-0106</t>
        </is>
      </c>
      <c r="B682" s="16" t="inlineStr">
        <is>
          <t>Variable Interpolation Matrix</t>
        </is>
      </c>
      <c r="C682" s="16" t="inlineStr">
        <is>
          <t>Undefined var</t>
        </is>
      </c>
      <c r="D682" s="16" t="inlineStr">
        <is>
          <t>Functional</t>
        </is>
      </c>
      <c r="E682" s="16" t="inlineStr">
        <is>
          <t>Undefined var resolves empty</t>
        </is>
      </c>
      <c r="F682" s="16" t="inlineStr">
        <is>
          <t>-</t>
        </is>
      </c>
      <c r="G682" s="16" t="inlineStr">
        <is>
          <t>1. URL uses {{missing}}.
2. Send.</t>
        </is>
      </c>
      <c r="H682" s="16" t="inlineStr">
        <is>
          <t>interpolation</t>
        </is>
      </c>
      <c r="I682" s="16" t="inlineStr">
        <is>
          <t>Becomes empty string; request attempted; error if URL invalid.</t>
        </is>
      </c>
      <c r="J682" s="16" t="inlineStr"/>
      <c r="K682" s="16" t="inlineStr">
        <is>
          <t>Not Run</t>
        </is>
      </c>
      <c r="L682" s="16" t="inlineStr">
        <is>
          <t>Medium</t>
        </is>
      </c>
      <c r="M682" s="16" t="inlineStr"/>
      <c r="N682" s="16" t="inlineStr"/>
      <c r="O682" s="16" t="inlineStr"/>
    </row>
    <row r="683" ht="72" customHeight="1">
      <c r="A683" s="16" t="inlineStr">
        <is>
          <t>TC-VI-0107</t>
        </is>
      </c>
      <c r="B683" s="16" t="inlineStr">
        <is>
          <t>Variable Interpolation Matrix</t>
        </is>
      </c>
      <c r="C683" s="16" t="inlineStr">
        <is>
          <t>Whitespace inside braces</t>
        </is>
      </c>
      <c r="D683" s="16" t="inlineStr">
        <is>
          <t>Edge Case</t>
        </is>
      </c>
      <c r="E683" s="16" t="inlineStr">
        <is>
          <t>{{ var }} with spaces</t>
        </is>
      </c>
      <c r="F683" s="16" t="inlineStr">
        <is>
          <t>-</t>
        </is>
      </c>
      <c r="G683" s="16" t="inlineStr">
        <is>
          <t>1. URL uses {{ baseUrl }}.
2. Send.</t>
        </is>
      </c>
      <c r="H683" s="16" t="inlineStr">
        <is>
          <t>interpolation</t>
        </is>
      </c>
      <c r="I683" s="16" t="inlineStr">
        <is>
          <t>Trimmed and resolved or rejected; consistent.</t>
        </is>
      </c>
      <c r="J683" s="16" t="inlineStr"/>
      <c r="K683" s="16" t="inlineStr">
        <is>
          <t>Not Run</t>
        </is>
      </c>
      <c r="L683" s="16" t="inlineStr">
        <is>
          <t>Low</t>
        </is>
      </c>
      <c r="M683" s="16" t="inlineStr"/>
      <c r="N683" s="16" t="inlineStr"/>
      <c r="O683" s="16" t="inlineStr"/>
    </row>
    <row r="684" ht="72" customHeight="1">
      <c r="A684" s="16" t="inlineStr">
        <is>
          <t>TC-VI-0108</t>
        </is>
      </c>
      <c r="B684" s="16" t="inlineStr">
        <is>
          <t>Variable Interpolation Matrix</t>
        </is>
      </c>
      <c r="C684" s="16" t="inlineStr">
        <is>
          <t>Adjacent variables</t>
        </is>
      </c>
      <c r="D684" s="16" t="inlineStr">
        <is>
          <t>Functional</t>
        </is>
      </c>
      <c r="E684" s="16" t="inlineStr">
        <is>
          <t>{{a}}{{b}} concatenation</t>
        </is>
      </c>
      <c r="F684" s="16" t="inlineStr">
        <is>
          <t>-</t>
        </is>
      </c>
      <c r="G684" s="16" t="inlineStr">
        <is>
          <t>1. Header 'A: {{a}}{{b}}'.</t>
        </is>
      </c>
      <c r="H684" s="16" t="inlineStr">
        <is>
          <t>interpolation</t>
        </is>
      </c>
      <c r="I684" s="16" t="inlineStr">
        <is>
          <t>Resolves to a+b concatenated.</t>
        </is>
      </c>
      <c r="J684" s="16" t="inlineStr"/>
      <c r="K684" s="16" t="inlineStr">
        <is>
          <t>Not Run</t>
        </is>
      </c>
      <c r="L684" s="16" t="inlineStr">
        <is>
          <t>Medium</t>
        </is>
      </c>
      <c r="M684" s="16" t="inlineStr"/>
      <c r="N684" s="16" t="inlineStr"/>
      <c r="O684" s="16" t="inlineStr"/>
    </row>
    <row r="685" ht="72" customHeight="1">
      <c r="A685" s="16" t="inlineStr">
        <is>
          <t>TC-VI-0109</t>
        </is>
      </c>
      <c r="B685" s="16" t="inlineStr">
        <is>
          <t>Variable Interpolation Matrix</t>
        </is>
      </c>
      <c r="C685" s="16" t="inlineStr">
        <is>
          <t>Triple braces literal</t>
        </is>
      </c>
      <c r="D685" s="16" t="inlineStr">
        <is>
          <t>Edge Case</t>
        </is>
      </c>
      <c r="E685" s="16" t="inlineStr">
        <is>
          <t>{{{a}}} parsed correctly</t>
        </is>
      </c>
      <c r="F685" s="16" t="inlineStr">
        <is>
          <t>-</t>
        </is>
      </c>
      <c r="G685" s="16" t="inlineStr">
        <is>
          <t>1. Body '{{{a}}}'.</t>
        </is>
      </c>
      <c r="H685" s="16" t="inlineStr">
        <is>
          <t>interpolation</t>
        </is>
      </c>
      <c r="I685" s="16" t="inlineStr">
        <is>
          <t>Either '{&lt;value&gt;}' or treated literal; consistent.</t>
        </is>
      </c>
      <c r="J685" s="16" t="inlineStr"/>
      <c r="K685" s="16" t="inlineStr">
        <is>
          <t>Not Run</t>
        </is>
      </c>
      <c r="L685" s="16" t="inlineStr">
        <is>
          <t>Low</t>
        </is>
      </c>
      <c r="M685" s="16" t="inlineStr"/>
      <c r="N685" s="16" t="inlineStr"/>
      <c r="O685" s="16" t="inlineStr"/>
    </row>
    <row r="686" ht="72" customHeight="1">
      <c r="A686" s="16" t="inlineStr">
        <is>
          <t>TC-VI-0110</t>
        </is>
      </c>
      <c r="B686" s="16" t="inlineStr">
        <is>
          <t>Variable Interpolation Matrix</t>
        </is>
      </c>
      <c r="C686" s="16" t="inlineStr">
        <is>
          <t>Var inside string vs JSON key</t>
        </is>
      </c>
      <c r="D686" s="16" t="inlineStr">
        <is>
          <t>Edge Case</t>
        </is>
      </c>
      <c r="E686" s="16" t="inlineStr">
        <is>
          <t>Quoted vs unquoted contexts</t>
        </is>
      </c>
      <c r="F686" s="16" t="inlineStr">
        <is>
          <t>-</t>
        </is>
      </c>
      <c r="G686" s="16" t="inlineStr">
        <is>
          <t>1. JSON {"x":"{{v}}"} vs {"{{v}}":1}.</t>
        </is>
      </c>
      <c r="H686" s="16" t="inlineStr">
        <is>
          <t>interpolation</t>
        </is>
      </c>
      <c r="I686" s="16" t="inlineStr">
        <is>
          <t>Both resolve; quoting preserved.</t>
        </is>
      </c>
      <c r="J686" s="16" t="inlineStr"/>
      <c r="K686" s="16" t="inlineStr">
        <is>
          <t>Not Run</t>
        </is>
      </c>
      <c r="L686" s="16" t="inlineStr">
        <is>
          <t>Medium</t>
        </is>
      </c>
      <c r="M686" s="16" t="inlineStr"/>
      <c r="N686" s="16" t="inlineStr"/>
      <c r="O686" s="16" t="inlineStr"/>
    </row>
    <row r="687" ht="72" customHeight="1">
      <c r="A687" s="16" t="inlineStr">
        <is>
          <t>TC-HD-0001</t>
        </is>
      </c>
      <c r="B687" s="16" t="inlineStr">
        <is>
          <t>Headers Deep Matrix</t>
        </is>
      </c>
      <c r="C687" s="16" t="inlineStr">
        <is>
          <t>Standard</t>
        </is>
      </c>
      <c r="D687" s="16" t="inlineStr">
        <is>
          <t>Functional</t>
        </is>
      </c>
      <c r="E687" s="16" t="inlineStr">
        <is>
          <t>Send standard header 'Accept'</t>
        </is>
      </c>
      <c r="F687" s="16" t="inlineStr">
        <is>
          <t>Editor open.</t>
        </is>
      </c>
      <c r="G687" s="16" t="inlineStr">
        <is>
          <t>1. Headers add 'Accept' with appropriate value.
2. Send to httpbin/headers.</t>
        </is>
      </c>
      <c r="H687" s="16" t="inlineStr">
        <is>
          <t>header=Accept</t>
        </is>
      </c>
      <c r="I687" s="16" t="inlineStr">
        <is>
          <t>Header transmitted; server echo confirms; case preserved or normalized per HTTP spec.</t>
        </is>
      </c>
      <c r="J687" s="16" t="inlineStr"/>
      <c r="K687" s="16" t="inlineStr">
        <is>
          <t>Not Run</t>
        </is>
      </c>
      <c r="L687" s="16" t="inlineStr">
        <is>
          <t>Low</t>
        </is>
      </c>
      <c r="M687" s="16" t="inlineStr"/>
      <c r="N687" s="16" t="inlineStr"/>
      <c r="O687" s="16" t="inlineStr"/>
    </row>
    <row r="688" ht="72" customHeight="1">
      <c r="A688" s="16" t="inlineStr">
        <is>
          <t>TC-HD-0002</t>
        </is>
      </c>
      <c r="B688" s="16" t="inlineStr">
        <is>
          <t>Headers Deep Matrix</t>
        </is>
      </c>
      <c r="C688" s="16" t="inlineStr">
        <is>
          <t>Standard</t>
        </is>
      </c>
      <c r="D688" s="16" t="inlineStr">
        <is>
          <t>Functional</t>
        </is>
      </c>
      <c r="E688" s="16" t="inlineStr">
        <is>
          <t>Send standard header 'Accept-Encoding'</t>
        </is>
      </c>
      <c r="F688" s="16" t="inlineStr">
        <is>
          <t>Editor open.</t>
        </is>
      </c>
      <c r="G688" s="16" t="inlineStr">
        <is>
          <t>1. Headers add 'Accept-Encoding' with appropriate value.
2. Send to httpbin/headers.</t>
        </is>
      </c>
      <c r="H688" s="16" t="inlineStr">
        <is>
          <t>header=Accept-Encoding</t>
        </is>
      </c>
      <c r="I688" s="16" t="inlineStr">
        <is>
          <t>Header transmitted; server echo confirms; case preserved or normalized per HTTP spec.</t>
        </is>
      </c>
      <c r="J688" s="16" t="inlineStr"/>
      <c r="K688" s="16" t="inlineStr">
        <is>
          <t>Not Run</t>
        </is>
      </c>
      <c r="L688" s="16" t="inlineStr">
        <is>
          <t>Low</t>
        </is>
      </c>
      <c r="M688" s="16" t="inlineStr"/>
      <c r="N688" s="16" t="inlineStr"/>
      <c r="O688" s="16" t="inlineStr"/>
    </row>
    <row r="689" ht="72" customHeight="1">
      <c r="A689" s="16" t="inlineStr">
        <is>
          <t>TC-HD-0003</t>
        </is>
      </c>
      <c r="B689" s="16" t="inlineStr">
        <is>
          <t>Headers Deep Matrix</t>
        </is>
      </c>
      <c r="C689" s="16" t="inlineStr">
        <is>
          <t>Standard</t>
        </is>
      </c>
      <c r="D689" s="16" t="inlineStr">
        <is>
          <t>Functional</t>
        </is>
      </c>
      <c r="E689" s="16" t="inlineStr">
        <is>
          <t>Send standard header 'Accept-Language'</t>
        </is>
      </c>
      <c r="F689" s="16" t="inlineStr">
        <is>
          <t>Editor open.</t>
        </is>
      </c>
      <c r="G689" s="16" t="inlineStr">
        <is>
          <t>1. Headers add 'Accept-Language' with appropriate value.
2. Send to httpbin/headers.</t>
        </is>
      </c>
      <c r="H689" s="16" t="inlineStr">
        <is>
          <t>header=Accept-Language</t>
        </is>
      </c>
      <c r="I689" s="16" t="inlineStr">
        <is>
          <t>Header transmitted; server echo confirms; case preserved or normalized per HTTP spec.</t>
        </is>
      </c>
      <c r="J689" s="16" t="inlineStr"/>
      <c r="K689" s="16" t="inlineStr">
        <is>
          <t>Not Run</t>
        </is>
      </c>
      <c r="L689" s="16" t="inlineStr">
        <is>
          <t>Low</t>
        </is>
      </c>
      <c r="M689" s="16" t="inlineStr"/>
      <c r="N689" s="16" t="inlineStr"/>
      <c r="O689" s="16" t="inlineStr"/>
    </row>
    <row r="690" ht="72" customHeight="1">
      <c r="A690" s="16" t="inlineStr">
        <is>
          <t>TC-HD-0004</t>
        </is>
      </c>
      <c r="B690" s="16" t="inlineStr">
        <is>
          <t>Headers Deep Matrix</t>
        </is>
      </c>
      <c r="C690" s="16" t="inlineStr">
        <is>
          <t>Standard</t>
        </is>
      </c>
      <c r="D690" s="16" t="inlineStr">
        <is>
          <t>Functional</t>
        </is>
      </c>
      <c r="E690" s="16" t="inlineStr">
        <is>
          <t>Send standard header 'Authorization'</t>
        </is>
      </c>
      <c r="F690" s="16" t="inlineStr">
        <is>
          <t>Editor open.</t>
        </is>
      </c>
      <c r="G690" s="16" t="inlineStr">
        <is>
          <t>1. Headers add 'Authorization' with appropriate value.
2. Send to httpbin/headers.</t>
        </is>
      </c>
      <c r="H690" s="16" t="inlineStr">
        <is>
          <t>header=Authorization</t>
        </is>
      </c>
      <c r="I690" s="16" t="inlineStr">
        <is>
          <t>Header transmitted; server echo confirms; case preserved or normalized per HTTP spec.</t>
        </is>
      </c>
      <c r="J690" s="16" t="inlineStr"/>
      <c r="K690" s="16" t="inlineStr">
        <is>
          <t>Not Run</t>
        </is>
      </c>
      <c r="L690" s="16" t="inlineStr">
        <is>
          <t>Medium</t>
        </is>
      </c>
      <c r="M690" s="16" t="inlineStr"/>
      <c r="N690" s="16" t="inlineStr"/>
      <c r="O690" s="16" t="inlineStr"/>
    </row>
    <row r="691" ht="72" customHeight="1">
      <c r="A691" s="16" t="inlineStr">
        <is>
          <t>TC-HD-0005</t>
        </is>
      </c>
      <c r="B691" s="16" t="inlineStr">
        <is>
          <t>Headers Deep Matrix</t>
        </is>
      </c>
      <c r="C691" s="16" t="inlineStr">
        <is>
          <t>Standard</t>
        </is>
      </c>
      <c r="D691" s="16" t="inlineStr">
        <is>
          <t>Functional</t>
        </is>
      </c>
      <c r="E691" s="16" t="inlineStr">
        <is>
          <t>Send standard header 'Cache-Control'</t>
        </is>
      </c>
      <c r="F691" s="16" t="inlineStr">
        <is>
          <t>Editor open.</t>
        </is>
      </c>
      <c r="G691" s="16" t="inlineStr">
        <is>
          <t>1. Headers add 'Cache-Control' with appropriate value.
2. Send to httpbin/headers.</t>
        </is>
      </c>
      <c r="H691" s="16" t="inlineStr">
        <is>
          <t>header=Cache-Control</t>
        </is>
      </c>
      <c r="I691" s="16" t="inlineStr">
        <is>
          <t>Header transmitted; server echo confirms; case preserved or normalized per HTTP spec.</t>
        </is>
      </c>
      <c r="J691" s="16" t="inlineStr"/>
      <c r="K691" s="16" t="inlineStr">
        <is>
          <t>Not Run</t>
        </is>
      </c>
      <c r="L691" s="16" t="inlineStr">
        <is>
          <t>Low</t>
        </is>
      </c>
      <c r="M691" s="16" t="inlineStr"/>
      <c r="N691" s="16" t="inlineStr"/>
      <c r="O691" s="16" t="inlineStr"/>
    </row>
    <row r="692" ht="72" customHeight="1">
      <c r="A692" s="16" t="inlineStr">
        <is>
          <t>TC-HD-0006</t>
        </is>
      </c>
      <c r="B692" s="16" t="inlineStr">
        <is>
          <t>Headers Deep Matrix</t>
        </is>
      </c>
      <c r="C692" s="16" t="inlineStr">
        <is>
          <t>Standard</t>
        </is>
      </c>
      <c r="D692" s="16" t="inlineStr">
        <is>
          <t>Functional</t>
        </is>
      </c>
      <c r="E692" s="16" t="inlineStr">
        <is>
          <t>Send standard header 'Content-Type'</t>
        </is>
      </c>
      <c r="F692" s="16" t="inlineStr">
        <is>
          <t>Editor open.</t>
        </is>
      </c>
      <c r="G692" s="16" t="inlineStr">
        <is>
          <t>1. Headers add 'Content-Type' with appropriate value.
2. Send to httpbin/headers.</t>
        </is>
      </c>
      <c r="H692" s="16" t="inlineStr">
        <is>
          <t>header=Content-Type</t>
        </is>
      </c>
      <c r="I692" s="16" t="inlineStr">
        <is>
          <t>Header transmitted; server echo confirms; case preserved or normalized per HTTP spec.</t>
        </is>
      </c>
      <c r="J692" s="16" t="inlineStr"/>
      <c r="K692" s="16" t="inlineStr">
        <is>
          <t>Not Run</t>
        </is>
      </c>
      <c r="L692" s="16" t="inlineStr">
        <is>
          <t>Medium</t>
        </is>
      </c>
      <c r="M692" s="16" t="inlineStr"/>
      <c r="N692" s="16" t="inlineStr"/>
      <c r="O692" s="16" t="inlineStr"/>
    </row>
    <row r="693" ht="72" customHeight="1">
      <c r="A693" s="16" t="inlineStr">
        <is>
          <t>TC-HD-0007</t>
        </is>
      </c>
      <c r="B693" s="16" t="inlineStr">
        <is>
          <t>Headers Deep Matrix</t>
        </is>
      </c>
      <c r="C693" s="16" t="inlineStr">
        <is>
          <t>Standard</t>
        </is>
      </c>
      <c r="D693" s="16" t="inlineStr">
        <is>
          <t>Functional</t>
        </is>
      </c>
      <c r="E693" s="16" t="inlineStr">
        <is>
          <t>Send standard header 'Content-Length'</t>
        </is>
      </c>
      <c r="F693" s="16" t="inlineStr">
        <is>
          <t>Editor open.</t>
        </is>
      </c>
      <c r="G693" s="16" t="inlineStr">
        <is>
          <t>1. Headers add 'Content-Length' with appropriate value.
2. Send to httpbin/headers.</t>
        </is>
      </c>
      <c r="H693" s="16" t="inlineStr">
        <is>
          <t>header=Content-Length</t>
        </is>
      </c>
      <c r="I693" s="16" t="inlineStr">
        <is>
          <t>Header transmitted; server echo confirms; case preserved or normalized per HTTP spec.</t>
        </is>
      </c>
      <c r="J693" s="16" t="inlineStr"/>
      <c r="K693" s="16" t="inlineStr">
        <is>
          <t>Not Run</t>
        </is>
      </c>
      <c r="L693" s="16" t="inlineStr">
        <is>
          <t>Low</t>
        </is>
      </c>
      <c r="M693" s="16" t="inlineStr"/>
      <c r="N693" s="16" t="inlineStr"/>
      <c r="O693" s="16" t="inlineStr"/>
    </row>
    <row r="694" ht="72" customHeight="1">
      <c r="A694" s="16" t="inlineStr">
        <is>
          <t>TC-HD-0008</t>
        </is>
      </c>
      <c r="B694" s="16" t="inlineStr">
        <is>
          <t>Headers Deep Matrix</t>
        </is>
      </c>
      <c r="C694" s="16" t="inlineStr">
        <is>
          <t>Standard</t>
        </is>
      </c>
      <c r="D694" s="16" t="inlineStr">
        <is>
          <t>Functional</t>
        </is>
      </c>
      <c r="E694" s="16" t="inlineStr">
        <is>
          <t>Send standard header 'Cookie'</t>
        </is>
      </c>
      <c r="F694" s="16" t="inlineStr">
        <is>
          <t>Editor open.</t>
        </is>
      </c>
      <c r="G694" s="16" t="inlineStr">
        <is>
          <t>1. Headers add 'Cookie' with appropriate value.
2. Send to httpbin/headers.</t>
        </is>
      </c>
      <c r="H694" s="16" t="inlineStr">
        <is>
          <t>header=Cookie</t>
        </is>
      </c>
      <c r="I694" s="16" t="inlineStr">
        <is>
          <t>Header transmitted; server echo confirms; case preserved or normalized per HTTP spec.</t>
        </is>
      </c>
      <c r="J694" s="16" t="inlineStr"/>
      <c r="K694" s="16" t="inlineStr">
        <is>
          <t>Not Run</t>
        </is>
      </c>
      <c r="L694" s="16" t="inlineStr">
        <is>
          <t>Low</t>
        </is>
      </c>
      <c r="M694" s="16" t="inlineStr"/>
      <c r="N694" s="16" t="inlineStr"/>
      <c r="O694" s="16" t="inlineStr"/>
    </row>
    <row r="695" ht="72" customHeight="1">
      <c r="A695" s="16" t="inlineStr">
        <is>
          <t>TC-HD-0009</t>
        </is>
      </c>
      <c r="B695" s="16" t="inlineStr">
        <is>
          <t>Headers Deep Matrix</t>
        </is>
      </c>
      <c r="C695" s="16" t="inlineStr">
        <is>
          <t>Standard</t>
        </is>
      </c>
      <c r="D695" s="16" t="inlineStr">
        <is>
          <t>Functional</t>
        </is>
      </c>
      <c r="E695" s="16" t="inlineStr">
        <is>
          <t>Send standard header 'Origin'</t>
        </is>
      </c>
      <c r="F695" s="16" t="inlineStr">
        <is>
          <t>Editor open.</t>
        </is>
      </c>
      <c r="G695" s="16" t="inlineStr">
        <is>
          <t>1. Headers add 'Origin' with appropriate value.
2. Send to httpbin/headers.</t>
        </is>
      </c>
      <c r="H695" s="16" t="inlineStr">
        <is>
          <t>header=Origin</t>
        </is>
      </c>
      <c r="I695" s="16" t="inlineStr">
        <is>
          <t>Header transmitted; server echo confirms; case preserved or normalized per HTTP spec.</t>
        </is>
      </c>
      <c r="J695" s="16" t="inlineStr"/>
      <c r="K695" s="16" t="inlineStr">
        <is>
          <t>Not Run</t>
        </is>
      </c>
      <c r="L695" s="16" t="inlineStr">
        <is>
          <t>Low</t>
        </is>
      </c>
      <c r="M695" s="16" t="inlineStr"/>
      <c r="N695" s="16" t="inlineStr"/>
      <c r="O695" s="16" t="inlineStr"/>
    </row>
    <row r="696" ht="72" customHeight="1">
      <c r="A696" s="16" t="inlineStr">
        <is>
          <t>TC-HD-0010</t>
        </is>
      </c>
      <c r="B696" s="16" t="inlineStr">
        <is>
          <t>Headers Deep Matrix</t>
        </is>
      </c>
      <c r="C696" s="16" t="inlineStr">
        <is>
          <t>Standard</t>
        </is>
      </c>
      <c r="D696" s="16" t="inlineStr">
        <is>
          <t>Functional</t>
        </is>
      </c>
      <c r="E696" s="16" t="inlineStr">
        <is>
          <t>Send standard header 'Referer'</t>
        </is>
      </c>
      <c r="F696" s="16" t="inlineStr">
        <is>
          <t>Editor open.</t>
        </is>
      </c>
      <c r="G696" s="16" t="inlineStr">
        <is>
          <t>1. Headers add 'Referer' with appropriate value.
2. Send to httpbin/headers.</t>
        </is>
      </c>
      <c r="H696" s="16" t="inlineStr">
        <is>
          <t>header=Referer</t>
        </is>
      </c>
      <c r="I696" s="16" t="inlineStr">
        <is>
          <t>Header transmitted; server echo confirms; case preserved or normalized per HTTP spec.</t>
        </is>
      </c>
      <c r="J696" s="16" t="inlineStr"/>
      <c r="K696" s="16" t="inlineStr">
        <is>
          <t>Not Run</t>
        </is>
      </c>
      <c r="L696" s="16" t="inlineStr">
        <is>
          <t>Low</t>
        </is>
      </c>
      <c r="M696" s="16" t="inlineStr"/>
      <c r="N696" s="16" t="inlineStr"/>
      <c r="O696" s="16" t="inlineStr"/>
    </row>
    <row r="697" ht="72" customHeight="1">
      <c r="A697" s="16" t="inlineStr">
        <is>
          <t>TC-HD-0011</t>
        </is>
      </c>
      <c r="B697" s="16" t="inlineStr">
        <is>
          <t>Headers Deep Matrix</t>
        </is>
      </c>
      <c r="C697" s="16" t="inlineStr">
        <is>
          <t>Standard</t>
        </is>
      </c>
      <c r="D697" s="16" t="inlineStr">
        <is>
          <t>Functional</t>
        </is>
      </c>
      <c r="E697" s="16" t="inlineStr">
        <is>
          <t>Send standard header 'User-Agent'</t>
        </is>
      </c>
      <c r="F697" s="16" t="inlineStr">
        <is>
          <t>Editor open.</t>
        </is>
      </c>
      <c r="G697" s="16" t="inlineStr">
        <is>
          <t>1. Headers add 'User-Agent' with appropriate value.
2. Send to httpbin/headers.</t>
        </is>
      </c>
      <c r="H697" s="16" t="inlineStr">
        <is>
          <t>header=User-Agent</t>
        </is>
      </c>
      <c r="I697" s="16" t="inlineStr">
        <is>
          <t>Header transmitted; server echo confirms; case preserved or normalized per HTTP spec.</t>
        </is>
      </c>
      <c r="J697" s="16" t="inlineStr"/>
      <c r="K697" s="16" t="inlineStr">
        <is>
          <t>Not Run</t>
        </is>
      </c>
      <c r="L697" s="16" t="inlineStr">
        <is>
          <t>Low</t>
        </is>
      </c>
      <c r="M697" s="16" t="inlineStr"/>
      <c r="N697" s="16" t="inlineStr"/>
      <c r="O697" s="16" t="inlineStr"/>
    </row>
    <row r="698" ht="72" customHeight="1">
      <c r="A698" s="16" t="inlineStr">
        <is>
          <t>TC-HD-0012</t>
        </is>
      </c>
      <c r="B698" s="16" t="inlineStr">
        <is>
          <t>Headers Deep Matrix</t>
        </is>
      </c>
      <c r="C698" s="16" t="inlineStr">
        <is>
          <t>Standard</t>
        </is>
      </c>
      <c r="D698" s="16" t="inlineStr">
        <is>
          <t>Functional</t>
        </is>
      </c>
      <c r="E698" s="16" t="inlineStr">
        <is>
          <t>Send standard header 'X-Forwarded-For'</t>
        </is>
      </c>
      <c r="F698" s="16" t="inlineStr">
        <is>
          <t>Editor open.</t>
        </is>
      </c>
      <c r="G698" s="16" t="inlineStr">
        <is>
          <t>1. Headers add 'X-Forwarded-For' with appropriate value.
2. Send to httpbin/headers.</t>
        </is>
      </c>
      <c r="H698" s="16" t="inlineStr">
        <is>
          <t>header=X-Forwarded-For</t>
        </is>
      </c>
      <c r="I698" s="16" t="inlineStr">
        <is>
          <t>Header transmitted; server echo confirms; case preserved or normalized per HTTP spec.</t>
        </is>
      </c>
      <c r="J698" s="16" t="inlineStr"/>
      <c r="K698" s="16" t="inlineStr">
        <is>
          <t>Not Run</t>
        </is>
      </c>
      <c r="L698" s="16" t="inlineStr">
        <is>
          <t>Low</t>
        </is>
      </c>
      <c r="M698" s="16" t="inlineStr"/>
      <c r="N698" s="16" t="inlineStr"/>
      <c r="O698" s="16" t="inlineStr"/>
    </row>
    <row r="699" ht="72" customHeight="1">
      <c r="A699" s="16" t="inlineStr">
        <is>
          <t>TC-HD-0013</t>
        </is>
      </c>
      <c r="B699" s="16" t="inlineStr">
        <is>
          <t>Headers Deep Matrix</t>
        </is>
      </c>
      <c r="C699" s="16" t="inlineStr">
        <is>
          <t>Standard</t>
        </is>
      </c>
      <c r="D699" s="16" t="inlineStr">
        <is>
          <t>Functional</t>
        </is>
      </c>
      <c r="E699" s="16" t="inlineStr">
        <is>
          <t>Send standard header 'If-Match'</t>
        </is>
      </c>
      <c r="F699" s="16" t="inlineStr">
        <is>
          <t>Editor open.</t>
        </is>
      </c>
      <c r="G699" s="16" t="inlineStr">
        <is>
          <t>1. Headers add 'If-Match' with appropriate value.
2. Send to httpbin/headers.</t>
        </is>
      </c>
      <c r="H699" s="16" t="inlineStr">
        <is>
          <t>header=If-Match</t>
        </is>
      </c>
      <c r="I699" s="16" t="inlineStr">
        <is>
          <t>Header transmitted; server echo confirms; case preserved or normalized per HTTP spec.</t>
        </is>
      </c>
      <c r="J699" s="16" t="inlineStr"/>
      <c r="K699" s="16" t="inlineStr">
        <is>
          <t>Not Run</t>
        </is>
      </c>
      <c r="L699" s="16" t="inlineStr">
        <is>
          <t>Low</t>
        </is>
      </c>
      <c r="M699" s="16" t="inlineStr"/>
      <c r="N699" s="16" t="inlineStr"/>
      <c r="O699" s="16" t="inlineStr"/>
    </row>
    <row r="700" ht="72" customHeight="1">
      <c r="A700" s="16" t="inlineStr">
        <is>
          <t>TC-HD-0014</t>
        </is>
      </c>
      <c r="B700" s="16" t="inlineStr">
        <is>
          <t>Headers Deep Matrix</t>
        </is>
      </c>
      <c r="C700" s="16" t="inlineStr">
        <is>
          <t>Standard</t>
        </is>
      </c>
      <c r="D700" s="16" t="inlineStr">
        <is>
          <t>Functional</t>
        </is>
      </c>
      <c r="E700" s="16" t="inlineStr">
        <is>
          <t>Send standard header 'If-None-Match'</t>
        </is>
      </c>
      <c r="F700" s="16" t="inlineStr">
        <is>
          <t>Editor open.</t>
        </is>
      </c>
      <c r="G700" s="16" t="inlineStr">
        <is>
          <t>1. Headers add 'If-None-Match' with appropriate value.
2. Send to httpbin/headers.</t>
        </is>
      </c>
      <c r="H700" s="16" t="inlineStr">
        <is>
          <t>header=If-None-Match</t>
        </is>
      </c>
      <c r="I700" s="16" t="inlineStr">
        <is>
          <t>Header transmitted; server echo confirms; case preserved or normalized per HTTP spec.</t>
        </is>
      </c>
      <c r="J700" s="16" t="inlineStr"/>
      <c r="K700" s="16" t="inlineStr">
        <is>
          <t>Not Run</t>
        </is>
      </c>
      <c r="L700" s="16" t="inlineStr">
        <is>
          <t>Low</t>
        </is>
      </c>
      <c r="M700" s="16" t="inlineStr"/>
      <c r="N700" s="16" t="inlineStr"/>
      <c r="O700" s="16" t="inlineStr"/>
    </row>
    <row r="701" ht="72" customHeight="1">
      <c r="A701" s="16" t="inlineStr">
        <is>
          <t>TC-HD-0015</t>
        </is>
      </c>
      <c r="B701" s="16" t="inlineStr">
        <is>
          <t>Headers Deep Matrix</t>
        </is>
      </c>
      <c r="C701" s="16" t="inlineStr">
        <is>
          <t>Standard</t>
        </is>
      </c>
      <c r="D701" s="16" t="inlineStr">
        <is>
          <t>Functional</t>
        </is>
      </c>
      <c r="E701" s="16" t="inlineStr">
        <is>
          <t>Send standard header 'If-Modified-Since'</t>
        </is>
      </c>
      <c r="F701" s="16" t="inlineStr">
        <is>
          <t>Editor open.</t>
        </is>
      </c>
      <c r="G701" s="16" t="inlineStr">
        <is>
          <t>1. Headers add 'If-Modified-Since' with appropriate value.
2. Send to httpbin/headers.</t>
        </is>
      </c>
      <c r="H701" s="16" t="inlineStr">
        <is>
          <t>header=If-Modified-Since</t>
        </is>
      </c>
      <c r="I701" s="16" t="inlineStr">
        <is>
          <t>Header transmitted; server echo confirms; case preserved or normalized per HTTP spec.</t>
        </is>
      </c>
      <c r="J701" s="16" t="inlineStr"/>
      <c r="K701" s="16" t="inlineStr">
        <is>
          <t>Not Run</t>
        </is>
      </c>
      <c r="L701" s="16" t="inlineStr">
        <is>
          <t>Low</t>
        </is>
      </c>
      <c r="M701" s="16" t="inlineStr"/>
      <c r="N701" s="16" t="inlineStr"/>
      <c r="O701" s="16" t="inlineStr"/>
    </row>
    <row r="702" ht="72" customHeight="1">
      <c r="A702" s="16" t="inlineStr">
        <is>
          <t>TC-HD-0016</t>
        </is>
      </c>
      <c r="B702" s="16" t="inlineStr">
        <is>
          <t>Headers Deep Matrix</t>
        </is>
      </c>
      <c r="C702" s="16" t="inlineStr">
        <is>
          <t>Standard</t>
        </is>
      </c>
      <c r="D702" s="16" t="inlineStr">
        <is>
          <t>Functional</t>
        </is>
      </c>
      <c r="E702" s="16" t="inlineStr">
        <is>
          <t>Send standard header 'Range'</t>
        </is>
      </c>
      <c r="F702" s="16" t="inlineStr">
        <is>
          <t>Editor open.</t>
        </is>
      </c>
      <c r="G702" s="16" t="inlineStr">
        <is>
          <t>1. Headers add 'Range' with appropriate value.
2. Send to httpbin/headers.</t>
        </is>
      </c>
      <c r="H702" s="16" t="inlineStr">
        <is>
          <t>header=Range</t>
        </is>
      </c>
      <c r="I702" s="16" t="inlineStr">
        <is>
          <t>Header transmitted; server echo confirms; case preserved or normalized per HTTP spec.</t>
        </is>
      </c>
      <c r="J702" s="16" t="inlineStr"/>
      <c r="K702" s="16" t="inlineStr">
        <is>
          <t>Not Run</t>
        </is>
      </c>
      <c r="L702" s="16" t="inlineStr">
        <is>
          <t>Low</t>
        </is>
      </c>
      <c r="M702" s="16" t="inlineStr"/>
      <c r="N702" s="16" t="inlineStr"/>
      <c r="O702" s="16" t="inlineStr"/>
    </row>
    <row r="703" ht="72" customHeight="1">
      <c r="A703" s="16" t="inlineStr">
        <is>
          <t>TC-HD-0017</t>
        </is>
      </c>
      <c r="B703" s="16" t="inlineStr">
        <is>
          <t>Headers Deep Matrix</t>
        </is>
      </c>
      <c r="C703" s="16" t="inlineStr">
        <is>
          <t>Standard</t>
        </is>
      </c>
      <c r="D703" s="16" t="inlineStr">
        <is>
          <t>Functional</t>
        </is>
      </c>
      <c r="E703" s="16" t="inlineStr">
        <is>
          <t>Send standard header 'Connection'</t>
        </is>
      </c>
      <c r="F703" s="16" t="inlineStr">
        <is>
          <t>Editor open.</t>
        </is>
      </c>
      <c r="G703" s="16" t="inlineStr">
        <is>
          <t>1. Headers add 'Connection' with appropriate value.
2. Send to httpbin/headers.</t>
        </is>
      </c>
      <c r="H703" s="16" t="inlineStr">
        <is>
          <t>header=Connection</t>
        </is>
      </c>
      <c r="I703" s="16" t="inlineStr">
        <is>
          <t>Header transmitted; server echo confirms; case preserved or normalized per HTTP spec.</t>
        </is>
      </c>
      <c r="J703" s="16" t="inlineStr"/>
      <c r="K703" s="16" t="inlineStr">
        <is>
          <t>Not Run</t>
        </is>
      </c>
      <c r="L703" s="16" t="inlineStr">
        <is>
          <t>Low</t>
        </is>
      </c>
      <c r="M703" s="16" t="inlineStr"/>
      <c r="N703" s="16" t="inlineStr"/>
      <c r="O703" s="16" t="inlineStr"/>
    </row>
    <row r="704" ht="72" customHeight="1">
      <c r="A704" s="16" t="inlineStr">
        <is>
          <t>TC-HD-0018</t>
        </is>
      </c>
      <c r="B704" s="16" t="inlineStr">
        <is>
          <t>Headers Deep Matrix</t>
        </is>
      </c>
      <c r="C704" s="16" t="inlineStr">
        <is>
          <t>Case insensitivity</t>
        </is>
      </c>
      <c r="D704" s="16" t="inlineStr">
        <is>
          <t>Edge Case</t>
        </is>
      </c>
      <c r="E704" s="16" t="inlineStr">
        <is>
          <t>Header key case preserved/normalized</t>
        </is>
      </c>
      <c r="F704" s="16" t="inlineStr">
        <is>
          <t>-</t>
        </is>
      </c>
      <c r="G704" s="16" t="inlineStr">
        <is>
          <t>1. Add 'x-trace-id' and 'X-TRACE-ID' as separate rows.
2. Send.</t>
        </is>
      </c>
      <c r="H704" s="16" t="inlineStr">
        <is>
          <t>header edge case</t>
        </is>
      </c>
      <c r="I704" s="16" t="inlineStr">
        <is>
          <t>App handles per HTTP semantics; either merged (RFC 7230 sec 3.2) or both sent.</t>
        </is>
      </c>
      <c r="J704" s="16" t="inlineStr"/>
      <c r="K704" s="16" t="inlineStr">
        <is>
          <t>Not Run</t>
        </is>
      </c>
      <c r="L704" s="16" t="inlineStr">
        <is>
          <t>Medium</t>
        </is>
      </c>
      <c r="M704" s="16" t="inlineStr"/>
      <c r="N704" s="16" t="inlineStr"/>
      <c r="O704" s="16" t="inlineStr"/>
    </row>
    <row r="705" ht="72" customHeight="1">
      <c r="A705" s="16" t="inlineStr">
        <is>
          <t>TC-HD-0019</t>
        </is>
      </c>
      <c r="B705" s="16" t="inlineStr">
        <is>
          <t>Headers Deep Matrix</t>
        </is>
      </c>
      <c r="C705" s="16" t="inlineStr">
        <is>
          <t>Duplicate header keys</t>
        </is>
      </c>
      <c r="D705" s="16" t="inlineStr">
        <is>
          <t>Edge Case</t>
        </is>
      </c>
      <c r="E705" s="16" t="inlineStr">
        <is>
          <t>Same header twice</t>
        </is>
      </c>
      <c r="F705" s="16" t="inlineStr">
        <is>
          <t>-</t>
        </is>
      </c>
      <c r="G705" s="16" t="inlineStr">
        <is>
          <t>1. Add Accept: text/html and Accept: application/json.
2. Send.</t>
        </is>
      </c>
      <c r="H705" s="16" t="inlineStr">
        <is>
          <t>header edge case</t>
        </is>
      </c>
      <c r="I705" s="16" t="inlineStr">
        <is>
          <t>Both sent (combined with comma) or both rows transmitted; server-side semantics preserved.</t>
        </is>
      </c>
      <c r="J705" s="16" t="inlineStr"/>
      <c r="K705" s="16" t="inlineStr">
        <is>
          <t>Not Run</t>
        </is>
      </c>
      <c r="L705" s="16" t="inlineStr">
        <is>
          <t>Medium</t>
        </is>
      </c>
      <c r="M705" s="16" t="inlineStr"/>
      <c r="N705" s="16" t="inlineStr"/>
      <c r="O705" s="16" t="inlineStr"/>
    </row>
    <row r="706" ht="72" customHeight="1">
      <c r="A706" s="16" t="inlineStr">
        <is>
          <t>TC-HD-0020</t>
        </is>
      </c>
      <c r="B706" s="16" t="inlineStr">
        <is>
          <t>Headers Deep Matrix</t>
        </is>
      </c>
      <c r="C706" s="16" t="inlineStr">
        <is>
          <t>Empty value</t>
        </is>
      </c>
      <c r="D706" s="16" t="inlineStr">
        <is>
          <t>Edge Case</t>
        </is>
      </c>
      <c r="E706" s="16" t="inlineStr">
        <is>
          <t>Header with empty value</t>
        </is>
      </c>
      <c r="F706" s="16" t="inlineStr">
        <is>
          <t>-</t>
        </is>
      </c>
      <c r="G706" s="16" t="inlineStr">
        <is>
          <t>1. Add X-Empty=''.
2. Send.</t>
        </is>
      </c>
      <c r="H706" s="16" t="inlineStr">
        <is>
          <t>header edge case</t>
        </is>
      </c>
      <c r="I706" s="16" t="inlineStr">
        <is>
          <t>Either not sent or sent with empty value; consistent behavior.</t>
        </is>
      </c>
      <c r="J706" s="16" t="inlineStr"/>
      <c r="K706" s="16" t="inlineStr">
        <is>
          <t>Not Run</t>
        </is>
      </c>
      <c r="L706" s="16" t="inlineStr">
        <is>
          <t>Low</t>
        </is>
      </c>
      <c r="M706" s="16" t="inlineStr"/>
      <c r="N706" s="16" t="inlineStr"/>
      <c r="O706" s="16" t="inlineStr"/>
    </row>
    <row r="707" ht="72" customHeight="1">
      <c r="A707" s="16" t="inlineStr">
        <is>
          <t>TC-HD-0021</t>
        </is>
      </c>
      <c r="B707" s="16" t="inlineStr">
        <is>
          <t>Headers Deep Matrix</t>
        </is>
      </c>
      <c r="C707" s="16" t="inlineStr">
        <is>
          <t>Whitespace value</t>
        </is>
      </c>
      <c r="D707" s="16" t="inlineStr">
        <is>
          <t>Edge Case</t>
        </is>
      </c>
      <c r="E707" s="16" t="inlineStr">
        <is>
          <t>Header value trimmed</t>
        </is>
      </c>
      <c r="F707" s="16" t="inlineStr">
        <is>
          <t>-</t>
        </is>
      </c>
      <c r="G707" s="16" t="inlineStr">
        <is>
          <t>1. Add X-Foo='  bar  '.
2. Send.</t>
        </is>
      </c>
      <c r="H707" s="16" t="inlineStr">
        <is>
          <t>header edge case</t>
        </is>
      </c>
      <c r="I707" s="16" t="inlineStr">
        <is>
          <t>Trimmed to 'bar' or sent with spaces; consistent.</t>
        </is>
      </c>
      <c r="J707" s="16" t="inlineStr"/>
      <c r="K707" s="16" t="inlineStr">
        <is>
          <t>Not Run</t>
        </is>
      </c>
      <c r="L707" s="16" t="inlineStr">
        <is>
          <t>Low</t>
        </is>
      </c>
      <c r="M707" s="16" t="inlineStr"/>
      <c r="N707" s="16" t="inlineStr"/>
      <c r="O707" s="16" t="inlineStr"/>
    </row>
    <row r="708" ht="72" customHeight="1">
      <c r="A708" s="16" t="inlineStr">
        <is>
          <t>TC-HD-0022</t>
        </is>
      </c>
      <c r="B708" s="16" t="inlineStr">
        <is>
          <t>Headers Deep Matrix</t>
        </is>
      </c>
      <c r="C708" s="16" t="inlineStr">
        <is>
          <t>Newline in value (CRLF injection)</t>
        </is>
      </c>
      <c r="D708" s="16" t="inlineStr">
        <is>
          <t>Security</t>
        </is>
      </c>
      <c r="E708" s="16" t="inlineStr">
        <is>
          <t>Reject newline in header value</t>
        </is>
      </c>
      <c r="F708" s="16" t="inlineStr">
        <is>
          <t>-</t>
        </is>
      </c>
      <c r="G708" s="16" t="inlineStr">
        <is>
          <t>1. Try value 'a\r\nX-Injected: 1'.
2. Send.</t>
        </is>
      </c>
      <c r="H708" s="16" t="inlineStr">
        <is>
          <t>header edge case</t>
        </is>
      </c>
      <c r="I708" s="16" t="inlineStr">
        <is>
          <t>Newline stripped/escaped; injection prevented; toast warning may appear.</t>
        </is>
      </c>
      <c r="J708" s="16" t="inlineStr"/>
      <c r="K708" s="16" t="inlineStr">
        <is>
          <t>Not Run</t>
        </is>
      </c>
      <c r="L708" s="16" t="inlineStr">
        <is>
          <t>High</t>
        </is>
      </c>
      <c r="M708" s="16" t="inlineStr"/>
      <c r="N708" s="16" t="inlineStr"/>
      <c r="O708" s="16" t="inlineStr"/>
    </row>
    <row r="709" ht="72" customHeight="1">
      <c r="A709" s="16" t="inlineStr">
        <is>
          <t>TC-HD-0023</t>
        </is>
      </c>
      <c r="B709" s="16" t="inlineStr">
        <is>
          <t>Headers Deep Matrix</t>
        </is>
      </c>
      <c r="C709" s="16" t="inlineStr">
        <is>
          <t>Null byte in header</t>
        </is>
      </c>
      <c r="D709" s="16" t="inlineStr">
        <is>
          <t>Security</t>
        </is>
      </c>
      <c r="E709" s="16" t="inlineStr">
        <is>
          <t>Reject null byte</t>
        </is>
      </c>
      <c r="F709" s="16" t="inlineStr">
        <is>
          <t>-</t>
        </is>
      </c>
      <c r="G709" s="16" t="inlineStr">
        <is>
          <t>1. Value contains null byte.</t>
        </is>
      </c>
      <c r="H709" s="16" t="inlineStr">
        <is>
          <t>header edge case</t>
        </is>
      </c>
      <c r="I709" s="16" t="inlineStr">
        <is>
          <t>Rejected with clear error.</t>
        </is>
      </c>
      <c r="J709" s="16" t="inlineStr"/>
      <c r="K709" s="16" t="inlineStr">
        <is>
          <t>Not Run</t>
        </is>
      </c>
      <c r="L709" s="16" t="inlineStr">
        <is>
          <t>High</t>
        </is>
      </c>
      <c r="M709" s="16" t="inlineStr"/>
      <c r="N709" s="16" t="inlineStr"/>
      <c r="O709" s="16" t="inlineStr"/>
    </row>
    <row r="710" ht="72" customHeight="1">
      <c r="A710" s="16" t="inlineStr">
        <is>
          <t>TC-HD-0024</t>
        </is>
      </c>
      <c r="B710" s="16" t="inlineStr">
        <is>
          <t>Headers Deep Matrix</t>
        </is>
      </c>
      <c r="C710" s="16" t="inlineStr">
        <is>
          <t>Very long header value (8KB)</t>
        </is>
      </c>
      <c r="D710" s="16" t="inlineStr">
        <is>
          <t>Edge Case</t>
        </is>
      </c>
      <c r="E710" s="16" t="inlineStr">
        <is>
          <t>Long value sent</t>
        </is>
      </c>
      <c r="F710" s="16" t="inlineStr">
        <is>
          <t>-</t>
        </is>
      </c>
      <c r="G710" s="16" t="inlineStr">
        <is>
          <t>1. Add header with 8KB value.
2. Send.</t>
        </is>
      </c>
      <c r="H710" s="16" t="inlineStr">
        <is>
          <t>header edge case</t>
        </is>
      </c>
      <c r="I710" s="16" t="inlineStr">
        <is>
          <t>Either sent or rejected per server limit; clear behavior.</t>
        </is>
      </c>
      <c r="J710" s="16" t="inlineStr"/>
      <c r="K710" s="16" t="inlineStr">
        <is>
          <t>Not Run</t>
        </is>
      </c>
      <c r="L710" s="16" t="inlineStr">
        <is>
          <t>Low</t>
        </is>
      </c>
      <c r="M710" s="16" t="inlineStr"/>
      <c r="N710" s="16" t="inlineStr"/>
      <c r="O710" s="16" t="inlineStr"/>
    </row>
    <row r="711" ht="72" customHeight="1">
      <c r="A711" s="16" t="inlineStr">
        <is>
          <t>TC-HD-0025</t>
        </is>
      </c>
      <c r="B711" s="16" t="inlineStr">
        <is>
          <t>Headers Deep Matrix</t>
        </is>
      </c>
      <c r="C711" s="16" t="inlineStr">
        <is>
          <t>Header overrides auth-managed</t>
        </is>
      </c>
      <c r="D711" s="16" t="inlineStr">
        <is>
          <t>Edge Case</t>
        </is>
      </c>
      <c r="E711" s="16" t="inlineStr">
        <is>
          <t>User Authorization beats Auth tab</t>
        </is>
      </c>
      <c r="F711" s="16" t="inlineStr">
        <is>
          <t>-</t>
        </is>
      </c>
      <c r="G711" s="16" t="inlineStr">
        <is>
          <t>1. Auth tab Bearer abc.
2. Headers Authorization='Bearer xyz'.</t>
        </is>
      </c>
      <c r="H711" s="16" t="inlineStr">
        <is>
          <t>header edge case</t>
        </is>
      </c>
      <c r="I711" s="16" t="inlineStr">
        <is>
          <t>User-specified header wins; auth tab override flagged in UI.</t>
        </is>
      </c>
      <c r="J711" s="16" t="inlineStr"/>
      <c r="K711" s="16" t="inlineStr">
        <is>
          <t>Not Run</t>
        </is>
      </c>
      <c r="L711" s="16" t="inlineStr">
        <is>
          <t>Medium</t>
        </is>
      </c>
      <c r="M711" s="16" t="inlineStr"/>
      <c r="N711" s="16" t="inlineStr"/>
      <c r="O711" s="16" t="inlineStr"/>
    </row>
    <row r="712" ht="72" customHeight="1">
      <c r="A712" s="16" t="inlineStr">
        <is>
          <t>TC-HD-0026</t>
        </is>
      </c>
      <c r="B712" s="16" t="inlineStr">
        <is>
          <t>Headers Deep Matrix</t>
        </is>
      </c>
      <c r="C712" s="16" t="inlineStr">
        <is>
          <t>Header disabled</t>
        </is>
      </c>
      <c r="D712" s="16" t="inlineStr">
        <is>
          <t>Functional</t>
        </is>
      </c>
      <c r="E712" s="16" t="inlineStr">
        <is>
          <t>Toggle disable a header</t>
        </is>
      </c>
      <c r="F712" s="16" t="inlineStr">
        <is>
          <t>-</t>
        </is>
      </c>
      <c r="G712" s="16" t="inlineStr">
        <is>
          <t>1. Disable an enabled row.
2. Send.</t>
        </is>
      </c>
      <c r="H712" s="16" t="inlineStr">
        <is>
          <t>header edge case</t>
        </is>
      </c>
      <c r="I712" s="16" t="inlineStr">
        <is>
          <t>Header not transmitted; row greyed.</t>
        </is>
      </c>
      <c r="J712" s="16" t="inlineStr"/>
      <c r="K712" s="16" t="inlineStr">
        <is>
          <t>Not Run</t>
        </is>
      </c>
      <c r="L712" s="16" t="inlineStr">
        <is>
          <t>Medium</t>
        </is>
      </c>
      <c r="M712" s="16" t="inlineStr"/>
      <c r="N712" s="16" t="inlineStr"/>
      <c r="O712" s="16" t="inlineStr"/>
    </row>
    <row r="713" ht="72" customHeight="1">
      <c r="A713" s="16" t="inlineStr">
        <is>
          <t>TC-HD-0027</t>
        </is>
      </c>
      <c r="B713" s="16" t="inlineStr">
        <is>
          <t>Headers Deep Matrix</t>
        </is>
      </c>
      <c r="C713" s="16" t="inlineStr">
        <is>
          <t>Header autocomplete suggests</t>
        </is>
      </c>
      <c r="D713" s="16" t="inlineStr">
        <is>
          <t>UX/UI</t>
        </is>
      </c>
      <c r="E713" s="16" t="inlineStr">
        <is>
          <t>Autocomplete for standard names</t>
        </is>
      </c>
      <c r="F713" s="16" t="inlineStr">
        <is>
          <t>-</t>
        </is>
      </c>
      <c r="G713" s="16" t="inlineStr">
        <is>
          <t>1. Type 'cont' in key.</t>
        </is>
      </c>
      <c r="H713" s="16" t="inlineStr">
        <is>
          <t>header edge case</t>
        </is>
      </c>
      <c r="I713" s="16" t="inlineStr">
        <is>
          <t>Content-Type/Content-Length/Content-Encoding suggested.</t>
        </is>
      </c>
      <c r="J713" s="16" t="inlineStr"/>
      <c r="K713" s="16" t="inlineStr">
        <is>
          <t>Not Run</t>
        </is>
      </c>
      <c r="L713" s="16" t="inlineStr">
        <is>
          <t>Low</t>
        </is>
      </c>
      <c r="M713" s="16" t="inlineStr"/>
      <c r="N713" s="16" t="inlineStr"/>
      <c r="O713" s="16" t="inlineStr"/>
    </row>
    <row r="714" ht="72" customHeight="1">
      <c r="A714" s="16" t="inlineStr">
        <is>
          <t>TC-HD-0028</t>
        </is>
      </c>
      <c r="B714" s="16" t="inlineStr">
        <is>
          <t>Headers Deep Matrix</t>
        </is>
      </c>
      <c r="C714" s="16" t="inlineStr">
        <is>
          <t>Content-Length auto-computed for body</t>
        </is>
      </c>
      <c r="D714" s="16" t="inlineStr">
        <is>
          <t>Functional</t>
        </is>
      </c>
      <c r="E714" s="16" t="inlineStr">
        <is>
          <t>Body present sets Content-Length</t>
        </is>
      </c>
      <c r="F714" s="16" t="inlineStr">
        <is>
          <t>-</t>
        </is>
      </c>
      <c r="G714" s="16" t="inlineStr">
        <is>
          <t>1. POST raw JSON; do not set Content-Length manually.</t>
        </is>
      </c>
      <c r="H714" s="16" t="inlineStr">
        <is>
          <t>header edge case</t>
        </is>
      </c>
      <c r="I714" s="16" t="inlineStr">
        <is>
          <t>Outgoing request has Content-Length = body bytes.</t>
        </is>
      </c>
      <c r="J714" s="16" t="inlineStr"/>
      <c r="K714" s="16" t="inlineStr">
        <is>
          <t>Not Run</t>
        </is>
      </c>
      <c r="L714" s="16" t="inlineStr">
        <is>
          <t>Medium</t>
        </is>
      </c>
      <c r="M714" s="16" t="inlineStr"/>
      <c r="N714" s="16" t="inlineStr"/>
      <c r="O714" s="16" t="inlineStr"/>
    </row>
    <row r="715" ht="72" customHeight="1">
      <c r="A715" s="16" t="inlineStr">
        <is>
          <t>TC-HD-0029</t>
        </is>
      </c>
      <c r="B715" s="16" t="inlineStr">
        <is>
          <t>Headers Deep Matrix</t>
        </is>
      </c>
      <c r="C715" s="16" t="inlineStr">
        <is>
          <t>Content-Type from body type</t>
        </is>
      </c>
      <c r="D715" s="16" t="inlineStr">
        <is>
          <t>Functional</t>
        </is>
      </c>
      <c r="E715" s="16" t="inlineStr">
        <is>
          <t>Body type sets Content-Type</t>
        </is>
      </c>
      <c r="F715" s="16" t="inlineStr">
        <is>
          <t>-</t>
        </is>
      </c>
      <c r="G715" s="16" t="inlineStr">
        <is>
          <t>1. Body form-data; do not set Content-Type.</t>
        </is>
      </c>
      <c r="H715" s="16" t="inlineStr">
        <is>
          <t>header edge case</t>
        </is>
      </c>
      <c r="I715" s="16" t="inlineStr">
        <is>
          <t>multipart/form-data; boundary=... set automatically.</t>
        </is>
      </c>
      <c r="J715" s="16" t="inlineStr"/>
      <c r="K715" s="16" t="inlineStr">
        <is>
          <t>Not Run</t>
        </is>
      </c>
      <c r="L715" s="16" t="inlineStr">
        <is>
          <t>High</t>
        </is>
      </c>
      <c r="M715" s="16" t="inlineStr"/>
      <c r="N715" s="16" t="inlineStr"/>
      <c r="O715" s="16" t="inlineStr"/>
    </row>
    <row r="716" ht="72" customHeight="1">
      <c r="A716" s="16" t="inlineStr">
        <is>
          <t>TC-HD-0030</t>
        </is>
      </c>
      <c r="B716" s="16" t="inlineStr">
        <is>
          <t>Headers Deep Matrix</t>
        </is>
      </c>
      <c r="C716" s="16" t="inlineStr">
        <is>
          <t>User-set Content-Type overrides</t>
        </is>
      </c>
      <c r="D716" s="16" t="inlineStr">
        <is>
          <t>Functional</t>
        </is>
      </c>
      <c r="E716" s="16" t="inlineStr">
        <is>
          <t>Manual Content-Type wins</t>
        </is>
      </c>
      <c r="F716" s="16" t="inlineStr">
        <is>
          <t>-</t>
        </is>
      </c>
      <c r="G716" s="16" t="inlineStr">
        <is>
          <t>1. Body form-data + manual Content-Type: text/plain.</t>
        </is>
      </c>
      <c r="H716" s="16" t="inlineStr">
        <is>
          <t>header edge case</t>
        </is>
      </c>
      <c r="I716" s="16" t="inlineStr">
        <is>
          <t>User header wins (rare and dangerous); UI warns about mismatch.</t>
        </is>
      </c>
      <c r="J716" s="16" t="inlineStr"/>
      <c r="K716" s="16" t="inlineStr">
        <is>
          <t>Not Run</t>
        </is>
      </c>
      <c r="L716" s="16" t="inlineStr">
        <is>
          <t>Medium</t>
        </is>
      </c>
      <c r="M716" s="16" t="inlineStr"/>
      <c r="N716" s="16" t="inlineStr"/>
      <c r="O716" s="16" t="inlineStr"/>
    </row>
    <row r="717" ht="72" customHeight="1">
      <c r="A717" s="16" t="inlineStr">
        <is>
          <t>TC-HD-0031</t>
        </is>
      </c>
      <c r="B717" s="16" t="inlineStr">
        <is>
          <t>Headers Deep Matrix</t>
        </is>
      </c>
      <c r="C717" s="16" t="inlineStr">
        <is>
          <t>Cookie header from jar vs manual</t>
        </is>
      </c>
      <c r="D717" s="16" t="inlineStr">
        <is>
          <t>Edge Case</t>
        </is>
      </c>
      <c r="E717" s="16" t="inlineStr">
        <is>
          <t>Manual Cookie beats jar</t>
        </is>
      </c>
      <c r="F717" s="16" t="inlineStr">
        <is>
          <t>-</t>
        </is>
      </c>
      <c r="G717" s="16" t="inlineStr">
        <is>
          <t>1. Jar has session=abc.
2. Manually set Cookie=session=xyz.</t>
        </is>
      </c>
      <c r="H717" s="16" t="inlineStr">
        <is>
          <t>header edge case</t>
        </is>
      </c>
      <c r="I717" s="16" t="inlineStr">
        <is>
          <t>Manual wins; jar value not appended.</t>
        </is>
      </c>
      <c r="J717" s="16" t="inlineStr"/>
      <c r="K717" s="16" t="inlineStr">
        <is>
          <t>Not Run</t>
        </is>
      </c>
      <c r="L717" s="16" t="inlineStr">
        <is>
          <t>Medium</t>
        </is>
      </c>
      <c r="M717" s="16" t="inlineStr"/>
      <c r="N717" s="16" t="inlineStr"/>
      <c r="O717" s="16" t="inlineStr"/>
    </row>
    <row r="718" ht="72" customHeight="1">
      <c r="A718" s="16" t="inlineStr">
        <is>
          <t>TC-HD-0032</t>
        </is>
      </c>
      <c r="B718" s="16" t="inlineStr">
        <is>
          <t>Headers Deep Matrix</t>
        </is>
      </c>
      <c r="C718" s="16" t="inlineStr">
        <is>
          <t>Header value with non-ASCII</t>
        </is>
      </c>
      <c r="D718" s="16" t="inlineStr">
        <is>
          <t>Edge Case</t>
        </is>
      </c>
      <c r="E718" s="16" t="inlineStr">
        <is>
          <t>Non-ASCII header value</t>
        </is>
      </c>
      <c r="F718" s="16" t="inlineStr">
        <is>
          <t>-</t>
        </is>
      </c>
      <c r="G718" s="16" t="inlineStr">
        <is>
          <t>1. Add X-User='测试'.
2. Send.</t>
        </is>
      </c>
      <c r="H718" s="16" t="inlineStr">
        <is>
          <t>header edge case</t>
        </is>
      </c>
      <c r="I718" s="16" t="inlineStr">
        <is>
          <t>Encoded per RFC 5987 or sent literally (server-dependent).</t>
        </is>
      </c>
      <c r="J718" s="16" t="inlineStr"/>
      <c r="K718" s="16" t="inlineStr">
        <is>
          <t>Not Run</t>
        </is>
      </c>
      <c r="L718" s="16" t="inlineStr">
        <is>
          <t>Low</t>
        </is>
      </c>
      <c r="M718" s="16" t="inlineStr"/>
      <c r="N718" s="16" t="inlineStr"/>
      <c r="O718" s="16" t="inlineStr"/>
    </row>
    <row r="719" ht="72" customHeight="1">
      <c r="A719" s="16" t="inlineStr">
        <is>
          <t>TC-HD-0033</t>
        </is>
      </c>
      <c r="B719" s="16" t="inlineStr">
        <is>
          <t>Headers Deep Matrix</t>
        </is>
      </c>
      <c r="C719" s="16" t="inlineStr">
        <is>
          <t>Header name with non-ASCII</t>
        </is>
      </c>
      <c r="D719" s="16" t="inlineStr">
        <is>
          <t>Negative</t>
        </is>
      </c>
      <c r="E719" s="16" t="inlineStr">
        <is>
          <t>Reject non-ASCII header name</t>
        </is>
      </c>
      <c r="F719" s="16" t="inlineStr">
        <is>
          <t>-</t>
        </is>
      </c>
      <c r="G719" s="16" t="inlineStr">
        <is>
          <t>1. Try '测试: 1'.</t>
        </is>
      </c>
      <c r="H719" s="16" t="inlineStr">
        <is>
          <t>header edge case</t>
        </is>
      </c>
      <c r="I719" s="16" t="inlineStr">
        <is>
          <t>Rejected; HTTP requires token-set name.</t>
        </is>
      </c>
      <c r="J719" s="16" t="inlineStr"/>
      <c r="K719" s="16" t="inlineStr">
        <is>
          <t>Not Run</t>
        </is>
      </c>
      <c r="L719" s="16" t="inlineStr">
        <is>
          <t>Low</t>
        </is>
      </c>
      <c r="M719" s="16" t="inlineStr"/>
      <c r="N719" s="16" t="inlineStr"/>
      <c r="O719" s="16" t="inlineStr"/>
    </row>
    <row r="720" ht="72" customHeight="1">
      <c r="A720" s="16" t="inlineStr">
        <is>
          <t>TC-HD-0034</t>
        </is>
      </c>
      <c r="B720" s="16" t="inlineStr">
        <is>
          <t>Headers Deep Matrix</t>
        </is>
      </c>
      <c r="C720" s="16" t="inlineStr">
        <is>
          <t>Header name with space</t>
        </is>
      </c>
      <c r="D720" s="16" t="inlineStr">
        <is>
          <t>Negative</t>
        </is>
      </c>
      <c r="E720" s="16" t="inlineStr">
        <is>
          <t>Reject space in header name</t>
        </is>
      </c>
      <c r="F720" s="16" t="inlineStr">
        <is>
          <t>-</t>
        </is>
      </c>
      <c r="G720" s="16" t="inlineStr">
        <is>
          <t>1. Try 'X Trace: 1'.</t>
        </is>
      </c>
      <c r="H720" s="16" t="inlineStr">
        <is>
          <t>header edge case</t>
        </is>
      </c>
      <c r="I720" s="16" t="inlineStr">
        <is>
          <t>Rejected; not a valid token.</t>
        </is>
      </c>
      <c r="J720" s="16" t="inlineStr"/>
      <c r="K720" s="16" t="inlineStr">
        <is>
          <t>Not Run</t>
        </is>
      </c>
      <c r="L720" s="16" t="inlineStr">
        <is>
          <t>Low</t>
        </is>
      </c>
      <c r="M720" s="16" t="inlineStr"/>
      <c r="N720" s="16" t="inlineStr"/>
      <c r="O720" s="16" t="inlineStr"/>
    </row>
    <row r="721" ht="72" customHeight="1">
      <c r="A721" s="16" t="inlineStr">
        <is>
          <t>TC-HD-0035</t>
        </is>
      </c>
      <c r="B721" s="16" t="inlineStr">
        <is>
          <t>Headers Deep Matrix</t>
        </is>
      </c>
      <c r="C721" s="16" t="inlineStr">
        <is>
          <t>Header value with semicolon</t>
        </is>
      </c>
      <c r="D721" s="16" t="inlineStr">
        <is>
          <t>Edge Case</t>
        </is>
      </c>
      <c r="E721" s="16" t="inlineStr">
        <is>
          <t>Multi-part value preserved</t>
        </is>
      </c>
      <c r="F721" s="16" t="inlineStr">
        <is>
          <t>-</t>
        </is>
      </c>
      <c r="G721" s="16" t="inlineStr">
        <is>
          <t>1. Cache-Control='no-cache, no-store, max-age=0'.</t>
        </is>
      </c>
      <c r="H721" s="16" t="inlineStr">
        <is>
          <t>header edge case</t>
        </is>
      </c>
      <c r="I721" s="16" t="inlineStr">
        <is>
          <t>Sent verbatim.</t>
        </is>
      </c>
      <c r="J721" s="16" t="inlineStr"/>
      <c r="K721" s="16" t="inlineStr">
        <is>
          <t>Not Run</t>
        </is>
      </c>
      <c r="L721" s="16" t="inlineStr">
        <is>
          <t>Low</t>
        </is>
      </c>
      <c r="M721" s="16" t="inlineStr"/>
      <c r="N721" s="16" t="inlineStr"/>
      <c r="O721" s="16" t="inlineStr"/>
    </row>
    <row r="722" ht="72" customHeight="1">
      <c r="A722" s="16" t="inlineStr">
        <is>
          <t>TC-HD-0036</t>
        </is>
      </c>
      <c r="B722" s="16" t="inlineStr">
        <is>
          <t>Headers Deep Matrix</t>
        </is>
      </c>
      <c r="C722" s="16" t="inlineStr">
        <is>
          <t>Header order preserved</t>
        </is>
      </c>
      <c r="D722" s="16" t="inlineStr">
        <is>
          <t>Edge Case</t>
        </is>
      </c>
      <c r="E722" s="16" t="inlineStr">
        <is>
          <t>Editor order = wire order</t>
        </is>
      </c>
      <c r="F722" s="16" t="inlineStr">
        <is>
          <t>-</t>
        </is>
      </c>
      <c r="G722" s="16" t="inlineStr">
        <is>
          <t>1. Add headers A, B, C.
2. Send.</t>
        </is>
      </c>
      <c r="H722" s="16" t="inlineStr">
        <is>
          <t>header edge case</t>
        </is>
      </c>
      <c r="I722" s="16" t="inlineStr">
        <is>
          <t>Wire order matches editor (per HTTP 7230 5.3).</t>
        </is>
      </c>
      <c r="J722" s="16" t="inlineStr"/>
      <c r="K722" s="16" t="inlineStr">
        <is>
          <t>Not Run</t>
        </is>
      </c>
      <c r="L722" s="16" t="inlineStr">
        <is>
          <t>Low</t>
        </is>
      </c>
      <c r="M722" s="16" t="inlineStr"/>
      <c r="N722" s="16" t="inlineStr"/>
      <c r="O722" s="16" t="inlineStr"/>
    </row>
    <row r="723" ht="72" customHeight="1">
      <c r="A723" s="16" t="inlineStr">
        <is>
          <t>TC-HD-0037</t>
        </is>
      </c>
      <c r="B723" s="16" t="inlineStr">
        <is>
          <t>Headers Deep Matrix</t>
        </is>
      </c>
      <c r="C723" s="16" t="inlineStr">
        <is>
          <t>Variable in header value</t>
        </is>
      </c>
      <c r="D723" s="16" t="inlineStr">
        <is>
          <t>Functional</t>
        </is>
      </c>
      <c r="E723" s="16" t="inlineStr">
        <is>
          <t>Var interpolation</t>
        </is>
      </c>
      <c r="F723" s="16" t="inlineStr">
        <is>
          <t>-</t>
        </is>
      </c>
      <c r="G723" s="16" t="inlineStr">
        <is>
          <t>1. Header 'X-API: {{key}}'.</t>
        </is>
      </c>
      <c r="H723" s="16" t="inlineStr">
        <is>
          <t>header edge case</t>
        </is>
      </c>
      <c r="I723" s="16" t="inlineStr">
        <is>
          <t>Resolved value sent.</t>
        </is>
      </c>
      <c r="J723" s="16" t="inlineStr"/>
      <c r="K723" s="16" t="inlineStr">
        <is>
          <t>Not Run</t>
        </is>
      </c>
      <c r="L723" s="16" t="inlineStr">
        <is>
          <t>Medium</t>
        </is>
      </c>
      <c r="M723" s="16" t="inlineStr"/>
      <c r="N723" s="16" t="inlineStr"/>
      <c r="O723" s="16" t="inlineStr"/>
    </row>
    <row r="724" ht="72" customHeight="1">
      <c r="A724" s="16" t="inlineStr">
        <is>
          <t>TC-HD-0038</t>
        </is>
      </c>
      <c r="B724" s="16" t="inlineStr">
        <is>
          <t>Headers Deep Matrix</t>
        </is>
      </c>
      <c r="C724" s="16" t="inlineStr">
        <is>
          <t>Variable in header key</t>
        </is>
      </c>
      <c r="D724" s="16" t="inlineStr">
        <is>
          <t>Edge Case</t>
        </is>
      </c>
      <c r="E724" s="16" t="inlineStr">
        <is>
          <t>Var as header name</t>
        </is>
      </c>
      <c r="F724" s="16" t="inlineStr">
        <is>
          <t>-</t>
        </is>
      </c>
      <c r="G724" s="16" t="inlineStr">
        <is>
          <t>1. Header '{{hk}}: v'.</t>
        </is>
      </c>
      <c r="H724" s="16" t="inlineStr">
        <is>
          <t>header edge case</t>
        </is>
      </c>
      <c r="I724" s="16" t="inlineStr">
        <is>
          <t>Resolves; rejected if resulting name invalid.</t>
        </is>
      </c>
      <c r="J724" s="16" t="inlineStr"/>
      <c r="K724" s="16" t="inlineStr">
        <is>
          <t>Not Run</t>
        </is>
      </c>
      <c r="L724" s="16" t="inlineStr">
        <is>
          <t>Low</t>
        </is>
      </c>
      <c r="M724" s="16" t="inlineStr"/>
      <c r="N724" s="16" t="inlineStr"/>
      <c r="O724" s="16" t="inlineStr"/>
    </row>
    <row r="725" ht="72" customHeight="1">
      <c r="A725" s="16" t="inlineStr">
        <is>
          <t>TC-CP-0001</t>
        </is>
      </c>
      <c r="B725" s="16" t="inlineStr">
        <is>
          <t>Changes-to-Push View</t>
        </is>
      </c>
      <c r="C725" s="16" t="inlineStr">
        <is>
          <t>Request</t>
        </is>
      </c>
      <c r="D725" s="16" t="inlineStr">
        <is>
          <t>Functional</t>
        </is>
      </c>
      <c r="E725" s="16" t="inlineStr">
        <is>
          <t>Change-to-Push: Added a Request</t>
        </is>
      </c>
      <c r="F725" s="16" t="inlineStr">
        <is>
          <t>Linked workspace; clean state.</t>
        </is>
      </c>
      <c r="G725" s="16" t="inlineStr">
        <is>
          <t>1. Create a new Request.
2. Open Workspace panel.
3. Inspect Unpushed changes strip and modal.</t>
        </is>
      </c>
      <c r="H725" s="16" t="inlineStr">
        <is>
          <t>bucket=request; op=Added</t>
        </is>
      </c>
      <c r="I725" s="16" t="inlineStr">
        <is>
          <t>Strip count reflects the change (+N added / ~M modified / -K removed); modal lists a row with badge 'added' and the correct label. Pushing clears it.</t>
        </is>
      </c>
      <c r="J725" s="16" t="inlineStr"/>
      <c r="K725" s="16" t="inlineStr">
        <is>
          <t>Not Run</t>
        </is>
      </c>
      <c r="L725" s="16" t="inlineStr">
        <is>
          <t>High</t>
        </is>
      </c>
      <c r="M725" s="16" t="inlineStr"/>
      <c r="N725" s="16" t="inlineStr"/>
      <c r="O725" s="16" t="inlineStr"/>
    </row>
    <row r="726" ht="72" customHeight="1">
      <c r="A726" s="16" t="inlineStr">
        <is>
          <t>TC-CP-0002</t>
        </is>
      </c>
      <c r="B726" s="16" t="inlineStr">
        <is>
          <t>Changes-to-Push View</t>
        </is>
      </c>
      <c r="C726" s="16" t="inlineStr">
        <is>
          <t>Request</t>
        </is>
      </c>
      <c r="D726" s="16" t="inlineStr">
        <is>
          <t>Functional</t>
        </is>
      </c>
      <c r="E726" s="16" t="inlineStr">
        <is>
          <t>Change-to-Push: Modify Request field 'name'</t>
        </is>
      </c>
      <c r="F726" s="16" t="inlineStr">
        <is>
          <t>Linked workspace; clean state.</t>
        </is>
      </c>
      <c r="G726" s="16" t="inlineStr">
        <is>
          <t>1. Open the Request.
2. Change 'name' to a different value.
3. Open Workspace panel -&gt; Unpushed changes strip / modal.</t>
        </is>
      </c>
      <c r="H726" s="16" t="inlineStr">
        <is>
          <t>bucket=request; op=modify name</t>
        </is>
      </c>
      <c r="I726" s="16" t="inlineStr">
        <is>
          <t>Strip count increments (~M modified); modal lists row with badge 'modified', label = Request display name; expanding row shows before/after diff focused on 'name'. Push then clears the row from the list.</t>
        </is>
      </c>
      <c r="J726" s="16" t="inlineStr"/>
      <c r="K726" s="16" t="inlineStr">
        <is>
          <t>Not Run</t>
        </is>
      </c>
      <c r="L726" s="16" t="inlineStr">
        <is>
          <t>High</t>
        </is>
      </c>
      <c r="M726" s="16" t="inlineStr"/>
      <c r="N726" s="16" t="inlineStr"/>
      <c r="O726" s="16" t="inlineStr"/>
    </row>
    <row r="727" ht="72" customHeight="1">
      <c r="A727" s="16" t="inlineStr">
        <is>
          <t>TC-CP-0003</t>
        </is>
      </c>
      <c r="B727" s="16" t="inlineStr">
        <is>
          <t>Changes-to-Push View</t>
        </is>
      </c>
      <c r="C727" s="16" t="inlineStr">
        <is>
          <t>Request</t>
        </is>
      </c>
      <c r="D727" s="16" t="inlineStr">
        <is>
          <t>Functional</t>
        </is>
      </c>
      <c r="E727" s="16" t="inlineStr">
        <is>
          <t>Change-to-Push: Modify Request field 'method'</t>
        </is>
      </c>
      <c r="F727" s="16" t="inlineStr">
        <is>
          <t>Linked workspace; clean state.</t>
        </is>
      </c>
      <c r="G727" s="16" t="inlineStr">
        <is>
          <t>1. Open the Request.
2. Change 'method' to a different value.
3. Open Workspace panel -&gt; Unpushed changes strip / modal.</t>
        </is>
      </c>
      <c r="H727" s="16" t="inlineStr">
        <is>
          <t>bucket=request; op=modify method</t>
        </is>
      </c>
      <c r="I727" s="16" t="inlineStr">
        <is>
          <t>Strip count increments (~M modified); modal lists row with badge 'modified', label = Request display name; expanding row shows before/after diff focused on 'method'. Push then clears the row from the list.</t>
        </is>
      </c>
      <c r="J727" s="16" t="inlineStr"/>
      <c r="K727" s="16" t="inlineStr">
        <is>
          <t>Not Run</t>
        </is>
      </c>
      <c r="L727" s="16" t="inlineStr">
        <is>
          <t>High</t>
        </is>
      </c>
      <c r="M727" s="16" t="inlineStr"/>
      <c r="N727" s="16" t="inlineStr"/>
      <c r="O727" s="16" t="inlineStr"/>
    </row>
    <row r="728" ht="72" customHeight="1">
      <c r="A728" s="16" t="inlineStr">
        <is>
          <t>TC-CP-0004</t>
        </is>
      </c>
      <c r="B728" s="16" t="inlineStr">
        <is>
          <t>Changes-to-Push View</t>
        </is>
      </c>
      <c r="C728" s="16" t="inlineStr">
        <is>
          <t>Request</t>
        </is>
      </c>
      <c r="D728" s="16" t="inlineStr">
        <is>
          <t>Functional</t>
        </is>
      </c>
      <c r="E728" s="16" t="inlineStr">
        <is>
          <t>Change-to-Push: Modify Request field 'url'</t>
        </is>
      </c>
      <c r="F728" s="16" t="inlineStr">
        <is>
          <t>Linked workspace; clean state.</t>
        </is>
      </c>
      <c r="G728" s="16" t="inlineStr">
        <is>
          <t>1. Open the Request.
2. Change 'url' to a different value.
3. Open Workspace panel -&gt; Unpushed changes strip / modal.</t>
        </is>
      </c>
      <c r="H728" s="16" t="inlineStr">
        <is>
          <t>bucket=request; op=modify url</t>
        </is>
      </c>
      <c r="I728" s="16" t="inlineStr">
        <is>
          <t>Strip count increments (~M modified); modal lists row with badge 'modified', label = Request display name; expanding row shows before/after diff focused on 'url'. Push then clears the row from the list.</t>
        </is>
      </c>
      <c r="J728" s="16" t="inlineStr"/>
      <c r="K728" s="16" t="inlineStr">
        <is>
          <t>Not Run</t>
        </is>
      </c>
      <c r="L728" s="16" t="inlineStr">
        <is>
          <t>High</t>
        </is>
      </c>
      <c r="M728" s="16" t="inlineStr"/>
      <c r="N728" s="16" t="inlineStr"/>
      <c r="O728" s="16" t="inlineStr"/>
    </row>
    <row r="729" ht="72" customHeight="1">
      <c r="A729" s="16" t="inlineStr">
        <is>
          <t>TC-CP-0005</t>
        </is>
      </c>
      <c r="B729" s="16" t="inlineStr">
        <is>
          <t>Changes-to-Push View</t>
        </is>
      </c>
      <c r="C729" s="16" t="inlineStr">
        <is>
          <t>Request</t>
        </is>
      </c>
      <c r="D729" s="16" t="inlineStr">
        <is>
          <t>Functional</t>
        </is>
      </c>
      <c r="E729" s="16" t="inlineStr">
        <is>
          <t>Change-to-Push: Modify Request field 'headers'</t>
        </is>
      </c>
      <c r="F729" s="16" t="inlineStr">
        <is>
          <t>Linked workspace; clean state.</t>
        </is>
      </c>
      <c r="G729" s="16" t="inlineStr">
        <is>
          <t>1. Open the Request.
2. Change 'headers' to a different value.
3. Open Workspace panel -&gt; Unpushed changes strip / modal.</t>
        </is>
      </c>
      <c r="H729" s="16" t="inlineStr">
        <is>
          <t>bucket=request; op=modify headers</t>
        </is>
      </c>
      <c r="I729" s="16" t="inlineStr">
        <is>
          <t>Strip count increments (~M modified); modal lists row with badge 'modified', label = Request display name; expanding row shows before/after diff focused on 'headers'. Push then clears the row from the list.</t>
        </is>
      </c>
      <c r="J729" s="16" t="inlineStr"/>
      <c r="K729" s="16" t="inlineStr">
        <is>
          <t>Not Run</t>
        </is>
      </c>
      <c r="L729" s="16" t="inlineStr">
        <is>
          <t>High</t>
        </is>
      </c>
      <c r="M729" s="16" t="inlineStr"/>
      <c r="N729" s="16" t="inlineStr"/>
      <c r="O729" s="16" t="inlineStr"/>
    </row>
    <row r="730" ht="72" customHeight="1">
      <c r="A730" s="16" t="inlineStr">
        <is>
          <t>TC-CP-0006</t>
        </is>
      </c>
      <c r="B730" s="16" t="inlineStr">
        <is>
          <t>Changes-to-Push View</t>
        </is>
      </c>
      <c r="C730" s="16" t="inlineStr">
        <is>
          <t>Request</t>
        </is>
      </c>
      <c r="D730" s="16" t="inlineStr">
        <is>
          <t>Functional</t>
        </is>
      </c>
      <c r="E730" s="16" t="inlineStr">
        <is>
          <t>Change-to-Push: Modify Request field 'params'</t>
        </is>
      </c>
      <c r="F730" s="16" t="inlineStr">
        <is>
          <t>Linked workspace; clean state.</t>
        </is>
      </c>
      <c r="G730" s="16" t="inlineStr">
        <is>
          <t>1. Open the Request.
2. Change 'params' to a different value.
3. Open Workspace panel -&gt; Unpushed changes strip / modal.</t>
        </is>
      </c>
      <c r="H730" s="16" t="inlineStr">
        <is>
          <t>bucket=request; op=modify params</t>
        </is>
      </c>
      <c r="I730" s="16" t="inlineStr">
        <is>
          <t>Strip count increments (~M modified); modal lists row with badge 'modified', label = Request display name; expanding row shows before/after diff focused on 'params'. Push then clears the row from the list.</t>
        </is>
      </c>
      <c r="J730" s="16" t="inlineStr"/>
      <c r="K730" s="16" t="inlineStr">
        <is>
          <t>Not Run</t>
        </is>
      </c>
      <c r="L730" s="16" t="inlineStr">
        <is>
          <t>High</t>
        </is>
      </c>
      <c r="M730" s="16" t="inlineStr"/>
      <c r="N730" s="16" t="inlineStr"/>
      <c r="O730" s="16" t="inlineStr"/>
    </row>
    <row r="731" ht="72" customHeight="1">
      <c r="A731" s="16" t="inlineStr">
        <is>
          <t>TC-CP-0007</t>
        </is>
      </c>
      <c r="B731" s="16" t="inlineStr">
        <is>
          <t>Changes-to-Push View</t>
        </is>
      </c>
      <c r="C731" s="16" t="inlineStr">
        <is>
          <t>Request</t>
        </is>
      </c>
      <c r="D731" s="16" t="inlineStr">
        <is>
          <t>Functional</t>
        </is>
      </c>
      <c r="E731" s="16" t="inlineStr">
        <is>
          <t>Change-to-Push: Modify Request field 'body'</t>
        </is>
      </c>
      <c r="F731" s="16" t="inlineStr">
        <is>
          <t>Linked workspace; clean state.</t>
        </is>
      </c>
      <c r="G731" s="16" t="inlineStr">
        <is>
          <t>1. Open the Request.
2. Change 'body' to a different value.
3. Open Workspace panel -&gt; Unpushed changes strip / modal.</t>
        </is>
      </c>
      <c r="H731" s="16" t="inlineStr">
        <is>
          <t>bucket=request; op=modify body</t>
        </is>
      </c>
      <c r="I731" s="16" t="inlineStr">
        <is>
          <t>Strip count increments (~M modified); modal lists row with badge 'modified', label = Request display name; expanding row shows before/after diff focused on 'body'. Push then clears the row from the list.</t>
        </is>
      </c>
      <c r="J731" s="16" t="inlineStr"/>
      <c r="K731" s="16" t="inlineStr">
        <is>
          <t>Not Run</t>
        </is>
      </c>
      <c r="L731" s="16" t="inlineStr">
        <is>
          <t>High</t>
        </is>
      </c>
      <c r="M731" s="16" t="inlineStr"/>
      <c r="N731" s="16" t="inlineStr"/>
      <c r="O731" s="16" t="inlineStr"/>
    </row>
    <row r="732" ht="72" customHeight="1">
      <c r="A732" s="16" t="inlineStr">
        <is>
          <t>TC-CP-0008</t>
        </is>
      </c>
      <c r="B732" s="16" t="inlineStr">
        <is>
          <t>Changes-to-Push View</t>
        </is>
      </c>
      <c r="C732" s="16" t="inlineStr">
        <is>
          <t>Request</t>
        </is>
      </c>
      <c r="D732" s="16" t="inlineStr">
        <is>
          <t>Functional</t>
        </is>
      </c>
      <c r="E732" s="16" t="inlineStr">
        <is>
          <t>Change-to-Push: Modify Request field 'auth'</t>
        </is>
      </c>
      <c r="F732" s="16" t="inlineStr">
        <is>
          <t>Linked workspace; clean state.</t>
        </is>
      </c>
      <c r="G732" s="16" t="inlineStr">
        <is>
          <t>1. Open the Request.
2. Change 'auth' to a different value.
3. Open Workspace panel -&gt; Unpushed changes strip / modal.</t>
        </is>
      </c>
      <c r="H732" s="16" t="inlineStr">
        <is>
          <t>bucket=request; op=modify auth</t>
        </is>
      </c>
      <c r="I732" s="16" t="inlineStr">
        <is>
          <t>Strip count increments (~M modified); modal lists row with badge 'modified', label = Request display name; expanding row shows before/after diff focused on 'auth'. Push then clears the row from the list.</t>
        </is>
      </c>
      <c r="J732" s="16" t="inlineStr"/>
      <c r="K732" s="16" t="inlineStr">
        <is>
          <t>Not Run</t>
        </is>
      </c>
      <c r="L732" s="16" t="inlineStr">
        <is>
          <t>High</t>
        </is>
      </c>
      <c r="M732" s="16" t="inlineStr"/>
      <c r="N732" s="16" t="inlineStr"/>
      <c r="O732" s="16" t="inlineStr"/>
    </row>
    <row r="733" ht="72" customHeight="1">
      <c r="A733" s="16" t="inlineStr">
        <is>
          <t>TC-CP-0009</t>
        </is>
      </c>
      <c r="B733" s="16" t="inlineStr">
        <is>
          <t>Changes-to-Push View</t>
        </is>
      </c>
      <c r="C733" s="16" t="inlineStr">
        <is>
          <t>Request</t>
        </is>
      </c>
      <c r="D733" s="16" t="inlineStr">
        <is>
          <t>Functional</t>
        </is>
      </c>
      <c r="E733" s="16" t="inlineStr">
        <is>
          <t>Change-to-Push: Modify Request field 'preRequestScript'</t>
        </is>
      </c>
      <c r="F733" s="16" t="inlineStr">
        <is>
          <t>Linked workspace; clean state.</t>
        </is>
      </c>
      <c r="G733" s="16" t="inlineStr">
        <is>
          <t>1. Open the Request.
2. Change 'preRequestScript' to a different value.
3. Open Workspace panel -&gt; Unpushed changes strip / modal.</t>
        </is>
      </c>
      <c r="H733" s="16" t="inlineStr">
        <is>
          <t>bucket=request; op=modify preRequestScript</t>
        </is>
      </c>
      <c r="I733" s="16" t="inlineStr">
        <is>
          <t>Strip count increments (~M modified); modal lists row with badge 'modified', label = Request display name; expanding row shows before/after diff focused on 'preRequestScript'. Push then clears the row from the list.</t>
        </is>
      </c>
      <c r="J733" s="16" t="inlineStr"/>
      <c r="K733" s="16" t="inlineStr">
        <is>
          <t>Not Run</t>
        </is>
      </c>
      <c r="L733" s="16" t="inlineStr">
        <is>
          <t>High</t>
        </is>
      </c>
      <c r="M733" s="16" t="inlineStr"/>
      <c r="N733" s="16" t="inlineStr"/>
      <c r="O733" s="16" t="inlineStr"/>
    </row>
    <row r="734" ht="72" customHeight="1">
      <c r="A734" s="16" t="inlineStr">
        <is>
          <t>TC-CP-0010</t>
        </is>
      </c>
      <c r="B734" s="16" t="inlineStr">
        <is>
          <t>Changes-to-Push View</t>
        </is>
      </c>
      <c r="C734" s="16" t="inlineStr">
        <is>
          <t>Request</t>
        </is>
      </c>
      <c r="D734" s="16" t="inlineStr">
        <is>
          <t>Functional</t>
        </is>
      </c>
      <c r="E734" s="16" t="inlineStr">
        <is>
          <t>Change-to-Push: Modify Request field 'tests'</t>
        </is>
      </c>
      <c r="F734" s="16" t="inlineStr">
        <is>
          <t>Linked workspace; clean state.</t>
        </is>
      </c>
      <c r="G734" s="16" t="inlineStr">
        <is>
          <t>1. Open the Request.
2. Change 'tests' to a different value.
3. Open Workspace panel -&gt; Unpushed changes strip / modal.</t>
        </is>
      </c>
      <c r="H734" s="16" t="inlineStr">
        <is>
          <t>bucket=request; op=modify tests</t>
        </is>
      </c>
      <c r="I734" s="16" t="inlineStr">
        <is>
          <t>Strip count increments (~M modified); modal lists row with badge 'modified', label = Request display name; expanding row shows before/after diff focused on 'tests'. Push then clears the row from the list.</t>
        </is>
      </c>
      <c r="J734" s="16" t="inlineStr"/>
      <c r="K734" s="16" t="inlineStr">
        <is>
          <t>Not Run</t>
        </is>
      </c>
      <c r="L734" s="16" t="inlineStr">
        <is>
          <t>High</t>
        </is>
      </c>
      <c r="M734" s="16" t="inlineStr"/>
      <c r="N734" s="16" t="inlineStr"/>
      <c r="O734" s="16" t="inlineStr"/>
    </row>
    <row r="735" ht="72" customHeight="1">
      <c r="A735" s="16" t="inlineStr">
        <is>
          <t>TC-CP-0011</t>
        </is>
      </c>
      <c r="B735" s="16" t="inlineStr">
        <is>
          <t>Changes-to-Push View</t>
        </is>
      </c>
      <c r="C735" s="16" t="inlineStr">
        <is>
          <t>Request</t>
        </is>
      </c>
      <c r="D735" s="16" t="inlineStr">
        <is>
          <t>Functional</t>
        </is>
      </c>
      <c r="E735" s="16" t="inlineStr">
        <is>
          <t>Change-to-Push: Modify Request field 'docs'</t>
        </is>
      </c>
      <c r="F735" s="16" t="inlineStr">
        <is>
          <t>Linked workspace; clean state.</t>
        </is>
      </c>
      <c r="G735" s="16" t="inlineStr">
        <is>
          <t>1. Open the Request.
2. Change 'docs' to a different value.
3. Open Workspace panel -&gt; Unpushed changes strip / modal.</t>
        </is>
      </c>
      <c r="H735" s="16" t="inlineStr">
        <is>
          <t>bucket=request; op=modify docs</t>
        </is>
      </c>
      <c r="I735" s="16" t="inlineStr">
        <is>
          <t>Strip count increments (~M modified); modal lists row with badge 'modified', label = Request display name; expanding row shows before/after diff focused on 'docs'. Push then clears the row from the list.</t>
        </is>
      </c>
      <c r="J735" s="16" t="inlineStr"/>
      <c r="K735" s="16" t="inlineStr">
        <is>
          <t>Not Run</t>
        </is>
      </c>
      <c r="L735" s="16" t="inlineStr">
        <is>
          <t>High</t>
        </is>
      </c>
      <c r="M735" s="16" t="inlineStr"/>
      <c r="N735" s="16" t="inlineStr"/>
      <c r="O735" s="16" t="inlineStr"/>
    </row>
    <row r="736" ht="72" customHeight="1">
      <c r="A736" s="16" t="inlineStr">
        <is>
          <t>TC-CP-0012</t>
        </is>
      </c>
      <c r="B736" s="16" t="inlineStr">
        <is>
          <t>Changes-to-Push View</t>
        </is>
      </c>
      <c r="C736" s="16" t="inlineStr">
        <is>
          <t>Request</t>
        </is>
      </c>
      <c r="D736" s="16" t="inlineStr">
        <is>
          <t>Functional</t>
        </is>
      </c>
      <c r="E736" s="16" t="inlineStr">
        <is>
          <t>Change-to-Push: Modify Request field 'settings'</t>
        </is>
      </c>
      <c r="F736" s="16" t="inlineStr">
        <is>
          <t>Linked workspace; clean state.</t>
        </is>
      </c>
      <c r="G736" s="16" t="inlineStr">
        <is>
          <t>1. Open the Request.
2. Change 'settings' to a different value.
3. Open Workspace panel -&gt; Unpushed changes strip / modal.</t>
        </is>
      </c>
      <c r="H736" s="16" t="inlineStr">
        <is>
          <t>bucket=request; op=modify settings</t>
        </is>
      </c>
      <c r="I736" s="16" t="inlineStr">
        <is>
          <t>Strip count increments (~M modified); modal lists row with badge 'modified', label = Request display name; expanding row shows before/after diff focused on 'settings'. Push then clears the row from the list.</t>
        </is>
      </c>
      <c r="J736" s="16" t="inlineStr"/>
      <c r="K736" s="16" t="inlineStr">
        <is>
          <t>Not Run</t>
        </is>
      </c>
      <c r="L736" s="16" t="inlineStr">
        <is>
          <t>High</t>
        </is>
      </c>
      <c r="M736" s="16" t="inlineStr"/>
      <c r="N736" s="16" t="inlineStr"/>
      <c r="O736" s="16" t="inlineStr"/>
    </row>
    <row r="737" ht="72" customHeight="1">
      <c r="A737" s="16" t="inlineStr">
        <is>
          <t>TC-CP-0013</t>
        </is>
      </c>
      <c r="B737" s="16" t="inlineStr">
        <is>
          <t>Changes-to-Push View</t>
        </is>
      </c>
      <c r="C737" s="16" t="inlineStr">
        <is>
          <t>Request</t>
        </is>
      </c>
      <c r="D737" s="16" t="inlineStr">
        <is>
          <t>Functional</t>
        </is>
      </c>
      <c r="E737" s="16" t="inlineStr">
        <is>
          <t>Change-to-Push: Modify Request field 'bodySchemaId'</t>
        </is>
      </c>
      <c r="F737" s="16" t="inlineStr">
        <is>
          <t>Linked workspace; clean state.</t>
        </is>
      </c>
      <c r="G737" s="16" t="inlineStr">
        <is>
          <t>1. Open the Request.
2. Change 'bodySchemaId' to a different value.
3. Open Workspace panel -&gt; Unpushed changes strip / modal.</t>
        </is>
      </c>
      <c r="H737" s="16" t="inlineStr">
        <is>
          <t>bucket=request; op=modify bodySchemaId</t>
        </is>
      </c>
      <c r="I737" s="16" t="inlineStr">
        <is>
          <t>Strip count increments (~M modified); modal lists row with badge 'modified', label = Request display name; expanding row shows before/after diff focused on 'bodySchemaId'. Push then clears the row from the list.</t>
        </is>
      </c>
      <c r="J737" s="16" t="inlineStr"/>
      <c r="K737" s="16" t="inlineStr">
        <is>
          <t>Not Run</t>
        </is>
      </c>
      <c r="L737" s="16" t="inlineStr">
        <is>
          <t>High</t>
        </is>
      </c>
      <c r="M737" s="16" t="inlineStr"/>
      <c r="N737" s="16" t="inlineStr"/>
      <c r="O737" s="16" t="inlineStr"/>
    </row>
    <row r="738" ht="72" customHeight="1">
      <c r="A738" s="16" t="inlineStr">
        <is>
          <t>TC-CP-0014</t>
        </is>
      </c>
      <c r="B738" s="16" t="inlineStr">
        <is>
          <t>Changes-to-Push View</t>
        </is>
      </c>
      <c r="C738" s="16" t="inlineStr">
        <is>
          <t>Request</t>
        </is>
      </c>
      <c r="D738" s="16" t="inlineStr">
        <is>
          <t>Functional</t>
        </is>
      </c>
      <c r="E738" s="16" t="inlineStr">
        <is>
          <t>Change-to-Push: Removed a Request</t>
        </is>
      </c>
      <c r="F738" s="16" t="inlineStr">
        <is>
          <t>Linked workspace; clean state.</t>
        </is>
      </c>
      <c r="G738" s="16" t="inlineStr">
        <is>
          <t>1. Delete an existing Request.
2. Open Workspace panel.
3. Inspect Unpushed changes strip and modal.</t>
        </is>
      </c>
      <c r="H738" s="16" t="inlineStr">
        <is>
          <t>bucket=request; op=Removed</t>
        </is>
      </c>
      <c r="I738" s="16" t="inlineStr">
        <is>
          <t>Strip count reflects the change (+N added / ~M modified / -K removed); modal lists a row with badge 'removed' and the correct label. Pushing clears it.</t>
        </is>
      </c>
      <c r="J738" s="16" t="inlineStr"/>
      <c r="K738" s="16" t="inlineStr">
        <is>
          <t>Not Run</t>
        </is>
      </c>
      <c r="L738" s="16" t="inlineStr">
        <is>
          <t>High</t>
        </is>
      </c>
      <c r="M738" s="16" t="inlineStr"/>
      <c r="N738" s="16" t="inlineStr"/>
      <c r="O738" s="16" t="inlineStr"/>
    </row>
    <row r="739" ht="72" customHeight="1">
      <c r="A739" s="16" t="inlineStr">
        <is>
          <t>TC-CP-0015</t>
        </is>
      </c>
      <c r="B739" s="16" t="inlineStr">
        <is>
          <t>Changes-to-Push View</t>
        </is>
      </c>
      <c r="C739" s="16" t="inlineStr">
        <is>
          <t>Folder</t>
        </is>
      </c>
      <c r="D739" s="16" t="inlineStr">
        <is>
          <t>Functional</t>
        </is>
      </c>
      <c r="E739" s="16" t="inlineStr">
        <is>
          <t>Change-to-Push: Added a Folder</t>
        </is>
      </c>
      <c r="F739" s="16" t="inlineStr">
        <is>
          <t>Linked workspace; clean state.</t>
        </is>
      </c>
      <c r="G739" s="16" t="inlineStr">
        <is>
          <t>1. Create a new Folder.
2. Open Workspace panel.
3. Inspect Unpushed changes strip and modal.</t>
        </is>
      </c>
      <c r="H739" s="16" t="inlineStr">
        <is>
          <t>bucket=folder; op=Added</t>
        </is>
      </c>
      <c r="I739" s="16" t="inlineStr">
        <is>
          <t>Strip count reflects the change (+N added / ~M modified / -K removed); modal lists a row with badge 'added' and the correct label. Pushing clears it.</t>
        </is>
      </c>
      <c r="J739" s="16" t="inlineStr"/>
      <c r="K739" s="16" t="inlineStr">
        <is>
          <t>Not Run</t>
        </is>
      </c>
      <c r="L739" s="16" t="inlineStr">
        <is>
          <t>Medium</t>
        </is>
      </c>
      <c r="M739" s="16" t="inlineStr"/>
      <c r="N739" s="16" t="inlineStr"/>
      <c r="O739" s="16" t="inlineStr"/>
    </row>
    <row r="740" ht="72" customHeight="1">
      <c r="A740" s="16" t="inlineStr">
        <is>
          <t>TC-CP-0016</t>
        </is>
      </c>
      <c r="B740" s="16" t="inlineStr">
        <is>
          <t>Changes-to-Push View</t>
        </is>
      </c>
      <c r="C740" s="16" t="inlineStr">
        <is>
          <t>Folder</t>
        </is>
      </c>
      <c r="D740" s="16" t="inlineStr">
        <is>
          <t>Functional</t>
        </is>
      </c>
      <c r="E740" s="16" t="inlineStr">
        <is>
          <t>Change-to-Push: Modify Folder field 'name'</t>
        </is>
      </c>
      <c r="F740" s="16" t="inlineStr">
        <is>
          <t>Linked workspace; clean state.</t>
        </is>
      </c>
      <c r="G740" s="16" t="inlineStr">
        <is>
          <t>1. Open the Folder.
2. Change 'name' to a different value.
3. Open Workspace panel -&gt; Unpushed changes strip / modal.</t>
        </is>
      </c>
      <c r="H740" s="16" t="inlineStr">
        <is>
          <t>bucket=folder; op=modify name</t>
        </is>
      </c>
      <c r="I740" s="16" t="inlineStr">
        <is>
          <t>Strip count increments (~M modified); modal lists row with badge 'modified', label = Folder display name; expanding row shows before/after diff focused on 'name'. Push then clears the row from the list.</t>
        </is>
      </c>
      <c r="J740" s="16" t="inlineStr"/>
      <c r="K740" s="16" t="inlineStr">
        <is>
          <t>Not Run</t>
        </is>
      </c>
      <c r="L740" s="16" t="inlineStr">
        <is>
          <t>Medium</t>
        </is>
      </c>
      <c r="M740" s="16" t="inlineStr"/>
      <c r="N740" s="16" t="inlineStr"/>
      <c r="O740" s="16" t="inlineStr"/>
    </row>
    <row r="741" ht="72" customHeight="1">
      <c r="A741" s="16" t="inlineStr">
        <is>
          <t>TC-CP-0017</t>
        </is>
      </c>
      <c r="B741" s="16" t="inlineStr">
        <is>
          <t>Changes-to-Push View</t>
        </is>
      </c>
      <c r="C741" s="16" t="inlineStr">
        <is>
          <t>Folder</t>
        </is>
      </c>
      <c r="D741" s="16" t="inlineStr">
        <is>
          <t>Functional</t>
        </is>
      </c>
      <c r="E741" s="16" t="inlineStr">
        <is>
          <t>Change-to-Push: Modify Folder field 'auth'</t>
        </is>
      </c>
      <c r="F741" s="16" t="inlineStr">
        <is>
          <t>Linked workspace; clean state.</t>
        </is>
      </c>
      <c r="G741" s="16" t="inlineStr">
        <is>
          <t>1. Open the Folder.
2. Change 'auth' to a different value.
3. Open Workspace panel -&gt; Unpushed changes strip / modal.</t>
        </is>
      </c>
      <c r="H741" s="16" t="inlineStr">
        <is>
          <t>bucket=folder; op=modify auth</t>
        </is>
      </c>
      <c r="I741" s="16" t="inlineStr">
        <is>
          <t>Strip count increments (~M modified); modal lists row with badge 'modified', label = Folder display name; expanding row shows before/after diff focused on 'auth'. Push then clears the row from the list.</t>
        </is>
      </c>
      <c r="J741" s="16" t="inlineStr"/>
      <c r="K741" s="16" t="inlineStr">
        <is>
          <t>Not Run</t>
        </is>
      </c>
      <c r="L741" s="16" t="inlineStr">
        <is>
          <t>Medium</t>
        </is>
      </c>
      <c r="M741" s="16" t="inlineStr"/>
      <c r="N741" s="16" t="inlineStr"/>
      <c r="O741" s="16" t="inlineStr"/>
    </row>
    <row r="742" ht="72" customHeight="1">
      <c r="A742" s="16" t="inlineStr">
        <is>
          <t>TC-CP-0018</t>
        </is>
      </c>
      <c r="B742" s="16" t="inlineStr">
        <is>
          <t>Changes-to-Push View</t>
        </is>
      </c>
      <c r="C742" s="16" t="inlineStr">
        <is>
          <t>Folder</t>
        </is>
      </c>
      <c r="D742" s="16" t="inlineStr">
        <is>
          <t>Functional</t>
        </is>
      </c>
      <c r="E742" s="16" t="inlineStr">
        <is>
          <t>Change-to-Push: Modify Folder field 'settings'</t>
        </is>
      </c>
      <c r="F742" s="16" t="inlineStr">
        <is>
          <t>Linked workspace; clean state.</t>
        </is>
      </c>
      <c r="G742" s="16" t="inlineStr">
        <is>
          <t>1. Open the Folder.
2. Change 'settings' to a different value.
3. Open Workspace panel -&gt; Unpushed changes strip / modal.</t>
        </is>
      </c>
      <c r="H742" s="16" t="inlineStr">
        <is>
          <t>bucket=folder; op=modify settings</t>
        </is>
      </c>
      <c r="I742" s="16" t="inlineStr">
        <is>
          <t>Strip count increments (~M modified); modal lists row with badge 'modified', label = Folder display name; expanding row shows before/after diff focused on 'settings'. Push then clears the row from the list.</t>
        </is>
      </c>
      <c r="J742" s="16" t="inlineStr"/>
      <c r="K742" s="16" t="inlineStr">
        <is>
          <t>Not Run</t>
        </is>
      </c>
      <c r="L742" s="16" t="inlineStr">
        <is>
          <t>Medium</t>
        </is>
      </c>
      <c r="M742" s="16" t="inlineStr"/>
      <c r="N742" s="16" t="inlineStr"/>
      <c r="O742" s="16" t="inlineStr"/>
    </row>
    <row r="743" ht="72" customHeight="1">
      <c r="A743" s="16" t="inlineStr">
        <is>
          <t>TC-CP-0019</t>
        </is>
      </c>
      <c r="B743" s="16" t="inlineStr">
        <is>
          <t>Changes-to-Push View</t>
        </is>
      </c>
      <c r="C743" s="16" t="inlineStr">
        <is>
          <t>Folder</t>
        </is>
      </c>
      <c r="D743" s="16" t="inlineStr">
        <is>
          <t>Functional</t>
        </is>
      </c>
      <c r="E743" s="16" t="inlineStr">
        <is>
          <t>Change-to-Push: Removed a Folder</t>
        </is>
      </c>
      <c r="F743" s="16" t="inlineStr">
        <is>
          <t>Linked workspace; clean state.</t>
        </is>
      </c>
      <c r="G743" s="16" t="inlineStr">
        <is>
          <t>1. Delete an existing Folder.
2. Open Workspace panel.
3. Inspect Unpushed changes strip and modal.</t>
        </is>
      </c>
      <c r="H743" s="16" t="inlineStr">
        <is>
          <t>bucket=folder; op=Removed</t>
        </is>
      </c>
      <c r="I743" s="16" t="inlineStr">
        <is>
          <t>Strip count reflects the change (+N added / ~M modified / -K removed); modal lists a row with badge 'removed' and the correct label. Pushing clears it.</t>
        </is>
      </c>
      <c r="J743" s="16" t="inlineStr"/>
      <c r="K743" s="16" t="inlineStr">
        <is>
          <t>Not Run</t>
        </is>
      </c>
      <c r="L743" s="16" t="inlineStr">
        <is>
          <t>Medium</t>
        </is>
      </c>
      <c r="M743" s="16" t="inlineStr"/>
      <c r="N743" s="16" t="inlineStr"/>
      <c r="O743" s="16" t="inlineStr"/>
    </row>
    <row r="744" ht="72" customHeight="1">
      <c r="A744" s="16" t="inlineStr">
        <is>
          <t>TC-CP-0020</t>
        </is>
      </c>
      <c r="B744" s="16" t="inlineStr">
        <is>
          <t>Changes-to-Push View</t>
        </is>
      </c>
      <c r="C744" s="16" t="inlineStr">
        <is>
          <t>Folder tree</t>
        </is>
      </c>
      <c r="D744" s="16" t="inlineStr">
        <is>
          <t>Functional</t>
        </is>
      </c>
      <c r="E744" s="16" t="inlineStr">
        <is>
          <t>Change-to-Push: Added a Folder tree</t>
        </is>
      </c>
      <c r="F744" s="16" t="inlineStr">
        <is>
          <t>Linked workspace; clean state.</t>
        </is>
      </c>
      <c r="G744" s="16" t="inlineStr">
        <is>
          <t>1. Create a new Folder tree.
2. Open Workspace panel.
3. Inspect Unpushed changes strip and modal.</t>
        </is>
      </c>
      <c r="H744" s="16" t="inlineStr">
        <is>
          <t>bucket=tree; op=Added</t>
        </is>
      </c>
      <c r="I744" s="16" t="inlineStr">
        <is>
          <t>Strip count reflects the change (+N added / ~M modified / -K removed); modal lists a row with badge 'added' and the correct label. Pushing clears it.</t>
        </is>
      </c>
      <c r="J744" s="16" t="inlineStr"/>
      <c r="K744" s="16" t="inlineStr">
        <is>
          <t>Not Run</t>
        </is>
      </c>
      <c r="L744" s="16" t="inlineStr">
        <is>
          <t>Medium</t>
        </is>
      </c>
      <c r="M744" s="16" t="inlineStr"/>
      <c r="N744" s="16" t="inlineStr"/>
      <c r="O744" s="16" t="inlineStr"/>
    </row>
    <row r="745" ht="72" customHeight="1">
      <c r="A745" s="16" t="inlineStr">
        <is>
          <t>TC-CP-0021</t>
        </is>
      </c>
      <c r="B745" s="16" t="inlineStr">
        <is>
          <t>Changes-to-Push View</t>
        </is>
      </c>
      <c r="C745" s="16" t="inlineStr">
        <is>
          <t>Folder tree</t>
        </is>
      </c>
      <c r="D745" s="16" t="inlineStr">
        <is>
          <t>Functional</t>
        </is>
      </c>
      <c r="E745" s="16" t="inlineStr">
        <is>
          <t>Change-to-Push: Modified a Folder tree</t>
        </is>
      </c>
      <c r="F745" s="16" t="inlineStr">
        <is>
          <t>Linked workspace; clean state.</t>
        </is>
      </c>
      <c r="G745" s="16" t="inlineStr">
        <is>
          <t>1. Reorder / restructure Folder tree.
2. Open Workspace panel.
3. Inspect Unpushed changes strip and modal.</t>
        </is>
      </c>
      <c r="H745" s="16" t="inlineStr">
        <is>
          <t>bucket=tree; op=Modified</t>
        </is>
      </c>
      <c r="I745" s="16" t="inlineStr">
        <is>
          <t>Strip count reflects the change (+N added / ~M modified / -K removed); modal lists a row with badge 'modified' and the correct label. Pushing clears it.</t>
        </is>
      </c>
      <c r="J745" s="16" t="inlineStr"/>
      <c r="K745" s="16" t="inlineStr">
        <is>
          <t>Not Run</t>
        </is>
      </c>
      <c r="L745" s="16" t="inlineStr">
        <is>
          <t>Medium</t>
        </is>
      </c>
      <c r="M745" s="16" t="inlineStr"/>
      <c r="N745" s="16" t="inlineStr"/>
      <c r="O745" s="16" t="inlineStr"/>
    </row>
    <row r="746" ht="72" customHeight="1">
      <c r="A746" s="16" t="inlineStr">
        <is>
          <t>TC-CP-0022</t>
        </is>
      </c>
      <c r="B746" s="16" t="inlineStr">
        <is>
          <t>Changes-to-Push View</t>
        </is>
      </c>
      <c r="C746" s="16" t="inlineStr">
        <is>
          <t>Folder tree</t>
        </is>
      </c>
      <c r="D746" s="16" t="inlineStr">
        <is>
          <t>Functional</t>
        </is>
      </c>
      <c r="E746" s="16" t="inlineStr">
        <is>
          <t>Change-to-Push: Removed a Folder tree</t>
        </is>
      </c>
      <c r="F746" s="16" t="inlineStr">
        <is>
          <t>Linked workspace; clean state.</t>
        </is>
      </c>
      <c r="G746" s="16" t="inlineStr">
        <is>
          <t>1. Delete an existing Folder tree.
2. Open Workspace panel.
3. Inspect Unpushed changes strip and modal.</t>
        </is>
      </c>
      <c r="H746" s="16" t="inlineStr">
        <is>
          <t>bucket=tree; op=Removed</t>
        </is>
      </c>
      <c r="I746" s="16" t="inlineStr">
        <is>
          <t>Strip count reflects the change (+N added / ~M modified / -K removed); modal lists a row with badge 'removed' and the correct label. Pushing clears it.</t>
        </is>
      </c>
      <c r="J746" s="16" t="inlineStr"/>
      <c r="K746" s="16" t="inlineStr">
        <is>
          <t>Not Run</t>
        </is>
      </c>
      <c r="L746" s="16" t="inlineStr">
        <is>
          <t>Medium</t>
        </is>
      </c>
      <c r="M746" s="16" t="inlineStr"/>
      <c r="N746" s="16" t="inlineStr"/>
      <c r="O746" s="16" t="inlineStr"/>
    </row>
    <row r="747" ht="72" customHeight="1">
      <c r="A747" s="16" t="inlineStr">
        <is>
          <t>TC-CP-0023</t>
        </is>
      </c>
      <c r="B747" s="16" t="inlineStr">
        <is>
          <t>Changes-to-Push View</t>
        </is>
      </c>
      <c r="C747" s="16" t="inlineStr">
        <is>
          <t>Collection</t>
        </is>
      </c>
      <c r="D747" s="16" t="inlineStr">
        <is>
          <t>Functional</t>
        </is>
      </c>
      <c r="E747" s="16" t="inlineStr">
        <is>
          <t>Change-to-Push: Added a Collection</t>
        </is>
      </c>
      <c r="F747" s="16" t="inlineStr">
        <is>
          <t>Linked workspace; clean state.</t>
        </is>
      </c>
      <c r="G747" s="16" t="inlineStr">
        <is>
          <t>1. Create a new Collection.
2. Open Workspace panel.
3. Inspect Unpushed changes strip and modal.</t>
        </is>
      </c>
      <c r="H747" s="16" t="inlineStr">
        <is>
          <t>bucket=collection; op=Added</t>
        </is>
      </c>
      <c r="I747" s="16" t="inlineStr">
        <is>
          <t>Strip count reflects the change (+N added / ~M modified / -K removed); modal lists a row with badge 'added' and the correct label. Pushing clears it.</t>
        </is>
      </c>
      <c r="J747" s="16" t="inlineStr"/>
      <c r="K747" s="16" t="inlineStr">
        <is>
          <t>Not Run</t>
        </is>
      </c>
      <c r="L747" s="16" t="inlineStr">
        <is>
          <t>Medium</t>
        </is>
      </c>
      <c r="M747" s="16" t="inlineStr"/>
      <c r="N747" s="16" t="inlineStr"/>
      <c r="O747" s="16" t="inlineStr"/>
    </row>
    <row r="748" ht="72" customHeight="1">
      <c r="A748" s="16" t="inlineStr">
        <is>
          <t>TC-CP-0024</t>
        </is>
      </c>
      <c r="B748" s="16" t="inlineStr">
        <is>
          <t>Changes-to-Push View</t>
        </is>
      </c>
      <c r="C748" s="16" t="inlineStr">
        <is>
          <t>Collection</t>
        </is>
      </c>
      <c r="D748" s="16" t="inlineStr">
        <is>
          <t>Functional</t>
        </is>
      </c>
      <c r="E748" s="16" t="inlineStr">
        <is>
          <t>Change-to-Push: Modify Collection field 'name'</t>
        </is>
      </c>
      <c r="F748" s="16" t="inlineStr">
        <is>
          <t>Linked workspace; clean state.</t>
        </is>
      </c>
      <c r="G748" s="16" t="inlineStr">
        <is>
          <t>1. Open the Collection.
2. Change 'name' to a different value.
3. Open Workspace panel -&gt; Unpushed changes strip / modal.</t>
        </is>
      </c>
      <c r="H748" s="16" t="inlineStr">
        <is>
          <t>bucket=collection; op=modify name</t>
        </is>
      </c>
      <c r="I748" s="16" t="inlineStr">
        <is>
          <t>Strip count increments (~M modified); modal lists row with badge 'modified', label = Collection display name; expanding row shows before/after diff focused on 'name'. Push then clears the row from the list.</t>
        </is>
      </c>
      <c r="J748" s="16" t="inlineStr"/>
      <c r="K748" s="16" t="inlineStr">
        <is>
          <t>Not Run</t>
        </is>
      </c>
      <c r="L748" s="16" t="inlineStr">
        <is>
          <t>Medium</t>
        </is>
      </c>
      <c r="M748" s="16" t="inlineStr"/>
      <c r="N748" s="16" t="inlineStr"/>
      <c r="O748" s="16" t="inlineStr"/>
    </row>
    <row r="749" ht="72" customHeight="1">
      <c r="A749" s="16" t="inlineStr">
        <is>
          <t>TC-CP-0025</t>
        </is>
      </c>
      <c r="B749" s="16" t="inlineStr">
        <is>
          <t>Changes-to-Push View</t>
        </is>
      </c>
      <c r="C749" s="16" t="inlineStr">
        <is>
          <t>Collection</t>
        </is>
      </c>
      <c r="D749" s="16" t="inlineStr">
        <is>
          <t>Functional</t>
        </is>
      </c>
      <c r="E749" s="16" t="inlineStr">
        <is>
          <t>Change-to-Push: Modify Collection field 'settings'</t>
        </is>
      </c>
      <c r="F749" s="16" t="inlineStr">
        <is>
          <t>Linked workspace; clean state.</t>
        </is>
      </c>
      <c r="G749" s="16" t="inlineStr">
        <is>
          <t>1. Open the Collection.
2. Change 'settings' to a different value.
3. Open Workspace panel -&gt; Unpushed changes strip / modal.</t>
        </is>
      </c>
      <c r="H749" s="16" t="inlineStr">
        <is>
          <t>bucket=collection; op=modify settings</t>
        </is>
      </c>
      <c r="I749" s="16" t="inlineStr">
        <is>
          <t>Strip count increments (~M modified); modal lists row with badge 'modified', label = Collection display name; expanding row shows before/after diff focused on 'settings'. Push then clears the row from the list.</t>
        </is>
      </c>
      <c r="J749" s="16" t="inlineStr"/>
      <c r="K749" s="16" t="inlineStr">
        <is>
          <t>Not Run</t>
        </is>
      </c>
      <c r="L749" s="16" t="inlineStr">
        <is>
          <t>Medium</t>
        </is>
      </c>
      <c r="M749" s="16" t="inlineStr"/>
      <c r="N749" s="16" t="inlineStr"/>
      <c r="O749" s="16" t="inlineStr"/>
    </row>
    <row r="750" ht="72" customHeight="1">
      <c r="A750" s="16" t="inlineStr">
        <is>
          <t>TC-CP-0026</t>
        </is>
      </c>
      <c r="B750" s="16" t="inlineStr">
        <is>
          <t>Changes-to-Push View</t>
        </is>
      </c>
      <c r="C750" s="16" t="inlineStr">
        <is>
          <t>Collection</t>
        </is>
      </c>
      <c r="D750" s="16" t="inlineStr">
        <is>
          <t>Functional</t>
        </is>
      </c>
      <c r="E750" s="16" t="inlineStr">
        <is>
          <t>Change-to-Push: Removed a Collection</t>
        </is>
      </c>
      <c r="F750" s="16" t="inlineStr">
        <is>
          <t>Linked workspace; clean state.</t>
        </is>
      </c>
      <c r="G750" s="16" t="inlineStr">
        <is>
          <t>1. Delete an existing Collection.
2. Open Workspace panel.
3. Inspect Unpushed changes strip and modal.</t>
        </is>
      </c>
      <c r="H750" s="16" t="inlineStr">
        <is>
          <t>bucket=collection; op=Removed</t>
        </is>
      </c>
      <c r="I750" s="16" t="inlineStr">
        <is>
          <t>Strip count reflects the change (+N added / ~M modified / -K removed); modal lists a row with badge 'removed' and the correct label. Pushing clears it.</t>
        </is>
      </c>
      <c r="J750" s="16" t="inlineStr"/>
      <c r="K750" s="16" t="inlineStr">
        <is>
          <t>Not Run</t>
        </is>
      </c>
      <c r="L750" s="16" t="inlineStr">
        <is>
          <t>Medium</t>
        </is>
      </c>
      <c r="M750" s="16" t="inlineStr"/>
      <c r="N750" s="16" t="inlineStr"/>
      <c r="O750" s="16" t="inlineStr"/>
    </row>
    <row r="751" ht="72" customHeight="1">
      <c r="A751" s="16" t="inlineStr">
        <is>
          <t>TC-CP-0027</t>
        </is>
      </c>
      <c r="B751" s="16" t="inlineStr">
        <is>
          <t>Changes-to-Push View</t>
        </is>
      </c>
      <c r="C751" s="16" t="inlineStr">
        <is>
          <t>Environment</t>
        </is>
      </c>
      <c r="D751" s="16" t="inlineStr">
        <is>
          <t>Functional</t>
        </is>
      </c>
      <c r="E751" s="16" t="inlineStr">
        <is>
          <t>Change-to-Push: Added a Environment</t>
        </is>
      </c>
      <c r="F751" s="16" t="inlineStr">
        <is>
          <t>Linked workspace; clean state.</t>
        </is>
      </c>
      <c r="G751" s="16" t="inlineStr">
        <is>
          <t>1. Create a new Environment.
2. Open Workspace panel.
3. Inspect Unpushed changes strip and modal.</t>
        </is>
      </c>
      <c r="H751" s="16" t="inlineStr">
        <is>
          <t>bucket=environment; op=Added</t>
        </is>
      </c>
      <c r="I751" s="16" t="inlineStr">
        <is>
          <t>Strip count reflects the change (+N added / ~M modified / -K removed); modal lists a row with badge 'added' and the correct label. Pushing clears it.</t>
        </is>
      </c>
      <c r="J751" s="16" t="inlineStr"/>
      <c r="K751" s="16" t="inlineStr">
        <is>
          <t>Not Run</t>
        </is>
      </c>
      <c r="L751" s="16" t="inlineStr">
        <is>
          <t>Medium</t>
        </is>
      </c>
      <c r="M751" s="16" t="inlineStr"/>
      <c r="N751" s="16" t="inlineStr"/>
      <c r="O751" s="16" t="inlineStr"/>
    </row>
    <row r="752" ht="72" customHeight="1">
      <c r="A752" s="16" t="inlineStr">
        <is>
          <t>TC-CP-0028</t>
        </is>
      </c>
      <c r="B752" s="16" t="inlineStr">
        <is>
          <t>Changes-to-Push View</t>
        </is>
      </c>
      <c r="C752" s="16" t="inlineStr">
        <is>
          <t>Environment</t>
        </is>
      </c>
      <c r="D752" s="16" t="inlineStr">
        <is>
          <t>Functional</t>
        </is>
      </c>
      <c r="E752" s="16" t="inlineStr">
        <is>
          <t>Change-to-Push: Modify Environment field 'name (key)'</t>
        </is>
      </c>
      <c r="F752" s="16" t="inlineStr">
        <is>
          <t>Linked workspace; clean state.</t>
        </is>
      </c>
      <c r="G752" s="16" t="inlineStr">
        <is>
          <t>1. Open the Environment.
2. Change 'name (key)' to a different value.
3. Open Workspace panel -&gt; Unpushed changes strip / modal.</t>
        </is>
      </c>
      <c r="H752" s="16" t="inlineStr">
        <is>
          <t>bucket=environment; op=modify name (key)</t>
        </is>
      </c>
      <c r="I752" s="16" t="inlineStr">
        <is>
          <t>Strip count increments (~M modified); modal lists row with badge 'modified', label = Environment display name; expanding row shows before/after diff focused on 'name (key)'. Push then clears the row from the list.</t>
        </is>
      </c>
      <c r="J752" s="16" t="inlineStr"/>
      <c r="K752" s="16" t="inlineStr">
        <is>
          <t>Not Run</t>
        </is>
      </c>
      <c r="L752" s="16" t="inlineStr">
        <is>
          <t>High</t>
        </is>
      </c>
      <c r="M752" s="16" t="inlineStr"/>
      <c r="N752" s="16" t="inlineStr"/>
      <c r="O752" s="16" t="inlineStr"/>
    </row>
    <row r="753" ht="72" customHeight="1">
      <c r="A753" s="16" t="inlineStr">
        <is>
          <t>TC-CP-0029</t>
        </is>
      </c>
      <c r="B753" s="16" t="inlineStr">
        <is>
          <t>Changes-to-Push View</t>
        </is>
      </c>
      <c r="C753" s="16" t="inlineStr">
        <is>
          <t>Environment</t>
        </is>
      </c>
      <c r="D753" s="16" t="inlineStr">
        <is>
          <t>Functional</t>
        </is>
      </c>
      <c r="E753" s="16" t="inlineStr">
        <is>
          <t>Change-to-Push: Removed a Environment</t>
        </is>
      </c>
      <c r="F753" s="16" t="inlineStr">
        <is>
          <t>Linked workspace; clean state.</t>
        </is>
      </c>
      <c r="G753" s="16" t="inlineStr">
        <is>
          <t>1. Delete an existing Environment.
2. Open Workspace panel.
3. Inspect Unpushed changes strip and modal.</t>
        </is>
      </c>
      <c r="H753" s="16" t="inlineStr">
        <is>
          <t>bucket=environment; op=Removed</t>
        </is>
      </c>
      <c r="I753" s="16" t="inlineStr">
        <is>
          <t>Strip count reflects the change (+N added / ~M modified / -K removed); modal lists a row with badge 'removed' and the correct label. Pushing clears it.</t>
        </is>
      </c>
      <c r="J753" s="16" t="inlineStr"/>
      <c r="K753" s="16" t="inlineStr">
        <is>
          <t>Not Run</t>
        </is>
      </c>
      <c r="L753" s="16" t="inlineStr">
        <is>
          <t>Medium</t>
        </is>
      </c>
      <c r="M753" s="16" t="inlineStr"/>
      <c r="N753" s="16" t="inlineStr"/>
      <c r="O753" s="16" t="inlineStr"/>
    </row>
    <row r="754" ht="72" customHeight="1">
      <c r="A754" s="16" t="inlineStr">
        <is>
          <t>TC-CP-0030</t>
        </is>
      </c>
      <c r="B754" s="16" t="inlineStr">
        <is>
          <t>Changes-to-Push View</t>
        </is>
      </c>
      <c r="C754" s="16" t="inlineStr">
        <is>
          <t>Active environment</t>
        </is>
      </c>
      <c r="D754" s="16" t="inlineStr">
        <is>
          <t>Functional</t>
        </is>
      </c>
      <c r="E754" s="16" t="inlineStr">
        <is>
          <t>Change-to-Push: Added a Active environment</t>
        </is>
      </c>
      <c r="F754" s="16" t="inlineStr">
        <is>
          <t>Linked workspace; clean state.</t>
        </is>
      </c>
      <c r="G754" s="16" t="inlineStr">
        <is>
          <t>1. Create a new Active environment.
2. Open Workspace panel.
3. Inspect Unpushed changes strip and modal.</t>
        </is>
      </c>
      <c r="H754" s="16" t="inlineStr">
        <is>
          <t>bucket=environmentsActive; op=Added</t>
        </is>
      </c>
      <c r="I754" s="16" t="inlineStr">
        <is>
          <t>Strip count reflects the change (+N added / ~M modified / -K removed); modal lists a row with badge 'added' and the correct label. Pushing clears it.</t>
        </is>
      </c>
      <c r="J754" s="16" t="inlineStr"/>
      <c r="K754" s="16" t="inlineStr">
        <is>
          <t>Not Run</t>
        </is>
      </c>
      <c r="L754" s="16" t="inlineStr">
        <is>
          <t>Medium</t>
        </is>
      </c>
      <c r="M754" s="16" t="inlineStr"/>
      <c r="N754" s="16" t="inlineStr"/>
      <c r="O754" s="16" t="inlineStr"/>
    </row>
    <row r="755" ht="72" customHeight="1">
      <c r="A755" s="16" t="inlineStr">
        <is>
          <t>TC-CP-0031</t>
        </is>
      </c>
      <c r="B755" s="16" t="inlineStr">
        <is>
          <t>Changes-to-Push View</t>
        </is>
      </c>
      <c r="C755" s="16" t="inlineStr">
        <is>
          <t>Active environment</t>
        </is>
      </c>
      <c r="D755" s="16" t="inlineStr">
        <is>
          <t>Functional</t>
        </is>
      </c>
      <c r="E755" s="16" t="inlineStr">
        <is>
          <t>Change-to-Push: Modify Active environment field 'change'</t>
        </is>
      </c>
      <c r="F755" s="16" t="inlineStr">
        <is>
          <t>Linked workspace; clean state.</t>
        </is>
      </c>
      <c r="G755" s="16" t="inlineStr">
        <is>
          <t>1. Open the Active environment.
2. Change 'change' to a different value.
3. Open Workspace panel -&gt; Unpushed changes strip / modal.</t>
        </is>
      </c>
      <c r="H755" s="16" t="inlineStr">
        <is>
          <t>bucket=environmentsActive; op=modify change</t>
        </is>
      </c>
      <c r="I755" s="16" t="inlineStr">
        <is>
          <t>Strip count increments (~M modified); modal lists row with badge 'modified', label = Active environment display name; expanding row shows before/after diff focused on 'change'. Push then clears the row from the list.</t>
        </is>
      </c>
      <c r="J755" s="16" t="inlineStr"/>
      <c r="K755" s="16" t="inlineStr">
        <is>
          <t>Not Run</t>
        </is>
      </c>
      <c r="L755" s="16" t="inlineStr">
        <is>
          <t>Medium</t>
        </is>
      </c>
      <c r="M755" s="16" t="inlineStr"/>
      <c r="N755" s="16" t="inlineStr"/>
      <c r="O755" s="16" t="inlineStr"/>
    </row>
    <row r="756" ht="72" customHeight="1">
      <c r="A756" s="16" t="inlineStr">
        <is>
          <t>TC-CP-0032</t>
        </is>
      </c>
      <c r="B756" s="16" t="inlineStr">
        <is>
          <t>Changes-to-Push View</t>
        </is>
      </c>
      <c r="C756" s="16" t="inlineStr">
        <is>
          <t>Active environment</t>
        </is>
      </c>
      <c r="D756" s="16" t="inlineStr">
        <is>
          <t>Functional</t>
        </is>
      </c>
      <c r="E756" s="16" t="inlineStr">
        <is>
          <t>Change-to-Push: Removed a Active environment</t>
        </is>
      </c>
      <c r="F756" s="16" t="inlineStr">
        <is>
          <t>Linked workspace; clean state.</t>
        </is>
      </c>
      <c r="G756" s="16" t="inlineStr">
        <is>
          <t>1. Delete an existing Active environment.
2. Open Workspace panel.
3. Inspect Unpushed changes strip and modal.</t>
        </is>
      </c>
      <c r="H756" s="16" t="inlineStr">
        <is>
          <t>bucket=environmentsActive; op=Removed</t>
        </is>
      </c>
      <c r="I756" s="16" t="inlineStr">
        <is>
          <t>Strip count reflects the change (+N added / ~M modified / -K removed); modal lists a row with badge 'removed' and the correct label. Pushing clears it.</t>
        </is>
      </c>
      <c r="J756" s="16" t="inlineStr"/>
      <c r="K756" s="16" t="inlineStr">
        <is>
          <t>Not Run</t>
        </is>
      </c>
      <c r="L756" s="16" t="inlineStr">
        <is>
          <t>Medium</t>
        </is>
      </c>
      <c r="M756" s="16" t="inlineStr"/>
      <c r="N756" s="16" t="inlineStr"/>
      <c r="O756" s="16" t="inlineStr"/>
    </row>
    <row r="757" ht="72" customHeight="1">
      <c r="A757" s="16" t="inlineStr">
        <is>
          <t>TC-CP-0033</t>
        </is>
      </c>
      <c r="B757" s="16" t="inlineStr">
        <is>
          <t>Changes-to-Push View</t>
        </is>
      </c>
      <c r="C757" s="16" t="inlineStr">
        <is>
          <t>Environment priority</t>
        </is>
      </c>
      <c r="D757" s="16" t="inlineStr">
        <is>
          <t>Functional</t>
        </is>
      </c>
      <c r="E757" s="16" t="inlineStr">
        <is>
          <t>Change-to-Push: Added a Environment priority</t>
        </is>
      </c>
      <c r="F757" s="16" t="inlineStr">
        <is>
          <t>Linked workspace; clean state.</t>
        </is>
      </c>
      <c r="G757" s="16" t="inlineStr">
        <is>
          <t>1. Create a new Environment priority.
2. Open Workspace panel.
3. Inspect Unpushed changes strip and modal.</t>
        </is>
      </c>
      <c r="H757" s="16" t="inlineStr">
        <is>
          <t>bucket=environmentsPriority; op=Added</t>
        </is>
      </c>
      <c r="I757" s="16" t="inlineStr">
        <is>
          <t>Strip count reflects the change (+N added / ~M modified / -K removed); modal lists a row with badge 'added' and the correct label. Pushing clears it.</t>
        </is>
      </c>
      <c r="J757" s="16" t="inlineStr"/>
      <c r="K757" s="16" t="inlineStr">
        <is>
          <t>Not Run</t>
        </is>
      </c>
      <c r="L757" s="16" t="inlineStr">
        <is>
          <t>Medium</t>
        </is>
      </c>
      <c r="M757" s="16" t="inlineStr"/>
      <c r="N757" s="16" t="inlineStr"/>
      <c r="O757" s="16" t="inlineStr"/>
    </row>
    <row r="758" ht="72" customHeight="1">
      <c r="A758" s="16" t="inlineStr">
        <is>
          <t>TC-CP-0034</t>
        </is>
      </c>
      <c r="B758" s="16" t="inlineStr">
        <is>
          <t>Changes-to-Push View</t>
        </is>
      </c>
      <c r="C758" s="16" t="inlineStr">
        <is>
          <t>Environment priority</t>
        </is>
      </c>
      <c r="D758" s="16" t="inlineStr">
        <is>
          <t>Functional</t>
        </is>
      </c>
      <c r="E758" s="16" t="inlineStr">
        <is>
          <t>Change-to-Push: Modify Environment priority field 'reorder'</t>
        </is>
      </c>
      <c r="F758" s="16" t="inlineStr">
        <is>
          <t>Linked workspace; clean state.</t>
        </is>
      </c>
      <c r="G758" s="16" t="inlineStr">
        <is>
          <t>1. Open the Environment priority.
2. Change 'reorder' to a different value.
3. Open Workspace panel -&gt; Unpushed changes strip / modal.</t>
        </is>
      </c>
      <c r="H758" s="16" t="inlineStr">
        <is>
          <t>bucket=environmentsPriority; op=modify reorder</t>
        </is>
      </c>
      <c r="I758" s="16" t="inlineStr">
        <is>
          <t>Strip count increments (~M modified); modal lists row with badge 'modified', label = Environment priority display name; expanding row shows before/after diff focused on 'reorder'. Push then clears the row from the list.</t>
        </is>
      </c>
      <c r="J758" s="16" t="inlineStr"/>
      <c r="K758" s="16" t="inlineStr">
        <is>
          <t>Not Run</t>
        </is>
      </c>
      <c r="L758" s="16" t="inlineStr">
        <is>
          <t>Medium</t>
        </is>
      </c>
      <c r="M758" s="16" t="inlineStr"/>
      <c r="N758" s="16" t="inlineStr"/>
      <c r="O758" s="16" t="inlineStr"/>
    </row>
    <row r="759" ht="72" customHeight="1">
      <c r="A759" s="16" t="inlineStr">
        <is>
          <t>TC-CP-0035</t>
        </is>
      </c>
      <c r="B759" s="16" t="inlineStr">
        <is>
          <t>Changes-to-Push View</t>
        </is>
      </c>
      <c r="C759" s="16" t="inlineStr">
        <is>
          <t>Environment priority</t>
        </is>
      </c>
      <c r="D759" s="16" t="inlineStr">
        <is>
          <t>Functional</t>
        </is>
      </c>
      <c r="E759" s="16" t="inlineStr">
        <is>
          <t>Change-to-Push: Removed a Environment priority</t>
        </is>
      </c>
      <c r="F759" s="16" t="inlineStr">
        <is>
          <t>Linked workspace; clean state.</t>
        </is>
      </c>
      <c r="G759" s="16" t="inlineStr">
        <is>
          <t>1. Delete an existing Environment priority.
2. Open Workspace panel.
3. Inspect Unpushed changes strip and modal.</t>
        </is>
      </c>
      <c r="H759" s="16" t="inlineStr">
        <is>
          <t>bucket=environmentsPriority; op=Removed</t>
        </is>
      </c>
      <c r="I759" s="16" t="inlineStr">
        <is>
          <t>Strip count reflects the change (+N added / ~M modified / -K removed); modal lists a row with badge 'removed' and the correct label. Pushing clears it.</t>
        </is>
      </c>
      <c r="J759" s="16" t="inlineStr"/>
      <c r="K759" s="16" t="inlineStr">
        <is>
          <t>Not Run</t>
        </is>
      </c>
      <c r="L759" s="16" t="inlineStr">
        <is>
          <t>Medium</t>
        </is>
      </c>
      <c r="M759" s="16" t="inlineStr"/>
      <c r="N759" s="16" t="inlineStr"/>
      <c r="O759" s="16" t="inlineStr"/>
    </row>
    <row r="760" ht="72" customHeight="1">
      <c r="A760" s="16" t="inlineStr">
        <is>
          <t>TC-CP-0036</t>
        </is>
      </c>
      <c r="B760" s="16" t="inlineStr">
        <is>
          <t>Changes-to-Push View</t>
        </is>
      </c>
      <c r="C760" s="16" t="inlineStr">
        <is>
          <t>Environment variable</t>
        </is>
      </c>
      <c r="D760" s="16" t="inlineStr">
        <is>
          <t>Functional</t>
        </is>
      </c>
      <c r="E760" s="16" t="inlineStr">
        <is>
          <t>Change-to-Push: Added a Environment variable</t>
        </is>
      </c>
      <c r="F760" s="16" t="inlineStr">
        <is>
          <t>Linked workspace; clean state.</t>
        </is>
      </c>
      <c r="G760" s="16" t="inlineStr">
        <is>
          <t>1. Create a new Environment variable.
2. Open Workspace panel.
3. Inspect Unpushed changes strip and modal.</t>
        </is>
      </c>
      <c r="H760" s="16" t="inlineStr">
        <is>
          <t>bucket=environmentVar; op=Added</t>
        </is>
      </c>
      <c r="I760" s="16" t="inlineStr">
        <is>
          <t>Strip count reflects the change (+N added / ~M modified / -K removed); modal lists a row with badge 'added' and the correct label. Pushing clears it.</t>
        </is>
      </c>
      <c r="J760" s="16" t="inlineStr"/>
      <c r="K760" s="16" t="inlineStr">
        <is>
          <t>Not Run</t>
        </is>
      </c>
      <c r="L760" s="16" t="inlineStr">
        <is>
          <t>High</t>
        </is>
      </c>
      <c r="M760" s="16" t="inlineStr"/>
      <c r="N760" s="16" t="inlineStr"/>
      <c r="O760" s="16" t="inlineStr"/>
    </row>
    <row r="761" ht="72" customHeight="1">
      <c r="A761" s="16" t="inlineStr">
        <is>
          <t>TC-CP-0037</t>
        </is>
      </c>
      <c r="B761" s="16" t="inlineStr">
        <is>
          <t>Changes-to-Push View</t>
        </is>
      </c>
      <c r="C761" s="16" t="inlineStr">
        <is>
          <t>Environment variable</t>
        </is>
      </c>
      <c r="D761" s="16" t="inlineStr">
        <is>
          <t>Functional</t>
        </is>
      </c>
      <c r="E761" s="16" t="inlineStr">
        <is>
          <t>Change-to-Push: Modify Environment variable field 'key rename'</t>
        </is>
      </c>
      <c r="F761" s="16" t="inlineStr">
        <is>
          <t>Linked workspace; clean state.</t>
        </is>
      </c>
      <c r="G761" s="16" t="inlineStr">
        <is>
          <t>1. Open the Environment variable.
2. Change 'key rename' to a different value.
3. Open Workspace panel -&gt; Unpushed changes strip / modal.</t>
        </is>
      </c>
      <c r="H761" s="16" t="inlineStr">
        <is>
          <t>bucket=environmentVar; op=modify key rename</t>
        </is>
      </c>
      <c r="I761" s="16" t="inlineStr">
        <is>
          <t>Strip count increments (~M modified); modal lists row with badge 'modified', label = Environment variable display name; expanding row shows before/after diff focused on 'key rename'. Push then clears the row from the list.</t>
        </is>
      </c>
      <c r="J761" s="16" t="inlineStr"/>
      <c r="K761" s="16" t="inlineStr">
        <is>
          <t>Not Run</t>
        </is>
      </c>
      <c r="L761" s="16" t="inlineStr">
        <is>
          <t>High</t>
        </is>
      </c>
      <c r="M761" s="16" t="inlineStr"/>
      <c r="N761" s="16" t="inlineStr"/>
      <c r="O761" s="16" t="inlineStr"/>
    </row>
    <row r="762" ht="72" customHeight="1">
      <c r="A762" s="16" t="inlineStr">
        <is>
          <t>TC-CP-0038</t>
        </is>
      </c>
      <c r="B762" s="16" t="inlineStr">
        <is>
          <t>Changes-to-Push View</t>
        </is>
      </c>
      <c r="C762" s="16" t="inlineStr">
        <is>
          <t>Environment variable</t>
        </is>
      </c>
      <c r="D762" s="16" t="inlineStr">
        <is>
          <t>Functional</t>
        </is>
      </c>
      <c r="E762" s="16" t="inlineStr">
        <is>
          <t>Change-to-Push: Modify Environment variable field 'value change'</t>
        </is>
      </c>
      <c r="F762" s="16" t="inlineStr">
        <is>
          <t>Linked workspace; clean state.</t>
        </is>
      </c>
      <c r="G762" s="16" t="inlineStr">
        <is>
          <t>1. Open the Environment variable.
2. Change 'value change' to a different value.
3. Open Workspace panel -&gt; Unpushed changes strip / modal.</t>
        </is>
      </c>
      <c r="H762" s="16" t="inlineStr">
        <is>
          <t>bucket=environmentVar; op=modify value change</t>
        </is>
      </c>
      <c r="I762" s="16" t="inlineStr">
        <is>
          <t>Strip count increments (~M modified); modal lists row with badge 'modified', label = Environment variable display name; expanding row shows before/after diff focused on 'value change'. Push then clears the row from the list.</t>
        </is>
      </c>
      <c r="J762" s="16" t="inlineStr"/>
      <c r="K762" s="16" t="inlineStr">
        <is>
          <t>Not Run</t>
        </is>
      </c>
      <c r="L762" s="16" t="inlineStr">
        <is>
          <t>High</t>
        </is>
      </c>
      <c r="M762" s="16" t="inlineStr"/>
      <c r="N762" s="16" t="inlineStr"/>
      <c r="O762" s="16" t="inlineStr"/>
    </row>
    <row r="763" ht="72" customHeight="1">
      <c r="A763" s="16" t="inlineStr">
        <is>
          <t>TC-CP-0039</t>
        </is>
      </c>
      <c r="B763" s="16" t="inlineStr">
        <is>
          <t>Changes-to-Push View</t>
        </is>
      </c>
      <c r="C763" s="16" t="inlineStr">
        <is>
          <t>Environment variable</t>
        </is>
      </c>
      <c r="D763" s="16" t="inlineStr">
        <is>
          <t>Functional</t>
        </is>
      </c>
      <c r="E763" s="16" t="inlineStr">
        <is>
          <t>Change-to-Push: Modify Environment variable field 'type toggle (plain&lt;-&gt;secret)'</t>
        </is>
      </c>
      <c r="F763" s="16" t="inlineStr">
        <is>
          <t>Linked workspace; clean state.</t>
        </is>
      </c>
      <c r="G763" s="16" t="inlineStr">
        <is>
          <t>1. Open the Environment variable.
2. Change 'type toggle (plain&lt;-&gt;secret)' to a different value.
3. Open Workspace panel -&gt; Unpushed changes strip / modal.</t>
        </is>
      </c>
      <c r="H763" s="16" t="inlineStr">
        <is>
          <t>bucket=environmentVar; op=modify type toggle (plain&lt;-&gt;secret)</t>
        </is>
      </c>
      <c r="I763" s="16" t="inlineStr">
        <is>
          <t>Strip count increments (~M modified); modal lists row with badge 'modified', label = Environment variable display name; expanding row shows before/after diff focused on 'type toggle (plain&lt;-&gt;secret)'. Push then clears the row from the list.</t>
        </is>
      </c>
      <c r="J763" s="16" t="inlineStr"/>
      <c r="K763" s="16" t="inlineStr">
        <is>
          <t>Not Run</t>
        </is>
      </c>
      <c r="L763" s="16" t="inlineStr">
        <is>
          <t>High</t>
        </is>
      </c>
      <c r="M763" s="16" t="inlineStr"/>
      <c r="N763" s="16" t="inlineStr"/>
      <c r="O763" s="16" t="inlineStr"/>
    </row>
    <row r="764" ht="72" customHeight="1">
      <c r="A764" s="16" t="inlineStr">
        <is>
          <t>TC-CP-0040</t>
        </is>
      </c>
      <c r="B764" s="16" t="inlineStr">
        <is>
          <t>Changes-to-Push View</t>
        </is>
      </c>
      <c r="C764" s="16" t="inlineStr">
        <is>
          <t>Environment variable</t>
        </is>
      </c>
      <c r="D764" s="16" t="inlineStr">
        <is>
          <t>Functional</t>
        </is>
      </c>
      <c r="E764" s="16" t="inlineStr">
        <is>
          <t>Change-to-Push: Removed a Environment variable</t>
        </is>
      </c>
      <c r="F764" s="16" t="inlineStr">
        <is>
          <t>Linked workspace; clean state.</t>
        </is>
      </c>
      <c r="G764" s="16" t="inlineStr">
        <is>
          <t>1. Delete an existing Environment variable.
2. Open Workspace panel.
3. Inspect Unpushed changes strip and modal.</t>
        </is>
      </c>
      <c r="H764" s="16" t="inlineStr">
        <is>
          <t>bucket=environmentVar; op=Removed</t>
        </is>
      </c>
      <c r="I764" s="16" t="inlineStr">
        <is>
          <t>Strip count reflects the change (+N added / ~M modified / -K removed); modal lists a row with badge 'removed' and the correct label. Pushing clears it.</t>
        </is>
      </c>
      <c r="J764" s="16" t="inlineStr"/>
      <c r="K764" s="16" t="inlineStr">
        <is>
          <t>Not Run</t>
        </is>
      </c>
      <c r="L764" s="16" t="inlineStr">
        <is>
          <t>High</t>
        </is>
      </c>
      <c r="M764" s="16" t="inlineStr"/>
      <c r="N764" s="16" t="inlineStr"/>
      <c r="O764" s="16" t="inlineStr"/>
    </row>
    <row r="765" ht="72" customHeight="1">
      <c r="A765" s="16" t="inlineStr">
        <is>
          <t>TC-CP-0041</t>
        </is>
      </c>
      <c r="B765" s="16" t="inlineStr">
        <is>
          <t>Changes-to-Push View</t>
        </is>
      </c>
      <c r="C765" s="16" t="inlineStr">
        <is>
          <t>Execution plan</t>
        </is>
      </c>
      <c r="D765" s="16" t="inlineStr">
        <is>
          <t>Functional</t>
        </is>
      </c>
      <c r="E765" s="16" t="inlineStr">
        <is>
          <t>Change-to-Push: Added a Execution plan</t>
        </is>
      </c>
      <c r="F765" s="16" t="inlineStr">
        <is>
          <t>Linked workspace; clean state.</t>
        </is>
      </c>
      <c r="G765" s="16" t="inlineStr">
        <is>
          <t>1. Create a new Execution plan.
2. Open Workspace panel.
3. Inspect Unpushed changes strip and modal.</t>
        </is>
      </c>
      <c r="H765" s="16" t="inlineStr">
        <is>
          <t>bucket=executionPlan; op=Added</t>
        </is>
      </c>
      <c r="I765" s="16" t="inlineStr">
        <is>
          <t>Strip count reflects the change (+N added / ~M modified / -K removed); modal lists a row with badge 'added' and the correct label. Pushing clears it.</t>
        </is>
      </c>
      <c r="J765" s="16" t="inlineStr"/>
      <c r="K765" s="16" t="inlineStr">
        <is>
          <t>Not Run</t>
        </is>
      </c>
      <c r="L765" s="16" t="inlineStr">
        <is>
          <t>High</t>
        </is>
      </c>
      <c r="M765" s="16" t="inlineStr"/>
      <c r="N765" s="16" t="inlineStr"/>
      <c r="O765" s="16" t="inlineStr"/>
    </row>
    <row r="766" ht="72" customHeight="1">
      <c r="A766" s="16" t="inlineStr">
        <is>
          <t>TC-CP-0042</t>
        </is>
      </c>
      <c r="B766" s="16" t="inlineStr">
        <is>
          <t>Changes-to-Push View</t>
        </is>
      </c>
      <c r="C766" s="16" t="inlineStr">
        <is>
          <t>Execution plan</t>
        </is>
      </c>
      <c r="D766" s="16" t="inlineStr">
        <is>
          <t>Functional</t>
        </is>
      </c>
      <c r="E766" s="16" t="inlineStr">
        <is>
          <t>Change-to-Push: Modify Execution plan field 'name'</t>
        </is>
      </c>
      <c r="F766" s="16" t="inlineStr">
        <is>
          <t>Linked workspace; clean state.</t>
        </is>
      </c>
      <c r="G766" s="16" t="inlineStr">
        <is>
          <t>1. Open the Execution plan.
2. Change 'name' to a different value.
3. Open Workspace panel -&gt; Unpushed changes strip / modal.</t>
        </is>
      </c>
      <c r="H766" s="16" t="inlineStr">
        <is>
          <t>bucket=executionPlan; op=modify name</t>
        </is>
      </c>
      <c r="I766" s="16" t="inlineStr">
        <is>
          <t>Strip count increments (~M modified); modal lists row with badge 'modified', label = Execution plan display name; expanding row shows before/after diff focused on 'name'. Push then clears the row from the list.</t>
        </is>
      </c>
      <c r="J766" s="16" t="inlineStr"/>
      <c r="K766" s="16" t="inlineStr">
        <is>
          <t>Not Run</t>
        </is>
      </c>
      <c r="L766" s="16" t="inlineStr">
        <is>
          <t>High</t>
        </is>
      </c>
      <c r="M766" s="16" t="inlineStr"/>
      <c r="N766" s="16" t="inlineStr"/>
      <c r="O766" s="16" t="inlineStr"/>
    </row>
    <row r="767" ht="72" customHeight="1">
      <c r="A767" s="16" t="inlineStr">
        <is>
          <t>TC-CP-0043</t>
        </is>
      </c>
      <c r="B767" s="16" t="inlineStr">
        <is>
          <t>Changes-to-Push View</t>
        </is>
      </c>
      <c r="C767" s="16" t="inlineStr">
        <is>
          <t>Execution plan</t>
        </is>
      </c>
      <c r="D767" s="16" t="inlineStr">
        <is>
          <t>Functional</t>
        </is>
      </c>
      <c r="E767" s="16" t="inlineStr">
        <is>
          <t>Change-to-Push: Modify Execution plan field 'step add'</t>
        </is>
      </c>
      <c r="F767" s="16" t="inlineStr">
        <is>
          <t>Linked workspace; clean state.</t>
        </is>
      </c>
      <c r="G767" s="16" t="inlineStr">
        <is>
          <t>1. Open the Execution plan.
2. Change 'step add' to a different value.
3. Open Workspace panel -&gt; Unpushed changes strip / modal.</t>
        </is>
      </c>
      <c r="H767" s="16" t="inlineStr">
        <is>
          <t>bucket=executionPlan; op=modify step add</t>
        </is>
      </c>
      <c r="I767" s="16" t="inlineStr">
        <is>
          <t>Strip count increments (~M modified); modal lists row with badge 'modified', label = Execution plan display name; expanding row shows before/after diff focused on 'step add'. Push then clears the row from the list.</t>
        </is>
      </c>
      <c r="J767" s="16" t="inlineStr"/>
      <c r="K767" s="16" t="inlineStr">
        <is>
          <t>Not Run</t>
        </is>
      </c>
      <c r="L767" s="16" t="inlineStr">
        <is>
          <t>High</t>
        </is>
      </c>
      <c r="M767" s="16" t="inlineStr"/>
      <c r="N767" s="16" t="inlineStr"/>
      <c r="O767" s="16" t="inlineStr"/>
    </row>
    <row r="768" ht="72" customHeight="1">
      <c r="A768" s="16" t="inlineStr">
        <is>
          <t>TC-CP-0044</t>
        </is>
      </c>
      <c r="B768" s="16" t="inlineStr">
        <is>
          <t>Changes-to-Push View</t>
        </is>
      </c>
      <c r="C768" s="16" t="inlineStr">
        <is>
          <t>Execution plan</t>
        </is>
      </c>
      <c r="D768" s="16" t="inlineStr">
        <is>
          <t>Functional</t>
        </is>
      </c>
      <c r="E768" s="16" t="inlineStr">
        <is>
          <t>Change-to-Push: Modify Execution plan field 'step remove'</t>
        </is>
      </c>
      <c r="F768" s="16" t="inlineStr">
        <is>
          <t>Linked workspace; clean state.</t>
        </is>
      </c>
      <c r="G768" s="16" t="inlineStr">
        <is>
          <t>1. Open the Execution plan.
2. Change 'step remove' to a different value.
3. Open Workspace panel -&gt; Unpushed changes strip / modal.</t>
        </is>
      </c>
      <c r="H768" s="16" t="inlineStr">
        <is>
          <t>bucket=executionPlan; op=modify step remove</t>
        </is>
      </c>
      <c r="I768" s="16" t="inlineStr">
        <is>
          <t>Strip count increments (~M modified); modal lists row with badge 'modified', label = Execution plan display name; expanding row shows before/after diff focused on 'step remove'. Push then clears the row from the list.</t>
        </is>
      </c>
      <c r="J768" s="16" t="inlineStr"/>
      <c r="K768" s="16" t="inlineStr">
        <is>
          <t>Not Run</t>
        </is>
      </c>
      <c r="L768" s="16" t="inlineStr">
        <is>
          <t>High</t>
        </is>
      </c>
      <c r="M768" s="16" t="inlineStr"/>
      <c r="N768" s="16" t="inlineStr"/>
      <c r="O768" s="16" t="inlineStr"/>
    </row>
    <row r="769" ht="72" customHeight="1">
      <c r="A769" s="16" t="inlineStr">
        <is>
          <t>TC-CP-0045</t>
        </is>
      </c>
      <c r="B769" s="16" t="inlineStr">
        <is>
          <t>Changes-to-Push View</t>
        </is>
      </c>
      <c r="C769" s="16" t="inlineStr">
        <is>
          <t>Execution plan</t>
        </is>
      </c>
      <c r="D769" s="16" t="inlineStr">
        <is>
          <t>Functional</t>
        </is>
      </c>
      <c r="E769" s="16" t="inlineStr">
        <is>
          <t>Change-to-Push: Modify Execution plan field 'step reorder'</t>
        </is>
      </c>
      <c r="F769" s="16" t="inlineStr">
        <is>
          <t>Linked workspace; clean state.</t>
        </is>
      </c>
      <c r="G769" s="16" t="inlineStr">
        <is>
          <t>1. Open the Execution plan.
2. Change 'step reorder' to a different value.
3. Open Workspace panel -&gt; Unpushed changes strip / modal.</t>
        </is>
      </c>
      <c r="H769" s="16" t="inlineStr">
        <is>
          <t>bucket=executionPlan; op=modify step reorder</t>
        </is>
      </c>
      <c r="I769" s="16" t="inlineStr">
        <is>
          <t>Strip count increments (~M modified); modal lists row with badge 'modified', label = Execution plan display name; expanding row shows before/after diff focused on 'step reorder'. Push then clears the row from the list.</t>
        </is>
      </c>
      <c r="J769" s="16" t="inlineStr"/>
      <c r="K769" s="16" t="inlineStr">
        <is>
          <t>Not Run</t>
        </is>
      </c>
      <c r="L769" s="16" t="inlineStr">
        <is>
          <t>High</t>
        </is>
      </c>
      <c r="M769" s="16" t="inlineStr"/>
      <c r="N769" s="16" t="inlineStr"/>
      <c r="O769" s="16" t="inlineStr"/>
    </row>
    <row r="770" ht="72" customHeight="1">
      <c r="A770" s="16" t="inlineStr">
        <is>
          <t>TC-CP-0046</t>
        </is>
      </c>
      <c r="B770" s="16" t="inlineStr">
        <is>
          <t>Changes-to-Push View</t>
        </is>
      </c>
      <c r="C770" s="16" t="inlineStr">
        <is>
          <t>Execution plan</t>
        </is>
      </c>
      <c r="D770" s="16" t="inlineStr">
        <is>
          <t>Functional</t>
        </is>
      </c>
      <c r="E770" s="16" t="inlineStr">
        <is>
          <t>Change-to-Push: Modify Execution plan field 'step enable/disable'</t>
        </is>
      </c>
      <c r="F770" s="16" t="inlineStr">
        <is>
          <t>Linked workspace; clean state.</t>
        </is>
      </c>
      <c r="G770" s="16" t="inlineStr">
        <is>
          <t>1. Open the Execution plan.
2. Change 'step enable/disable' to a different value.
3. Open Workspace panel -&gt; Unpushed changes strip / modal.</t>
        </is>
      </c>
      <c r="H770" s="16" t="inlineStr">
        <is>
          <t>bucket=executionPlan; op=modify step enable/disable</t>
        </is>
      </c>
      <c r="I770" s="16" t="inlineStr">
        <is>
          <t>Strip count increments (~M modified); modal lists row with badge 'modified', label = Execution plan display name; expanding row shows before/after diff focused on 'step enable/disable'. Push then clears the row from the list.</t>
        </is>
      </c>
      <c r="J770" s="16" t="inlineStr"/>
      <c r="K770" s="16" t="inlineStr">
        <is>
          <t>Not Run</t>
        </is>
      </c>
      <c r="L770" s="16" t="inlineStr">
        <is>
          <t>High</t>
        </is>
      </c>
      <c r="M770" s="16" t="inlineStr"/>
      <c r="N770" s="16" t="inlineStr"/>
      <c r="O770" s="16" t="inlineStr"/>
    </row>
    <row r="771" ht="72" customHeight="1">
      <c r="A771" s="16" t="inlineStr">
        <is>
          <t>TC-CP-0047</t>
        </is>
      </c>
      <c r="B771" s="16" t="inlineStr">
        <is>
          <t>Changes-to-Push View</t>
        </is>
      </c>
      <c r="C771" s="16" t="inlineStr">
        <is>
          <t>Execution plan</t>
        </is>
      </c>
      <c r="D771" s="16" t="inlineStr">
        <is>
          <t>Functional</t>
        </is>
      </c>
      <c r="E771" s="16" t="inlineStr">
        <is>
          <t>Change-to-Push: Removed a Execution plan</t>
        </is>
      </c>
      <c r="F771" s="16" t="inlineStr">
        <is>
          <t>Linked workspace; clean state.</t>
        </is>
      </c>
      <c r="G771" s="16" t="inlineStr">
        <is>
          <t>1. Delete an existing Execution plan.
2. Open Workspace panel.
3. Inspect Unpushed changes strip and modal.</t>
        </is>
      </c>
      <c r="H771" s="16" t="inlineStr">
        <is>
          <t>bucket=executionPlan; op=Removed</t>
        </is>
      </c>
      <c r="I771" s="16" t="inlineStr">
        <is>
          <t>Strip count reflects the change (+N added / ~M modified / -K removed); modal lists a row with badge 'removed' and the correct label. Pushing clears it.</t>
        </is>
      </c>
      <c r="J771" s="16" t="inlineStr"/>
      <c r="K771" s="16" t="inlineStr">
        <is>
          <t>Not Run</t>
        </is>
      </c>
      <c r="L771" s="16" t="inlineStr">
        <is>
          <t>High</t>
        </is>
      </c>
      <c r="M771" s="16" t="inlineStr"/>
      <c r="N771" s="16" t="inlineStr"/>
      <c r="O771" s="16" t="inlineStr"/>
    </row>
    <row r="772" ht="72" customHeight="1">
      <c r="A772" s="16" t="inlineStr">
        <is>
          <t>TC-CP-0048</t>
        </is>
      </c>
      <c r="B772" s="16" t="inlineStr">
        <is>
          <t>Changes-to-Push View</t>
        </is>
      </c>
      <c r="C772" s="16" t="inlineStr">
        <is>
          <t>Mock server</t>
        </is>
      </c>
      <c r="D772" s="16" t="inlineStr">
        <is>
          <t>Functional</t>
        </is>
      </c>
      <c r="E772" s="16" t="inlineStr">
        <is>
          <t>Change-to-Push: Added a Mock server</t>
        </is>
      </c>
      <c r="F772" s="16" t="inlineStr">
        <is>
          <t>Linked workspace; clean state.</t>
        </is>
      </c>
      <c r="G772" s="16" t="inlineStr">
        <is>
          <t>1. Create a new Mock server.
2. Open Workspace panel.
3. Inspect Unpushed changes strip and modal.</t>
        </is>
      </c>
      <c r="H772" s="16" t="inlineStr">
        <is>
          <t>bucket=mockServer; op=Added</t>
        </is>
      </c>
      <c r="I772" s="16" t="inlineStr">
        <is>
          <t>Strip count reflects the change (+N added / ~M modified / -K removed); modal lists a row with badge 'added' and the correct label. Pushing clears it.</t>
        </is>
      </c>
      <c r="J772" s="16" t="inlineStr"/>
      <c r="K772" s="16" t="inlineStr">
        <is>
          <t>Not Run</t>
        </is>
      </c>
      <c r="L772" s="16" t="inlineStr">
        <is>
          <t>High</t>
        </is>
      </c>
      <c r="M772" s="16" t="inlineStr"/>
      <c r="N772" s="16" t="inlineStr"/>
      <c r="O772" s="16" t="inlineStr"/>
    </row>
    <row r="773" ht="72" customHeight="1">
      <c r="A773" s="16" t="inlineStr">
        <is>
          <t>TC-CP-0049</t>
        </is>
      </c>
      <c r="B773" s="16" t="inlineStr">
        <is>
          <t>Changes-to-Push View</t>
        </is>
      </c>
      <c r="C773" s="16" t="inlineStr">
        <is>
          <t>Mock server</t>
        </is>
      </c>
      <c r="D773" s="16" t="inlineStr">
        <is>
          <t>Functional</t>
        </is>
      </c>
      <c r="E773" s="16" t="inlineStr">
        <is>
          <t>Change-to-Push: Modify Mock server field 'name'</t>
        </is>
      </c>
      <c r="F773" s="16" t="inlineStr">
        <is>
          <t>Linked workspace; clean state.</t>
        </is>
      </c>
      <c r="G773" s="16" t="inlineStr">
        <is>
          <t>1. Open the Mock server.
2. Change 'name' to a different value.
3. Open Workspace panel -&gt; Unpushed changes strip / modal.</t>
        </is>
      </c>
      <c r="H773" s="16" t="inlineStr">
        <is>
          <t>bucket=mockServer; op=modify name</t>
        </is>
      </c>
      <c r="I773" s="16" t="inlineStr">
        <is>
          <t>Strip count increments (~M modified); modal lists row with badge 'modified', label = Mock server display name; expanding row shows before/after diff focused on 'name'. Push then clears the row from the list.</t>
        </is>
      </c>
      <c r="J773" s="16" t="inlineStr"/>
      <c r="K773" s="16" t="inlineStr">
        <is>
          <t>Not Run</t>
        </is>
      </c>
      <c r="L773" s="16" t="inlineStr">
        <is>
          <t>High</t>
        </is>
      </c>
      <c r="M773" s="16" t="inlineStr"/>
      <c r="N773" s="16" t="inlineStr"/>
      <c r="O773" s="16" t="inlineStr"/>
    </row>
    <row r="774" ht="72" customHeight="1">
      <c r="A774" s="16" t="inlineStr">
        <is>
          <t>TC-CP-0050</t>
        </is>
      </c>
      <c r="B774" s="16" t="inlineStr">
        <is>
          <t>Changes-to-Push View</t>
        </is>
      </c>
      <c r="C774" s="16" t="inlineStr">
        <is>
          <t>Mock server</t>
        </is>
      </c>
      <c r="D774" s="16" t="inlineStr">
        <is>
          <t>Functional</t>
        </is>
      </c>
      <c r="E774" s="16" t="inlineStr">
        <is>
          <t>Change-to-Push: Modify Mock server field 'endpoints'</t>
        </is>
      </c>
      <c r="F774" s="16" t="inlineStr">
        <is>
          <t>Linked workspace; clean state.</t>
        </is>
      </c>
      <c r="G774" s="16" t="inlineStr">
        <is>
          <t>1. Open the Mock server.
2. Change 'endpoints' to a different value.
3. Open Workspace panel -&gt; Unpushed changes strip / modal.</t>
        </is>
      </c>
      <c r="H774" s="16" t="inlineStr">
        <is>
          <t>bucket=mockServer; op=modify endpoints</t>
        </is>
      </c>
      <c r="I774" s="16" t="inlineStr">
        <is>
          <t>Strip count increments (~M modified); modal lists row with badge 'modified', label = Mock server display name; expanding row shows before/after diff focused on 'endpoints'. Push then clears the row from the list.</t>
        </is>
      </c>
      <c r="J774" s="16" t="inlineStr"/>
      <c r="K774" s="16" t="inlineStr">
        <is>
          <t>Not Run</t>
        </is>
      </c>
      <c r="L774" s="16" t="inlineStr">
        <is>
          <t>High</t>
        </is>
      </c>
      <c r="M774" s="16" t="inlineStr"/>
      <c r="N774" s="16" t="inlineStr"/>
      <c r="O774" s="16" t="inlineStr"/>
    </row>
    <row r="775" ht="72" customHeight="1">
      <c r="A775" s="16" t="inlineStr">
        <is>
          <t>TC-CP-0051</t>
        </is>
      </c>
      <c r="B775" s="16" t="inlineStr">
        <is>
          <t>Changes-to-Push View</t>
        </is>
      </c>
      <c r="C775" s="16" t="inlineStr">
        <is>
          <t>Mock server</t>
        </is>
      </c>
      <c r="D775" s="16" t="inlineStr">
        <is>
          <t>Functional</t>
        </is>
      </c>
      <c r="E775" s="16" t="inlineStr">
        <is>
          <t>Change-to-Push: Modify Mock server field 'responses'</t>
        </is>
      </c>
      <c r="F775" s="16" t="inlineStr">
        <is>
          <t>Linked workspace; clean state.</t>
        </is>
      </c>
      <c r="G775" s="16" t="inlineStr">
        <is>
          <t>1. Open the Mock server.
2. Change 'responses' to a different value.
3. Open Workspace panel -&gt; Unpushed changes strip / modal.</t>
        </is>
      </c>
      <c r="H775" s="16" t="inlineStr">
        <is>
          <t>bucket=mockServer; op=modify responses</t>
        </is>
      </c>
      <c r="I775" s="16" t="inlineStr">
        <is>
          <t>Strip count increments (~M modified); modal lists row with badge 'modified', label = Mock server display name; expanding row shows before/after diff focused on 'responses'. Push then clears the row from the list.</t>
        </is>
      </c>
      <c r="J775" s="16" t="inlineStr"/>
      <c r="K775" s="16" t="inlineStr">
        <is>
          <t>Not Run</t>
        </is>
      </c>
      <c r="L775" s="16" t="inlineStr">
        <is>
          <t>High</t>
        </is>
      </c>
      <c r="M775" s="16" t="inlineStr"/>
      <c r="N775" s="16" t="inlineStr"/>
      <c r="O775" s="16" t="inlineStr"/>
    </row>
    <row r="776" ht="72" customHeight="1">
      <c r="A776" s="16" t="inlineStr">
        <is>
          <t>TC-CP-0052</t>
        </is>
      </c>
      <c r="B776" s="16" t="inlineStr">
        <is>
          <t>Changes-to-Push View</t>
        </is>
      </c>
      <c r="C776" s="16" t="inlineStr">
        <is>
          <t>Mock server</t>
        </is>
      </c>
      <c r="D776" s="16" t="inlineStr">
        <is>
          <t>Functional</t>
        </is>
      </c>
      <c r="E776" s="16" t="inlineStr">
        <is>
          <t>Change-to-Push: Removed a Mock server</t>
        </is>
      </c>
      <c r="F776" s="16" t="inlineStr">
        <is>
          <t>Linked workspace; clean state.</t>
        </is>
      </c>
      <c r="G776" s="16" t="inlineStr">
        <is>
          <t>1. Delete an existing Mock server.
2. Open Workspace panel.
3. Inspect Unpushed changes strip and modal.</t>
        </is>
      </c>
      <c r="H776" s="16" t="inlineStr">
        <is>
          <t>bucket=mockServer; op=Removed</t>
        </is>
      </c>
      <c r="I776" s="16" t="inlineStr">
        <is>
          <t>Strip count reflects the change (+N added / ~M modified / -K removed); modal lists a row with badge 'removed' and the correct label. Pushing clears it.</t>
        </is>
      </c>
      <c r="J776" s="16" t="inlineStr"/>
      <c r="K776" s="16" t="inlineStr">
        <is>
          <t>Not Run</t>
        </is>
      </c>
      <c r="L776" s="16" t="inlineStr">
        <is>
          <t>High</t>
        </is>
      </c>
      <c r="M776" s="16" t="inlineStr"/>
      <c r="N776" s="16" t="inlineStr"/>
      <c r="O776" s="16" t="inlineStr"/>
    </row>
    <row r="777" ht="72" customHeight="1">
      <c r="A777" s="16" t="inlineStr">
        <is>
          <t>TC-CP-0053</t>
        </is>
      </c>
      <c r="B777" s="16" t="inlineStr">
        <is>
          <t>Changes-to-Push View</t>
        </is>
      </c>
      <c r="C777" s="16" t="inlineStr">
        <is>
          <t>Mock endpoint</t>
        </is>
      </c>
      <c r="D777" s="16" t="inlineStr">
        <is>
          <t>Functional</t>
        </is>
      </c>
      <c r="E777" s="16" t="inlineStr">
        <is>
          <t>Change-to-Push: Added a Mock endpoint</t>
        </is>
      </c>
      <c r="F777" s="16" t="inlineStr">
        <is>
          <t>Linked workspace; clean state.</t>
        </is>
      </c>
      <c r="G777" s="16" t="inlineStr">
        <is>
          <t>1. Create a new Mock endpoint.
2. Open Workspace panel.
3. Inspect Unpushed changes strip and modal.</t>
        </is>
      </c>
      <c r="H777" s="16" t="inlineStr">
        <is>
          <t>bucket=mockEndpoint; op=Added</t>
        </is>
      </c>
      <c r="I777" s="16" t="inlineStr">
        <is>
          <t>Strip count reflects the change (+N added / ~M modified / -K removed); modal lists a row with badge 'added' and the correct label. Pushing clears it.</t>
        </is>
      </c>
      <c r="J777" s="16" t="inlineStr"/>
      <c r="K777" s="16" t="inlineStr">
        <is>
          <t>Not Run</t>
        </is>
      </c>
      <c r="L777" s="16" t="inlineStr">
        <is>
          <t>Medium</t>
        </is>
      </c>
      <c r="M777" s="16" t="inlineStr"/>
      <c r="N777" s="16" t="inlineStr"/>
      <c r="O777" s="16" t="inlineStr"/>
    </row>
    <row r="778" ht="72" customHeight="1">
      <c r="A778" s="16" t="inlineStr">
        <is>
          <t>TC-CP-0054</t>
        </is>
      </c>
      <c r="B778" s="16" t="inlineStr">
        <is>
          <t>Changes-to-Push View</t>
        </is>
      </c>
      <c r="C778" s="16" t="inlineStr">
        <is>
          <t>Mock endpoint</t>
        </is>
      </c>
      <c r="D778" s="16" t="inlineStr">
        <is>
          <t>Functional</t>
        </is>
      </c>
      <c r="E778" s="16" t="inlineStr">
        <is>
          <t>Change-to-Push: Modify Mock endpoint field 'path'</t>
        </is>
      </c>
      <c r="F778" s="16" t="inlineStr">
        <is>
          <t>Linked workspace; clean state.</t>
        </is>
      </c>
      <c r="G778" s="16" t="inlineStr">
        <is>
          <t>1. Open the Mock endpoint.
2. Change 'path' to a different value.
3. Open Workspace panel -&gt; Unpushed changes strip / modal.</t>
        </is>
      </c>
      <c r="H778" s="16" t="inlineStr">
        <is>
          <t>bucket=mockEndpoint; op=modify path</t>
        </is>
      </c>
      <c r="I778" s="16" t="inlineStr">
        <is>
          <t>Strip count increments (~M modified); modal lists row with badge 'modified', label = Mock endpoint display name; expanding row shows before/after diff focused on 'path'. Push then clears the row from the list.</t>
        </is>
      </c>
      <c r="J778" s="16" t="inlineStr"/>
      <c r="K778" s="16" t="inlineStr">
        <is>
          <t>Not Run</t>
        </is>
      </c>
      <c r="L778" s="16" t="inlineStr">
        <is>
          <t>Medium</t>
        </is>
      </c>
      <c r="M778" s="16" t="inlineStr"/>
      <c r="N778" s="16" t="inlineStr"/>
      <c r="O778" s="16" t="inlineStr"/>
    </row>
    <row r="779" ht="72" customHeight="1">
      <c r="A779" s="16" t="inlineStr">
        <is>
          <t>TC-CP-0055</t>
        </is>
      </c>
      <c r="B779" s="16" t="inlineStr">
        <is>
          <t>Changes-to-Push View</t>
        </is>
      </c>
      <c r="C779" s="16" t="inlineStr">
        <is>
          <t>Mock endpoint</t>
        </is>
      </c>
      <c r="D779" s="16" t="inlineStr">
        <is>
          <t>Functional</t>
        </is>
      </c>
      <c r="E779" s="16" t="inlineStr">
        <is>
          <t>Change-to-Push: Modify Mock endpoint field 'method'</t>
        </is>
      </c>
      <c r="F779" s="16" t="inlineStr">
        <is>
          <t>Linked workspace; clean state.</t>
        </is>
      </c>
      <c r="G779" s="16" t="inlineStr">
        <is>
          <t>1. Open the Mock endpoint.
2. Change 'method' to a different value.
3. Open Workspace panel -&gt; Unpushed changes strip / modal.</t>
        </is>
      </c>
      <c r="H779" s="16" t="inlineStr">
        <is>
          <t>bucket=mockEndpoint; op=modify method</t>
        </is>
      </c>
      <c r="I779" s="16" t="inlineStr">
        <is>
          <t>Strip count increments (~M modified); modal lists row with badge 'modified', label = Mock endpoint display name; expanding row shows before/after diff focused on 'method'. Push then clears the row from the list.</t>
        </is>
      </c>
      <c r="J779" s="16" t="inlineStr"/>
      <c r="K779" s="16" t="inlineStr">
        <is>
          <t>Not Run</t>
        </is>
      </c>
      <c r="L779" s="16" t="inlineStr">
        <is>
          <t>Medium</t>
        </is>
      </c>
      <c r="M779" s="16" t="inlineStr"/>
      <c r="N779" s="16" t="inlineStr"/>
      <c r="O779" s="16" t="inlineStr"/>
    </row>
    <row r="780" ht="72" customHeight="1">
      <c r="A780" s="16" t="inlineStr">
        <is>
          <t>TC-CP-0056</t>
        </is>
      </c>
      <c r="B780" s="16" t="inlineStr">
        <is>
          <t>Changes-to-Push View</t>
        </is>
      </c>
      <c r="C780" s="16" t="inlineStr">
        <is>
          <t>Mock endpoint</t>
        </is>
      </c>
      <c r="D780" s="16" t="inlineStr">
        <is>
          <t>Functional</t>
        </is>
      </c>
      <c r="E780" s="16" t="inlineStr">
        <is>
          <t>Change-to-Push: Modify Mock endpoint field 'matching rule'</t>
        </is>
      </c>
      <c r="F780" s="16" t="inlineStr">
        <is>
          <t>Linked workspace; clean state.</t>
        </is>
      </c>
      <c r="G780" s="16" t="inlineStr">
        <is>
          <t>1. Open the Mock endpoint.
2. Change 'matching rule' to a different value.
3. Open Workspace panel -&gt; Unpushed changes strip / modal.</t>
        </is>
      </c>
      <c r="H780" s="16" t="inlineStr">
        <is>
          <t>bucket=mockEndpoint; op=modify matching rule</t>
        </is>
      </c>
      <c r="I780" s="16" t="inlineStr">
        <is>
          <t>Strip count increments (~M modified); modal lists row with badge 'modified', label = Mock endpoint display name; expanding row shows before/after diff focused on 'matching rule'. Push then clears the row from the list.</t>
        </is>
      </c>
      <c r="J780" s="16" t="inlineStr"/>
      <c r="K780" s="16" t="inlineStr">
        <is>
          <t>Not Run</t>
        </is>
      </c>
      <c r="L780" s="16" t="inlineStr">
        <is>
          <t>Medium</t>
        </is>
      </c>
      <c r="M780" s="16" t="inlineStr"/>
      <c r="N780" s="16" t="inlineStr"/>
      <c r="O780" s="16" t="inlineStr"/>
    </row>
    <row r="781" ht="72" customHeight="1">
      <c r="A781" s="16" t="inlineStr">
        <is>
          <t>TC-CP-0057</t>
        </is>
      </c>
      <c r="B781" s="16" t="inlineStr">
        <is>
          <t>Changes-to-Push View</t>
        </is>
      </c>
      <c r="C781" s="16" t="inlineStr">
        <is>
          <t>Mock endpoint</t>
        </is>
      </c>
      <c r="D781" s="16" t="inlineStr">
        <is>
          <t>Functional</t>
        </is>
      </c>
      <c r="E781" s="16" t="inlineStr">
        <is>
          <t>Change-to-Push: Removed a Mock endpoint</t>
        </is>
      </c>
      <c r="F781" s="16" t="inlineStr">
        <is>
          <t>Linked workspace; clean state.</t>
        </is>
      </c>
      <c r="G781" s="16" t="inlineStr">
        <is>
          <t>1. Delete an existing Mock endpoint.
2. Open Workspace panel.
3. Inspect Unpushed changes strip and modal.</t>
        </is>
      </c>
      <c r="H781" s="16" t="inlineStr">
        <is>
          <t>bucket=mockEndpoint; op=Removed</t>
        </is>
      </c>
      <c r="I781" s="16" t="inlineStr">
        <is>
          <t>Strip count reflects the change (+N added / ~M modified / -K removed); modal lists a row with badge 'removed' and the correct label. Pushing clears it.</t>
        </is>
      </c>
      <c r="J781" s="16" t="inlineStr"/>
      <c r="K781" s="16" t="inlineStr">
        <is>
          <t>Not Run</t>
        </is>
      </c>
      <c r="L781" s="16" t="inlineStr">
        <is>
          <t>Medium</t>
        </is>
      </c>
      <c r="M781" s="16" t="inlineStr"/>
      <c r="N781" s="16" t="inlineStr"/>
      <c r="O781" s="16" t="inlineStr"/>
    </row>
    <row r="782" ht="72" customHeight="1">
      <c r="A782" s="16" t="inlineStr">
        <is>
          <t>TC-CP-0058</t>
        </is>
      </c>
      <c r="B782" s="16" t="inlineStr">
        <is>
          <t>Changes-to-Push View</t>
        </is>
      </c>
      <c r="C782" s="16" t="inlineStr">
        <is>
          <t>Mock response</t>
        </is>
      </c>
      <c r="D782" s="16" t="inlineStr">
        <is>
          <t>Functional</t>
        </is>
      </c>
      <c r="E782" s="16" t="inlineStr">
        <is>
          <t>Change-to-Push: Added a Mock response</t>
        </is>
      </c>
      <c r="F782" s="16" t="inlineStr">
        <is>
          <t>Linked workspace; clean state.</t>
        </is>
      </c>
      <c r="G782" s="16" t="inlineStr">
        <is>
          <t>1. Create a new Mock response.
2. Open Workspace panel.
3. Inspect Unpushed changes strip and modal.</t>
        </is>
      </c>
      <c r="H782" s="16" t="inlineStr">
        <is>
          <t>bucket=mockResponse; op=Added</t>
        </is>
      </c>
      <c r="I782" s="16" t="inlineStr">
        <is>
          <t>Strip count reflects the change (+N added / ~M modified / -K removed); modal lists a row with badge 'added' and the correct label. Pushing clears it.</t>
        </is>
      </c>
      <c r="J782" s="16" t="inlineStr"/>
      <c r="K782" s="16" t="inlineStr">
        <is>
          <t>Not Run</t>
        </is>
      </c>
      <c r="L782" s="16" t="inlineStr">
        <is>
          <t>Medium</t>
        </is>
      </c>
      <c r="M782" s="16" t="inlineStr"/>
      <c r="N782" s="16" t="inlineStr"/>
      <c r="O782" s="16" t="inlineStr"/>
    </row>
    <row r="783" ht="72" customHeight="1">
      <c r="A783" s="16" t="inlineStr">
        <is>
          <t>TC-CP-0059</t>
        </is>
      </c>
      <c r="B783" s="16" t="inlineStr">
        <is>
          <t>Changes-to-Push View</t>
        </is>
      </c>
      <c r="C783" s="16" t="inlineStr">
        <is>
          <t>Mock response</t>
        </is>
      </c>
      <c r="D783" s="16" t="inlineStr">
        <is>
          <t>Functional</t>
        </is>
      </c>
      <c r="E783" s="16" t="inlineStr">
        <is>
          <t>Change-to-Push: Modify Mock response field 'status'</t>
        </is>
      </c>
      <c r="F783" s="16" t="inlineStr">
        <is>
          <t>Linked workspace; clean state.</t>
        </is>
      </c>
      <c r="G783" s="16" t="inlineStr">
        <is>
          <t>1. Open the Mock response.
2. Change 'status' to a different value.
3. Open Workspace panel -&gt; Unpushed changes strip / modal.</t>
        </is>
      </c>
      <c r="H783" s="16" t="inlineStr">
        <is>
          <t>bucket=mockResponse; op=modify status</t>
        </is>
      </c>
      <c r="I783" s="16" t="inlineStr">
        <is>
          <t>Strip count increments (~M modified); modal lists row with badge 'modified', label = Mock response display name; expanding row shows before/after diff focused on 'status'. Push then clears the row from the list.</t>
        </is>
      </c>
      <c r="J783" s="16" t="inlineStr"/>
      <c r="K783" s="16" t="inlineStr">
        <is>
          <t>Not Run</t>
        </is>
      </c>
      <c r="L783" s="16" t="inlineStr">
        <is>
          <t>Medium</t>
        </is>
      </c>
      <c r="M783" s="16" t="inlineStr"/>
      <c r="N783" s="16" t="inlineStr"/>
      <c r="O783" s="16" t="inlineStr"/>
    </row>
    <row r="784" ht="72" customHeight="1">
      <c r="A784" s="16" t="inlineStr">
        <is>
          <t>TC-CP-0060</t>
        </is>
      </c>
      <c r="B784" s="16" t="inlineStr">
        <is>
          <t>Changes-to-Push View</t>
        </is>
      </c>
      <c r="C784" s="16" t="inlineStr">
        <is>
          <t>Mock response</t>
        </is>
      </c>
      <c r="D784" s="16" t="inlineStr">
        <is>
          <t>Functional</t>
        </is>
      </c>
      <c r="E784" s="16" t="inlineStr">
        <is>
          <t>Change-to-Push: Modify Mock response field 'headers'</t>
        </is>
      </c>
      <c r="F784" s="16" t="inlineStr">
        <is>
          <t>Linked workspace; clean state.</t>
        </is>
      </c>
      <c r="G784" s="16" t="inlineStr">
        <is>
          <t>1. Open the Mock response.
2. Change 'headers' to a different value.
3. Open Workspace panel -&gt; Unpushed changes strip / modal.</t>
        </is>
      </c>
      <c r="H784" s="16" t="inlineStr">
        <is>
          <t>bucket=mockResponse; op=modify headers</t>
        </is>
      </c>
      <c r="I784" s="16" t="inlineStr">
        <is>
          <t>Strip count increments (~M modified); modal lists row with badge 'modified', label = Mock response display name; expanding row shows before/after diff focused on 'headers'. Push then clears the row from the list.</t>
        </is>
      </c>
      <c r="J784" s="16" t="inlineStr"/>
      <c r="K784" s="16" t="inlineStr">
        <is>
          <t>Not Run</t>
        </is>
      </c>
      <c r="L784" s="16" t="inlineStr">
        <is>
          <t>Medium</t>
        </is>
      </c>
      <c r="M784" s="16" t="inlineStr"/>
      <c r="N784" s="16" t="inlineStr"/>
      <c r="O784" s="16" t="inlineStr"/>
    </row>
    <row r="785" ht="72" customHeight="1">
      <c r="A785" s="16" t="inlineStr">
        <is>
          <t>TC-CP-0061</t>
        </is>
      </c>
      <c r="B785" s="16" t="inlineStr">
        <is>
          <t>Changes-to-Push View</t>
        </is>
      </c>
      <c r="C785" s="16" t="inlineStr">
        <is>
          <t>Mock response</t>
        </is>
      </c>
      <c r="D785" s="16" t="inlineStr">
        <is>
          <t>Functional</t>
        </is>
      </c>
      <c r="E785" s="16" t="inlineStr">
        <is>
          <t>Change-to-Push: Modify Mock response field 'body'</t>
        </is>
      </c>
      <c r="F785" s="16" t="inlineStr">
        <is>
          <t>Linked workspace; clean state.</t>
        </is>
      </c>
      <c r="G785" s="16" t="inlineStr">
        <is>
          <t>1. Open the Mock response.
2. Change 'body' to a different value.
3. Open Workspace panel -&gt; Unpushed changes strip / modal.</t>
        </is>
      </c>
      <c r="H785" s="16" t="inlineStr">
        <is>
          <t>bucket=mockResponse; op=modify body</t>
        </is>
      </c>
      <c r="I785" s="16" t="inlineStr">
        <is>
          <t>Strip count increments (~M modified); modal lists row with badge 'modified', label = Mock response display name; expanding row shows before/after diff focused on 'body'. Push then clears the row from the list.</t>
        </is>
      </c>
      <c r="J785" s="16" t="inlineStr"/>
      <c r="K785" s="16" t="inlineStr">
        <is>
          <t>Not Run</t>
        </is>
      </c>
      <c r="L785" s="16" t="inlineStr">
        <is>
          <t>Medium</t>
        </is>
      </c>
      <c r="M785" s="16" t="inlineStr"/>
      <c r="N785" s="16" t="inlineStr"/>
      <c r="O785" s="16" t="inlineStr"/>
    </row>
    <row r="786" ht="72" customHeight="1">
      <c r="A786" s="16" t="inlineStr">
        <is>
          <t>TC-CP-0062</t>
        </is>
      </c>
      <c r="B786" s="16" t="inlineStr">
        <is>
          <t>Changes-to-Push View</t>
        </is>
      </c>
      <c r="C786" s="16" t="inlineStr">
        <is>
          <t>Mock response</t>
        </is>
      </c>
      <c r="D786" s="16" t="inlineStr">
        <is>
          <t>Functional</t>
        </is>
      </c>
      <c r="E786" s="16" t="inlineStr">
        <is>
          <t>Change-to-Push: Removed a Mock response</t>
        </is>
      </c>
      <c r="F786" s="16" t="inlineStr">
        <is>
          <t>Linked workspace; clean state.</t>
        </is>
      </c>
      <c r="G786" s="16" t="inlineStr">
        <is>
          <t>1. Delete an existing Mock response.
2. Open Workspace panel.
3. Inspect Unpushed changes strip and modal.</t>
        </is>
      </c>
      <c r="H786" s="16" t="inlineStr">
        <is>
          <t>bucket=mockResponse; op=Removed</t>
        </is>
      </c>
      <c r="I786" s="16" t="inlineStr">
        <is>
          <t>Strip count reflects the change (+N added / ~M modified / -K removed); modal lists a row with badge 'removed' and the correct label. Pushing clears it.</t>
        </is>
      </c>
      <c r="J786" s="16" t="inlineStr"/>
      <c r="K786" s="16" t="inlineStr">
        <is>
          <t>Not Run</t>
        </is>
      </c>
      <c r="L786" s="16" t="inlineStr">
        <is>
          <t>Medium</t>
        </is>
      </c>
      <c r="M786" s="16" t="inlineStr"/>
      <c r="N786" s="16" t="inlineStr"/>
      <c r="O786" s="16" t="inlineStr"/>
    </row>
    <row r="787" ht="72" customHeight="1">
      <c r="A787" s="16" t="inlineStr">
        <is>
          <t>TC-CP-0063</t>
        </is>
      </c>
      <c r="B787" s="16" t="inlineStr">
        <is>
          <t>Changes-to-Push View</t>
        </is>
      </c>
      <c r="C787" s="16" t="inlineStr">
        <is>
          <t>Linked workspace</t>
        </is>
      </c>
      <c r="D787" s="16" t="inlineStr">
        <is>
          <t>Functional</t>
        </is>
      </c>
      <c r="E787" s="16" t="inlineStr">
        <is>
          <t>Change-to-Push: Added a Linked workspace</t>
        </is>
      </c>
      <c r="F787" s="16" t="inlineStr">
        <is>
          <t>Linked workspace; clean state.</t>
        </is>
      </c>
      <c r="G787" s="16" t="inlineStr">
        <is>
          <t>1. Create a new Linked workspace.
2. Open Workspace panel.
3. Inspect Unpushed changes strip and modal.</t>
        </is>
      </c>
      <c r="H787" s="16" t="inlineStr">
        <is>
          <t>bucket=linkedWorkspace; op=Added</t>
        </is>
      </c>
      <c r="I787" s="16" t="inlineStr">
        <is>
          <t>Strip count reflects the change (+N added / ~M modified / -K removed); modal lists a row with badge 'added' and the correct label. Pushing clears it.</t>
        </is>
      </c>
      <c r="J787" s="16" t="inlineStr"/>
      <c r="K787" s="16" t="inlineStr">
        <is>
          <t>Not Run</t>
        </is>
      </c>
      <c r="L787" s="16" t="inlineStr">
        <is>
          <t>Medium</t>
        </is>
      </c>
      <c r="M787" s="16" t="inlineStr"/>
      <c r="N787" s="16" t="inlineStr"/>
      <c r="O787" s="16" t="inlineStr"/>
    </row>
    <row r="788" ht="72" customHeight="1">
      <c r="A788" s="16" t="inlineStr">
        <is>
          <t>TC-CP-0064</t>
        </is>
      </c>
      <c r="B788" s="16" t="inlineStr">
        <is>
          <t>Changes-to-Push View</t>
        </is>
      </c>
      <c r="C788" s="16" t="inlineStr">
        <is>
          <t>Linked workspace</t>
        </is>
      </c>
      <c r="D788" s="16" t="inlineStr">
        <is>
          <t>Functional</t>
        </is>
      </c>
      <c r="E788" s="16" t="inlineStr">
        <is>
          <t>Change-to-Push: Modify Linked workspace field 'link'</t>
        </is>
      </c>
      <c r="F788" s="16" t="inlineStr">
        <is>
          <t>Linked workspace; clean state.</t>
        </is>
      </c>
      <c r="G788" s="16" t="inlineStr">
        <is>
          <t>1. Open the Linked workspace.
2. Change 'link' to a different value.
3. Open Workspace panel -&gt; Unpushed changes strip / modal.</t>
        </is>
      </c>
      <c r="H788" s="16" t="inlineStr">
        <is>
          <t>bucket=linkedWorkspace; op=modify link</t>
        </is>
      </c>
      <c r="I788" s="16" t="inlineStr">
        <is>
          <t>Strip count increments (~M modified); modal lists row with badge 'modified', label = Linked workspace display name; expanding row shows before/after diff focused on 'link'. Push then clears the row from the list.</t>
        </is>
      </c>
      <c r="J788" s="16" t="inlineStr"/>
      <c r="K788" s="16" t="inlineStr">
        <is>
          <t>Not Run</t>
        </is>
      </c>
      <c r="L788" s="16" t="inlineStr">
        <is>
          <t>Medium</t>
        </is>
      </c>
      <c r="M788" s="16" t="inlineStr"/>
      <c r="N788" s="16" t="inlineStr"/>
      <c r="O788" s="16" t="inlineStr"/>
    </row>
    <row r="789" ht="72" customHeight="1">
      <c r="A789" s="16" t="inlineStr">
        <is>
          <t>TC-CP-0065</t>
        </is>
      </c>
      <c r="B789" s="16" t="inlineStr">
        <is>
          <t>Changes-to-Push View</t>
        </is>
      </c>
      <c r="C789" s="16" t="inlineStr">
        <is>
          <t>Linked workspace</t>
        </is>
      </c>
      <c r="D789" s="16" t="inlineStr">
        <is>
          <t>Functional</t>
        </is>
      </c>
      <c r="E789" s="16" t="inlineStr">
        <is>
          <t>Change-to-Push: Modify Linked workspace field 'unlink'</t>
        </is>
      </c>
      <c r="F789" s="16" t="inlineStr">
        <is>
          <t>Linked workspace; clean state.</t>
        </is>
      </c>
      <c r="G789" s="16" t="inlineStr">
        <is>
          <t>1. Open the Linked workspace.
2. Change 'unlink' to a different value.
3. Open Workspace panel -&gt; Unpushed changes strip / modal.</t>
        </is>
      </c>
      <c r="H789" s="16" t="inlineStr">
        <is>
          <t>bucket=linkedWorkspace; op=modify unlink</t>
        </is>
      </c>
      <c r="I789" s="16" t="inlineStr">
        <is>
          <t>Strip count increments (~M modified); modal lists row with badge 'modified', label = Linked workspace display name; expanding row shows before/after diff focused on 'unlink'. Push then clears the row from the list.</t>
        </is>
      </c>
      <c r="J789" s="16" t="inlineStr"/>
      <c r="K789" s="16" t="inlineStr">
        <is>
          <t>Not Run</t>
        </is>
      </c>
      <c r="L789" s="16" t="inlineStr">
        <is>
          <t>Medium</t>
        </is>
      </c>
      <c r="M789" s="16" t="inlineStr"/>
      <c r="N789" s="16" t="inlineStr"/>
      <c r="O789" s="16" t="inlineStr"/>
    </row>
    <row r="790" ht="72" customHeight="1">
      <c r="A790" s="16" t="inlineStr">
        <is>
          <t>TC-CP-0066</t>
        </is>
      </c>
      <c r="B790" s="16" t="inlineStr">
        <is>
          <t>Changes-to-Push View</t>
        </is>
      </c>
      <c r="C790" s="16" t="inlineStr">
        <is>
          <t>Linked workspace</t>
        </is>
      </c>
      <c r="D790" s="16" t="inlineStr">
        <is>
          <t>Functional</t>
        </is>
      </c>
      <c r="E790" s="16" t="inlineStr">
        <is>
          <t>Change-to-Push: Modify Linked workspace field 'metadata'</t>
        </is>
      </c>
      <c r="F790" s="16" t="inlineStr">
        <is>
          <t>Linked workspace; clean state.</t>
        </is>
      </c>
      <c r="G790" s="16" t="inlineStr">
        <is>
          <t>1. Open the Linked workspace.
2. Change 'metadata' to a different value.
3. Open Workspace panel -&gt; Unpushed changes strip / modal.</t>
        </is>
      </c>
      <c r="H790" s="16" t="inlineStr">
        <is>
          <t>bucket=linkedWorkspace; op=modify metadata</t>
        </is>
      </c>
      <c r="I790" s="16" t="inlineStr">
        <is>
          <t>Strip count increments (~M modified); modal lists row with badge 'modified', label = Linked workspace display name; expanding row shows before/after diff focused on 'metadata'. Push then clears the row from the list.</t>
        </is>
      </c>
      <c r="J790" s="16" t="inlineStr"/>
      <c r="K790" s="16" t="inlineStr">
        <is>
          <t>Not Run</t>
        </is>
      </c>
      <c r="L790" s="16" t="inlineStr">
        <is>
          <t>Medium</t>
        </is>
      </c>
      <c r="M790" s="16" t="inlineStr"/>
      <c r="N790" s="16" t="inlineStr"/>
      <c r="O790" s="16" t="inlineStr"/>
    </row>
    <row r="791" ht="72" customHeight="1">
      <c r="A791" s="16" t="inlineStr">
        <is>
          <t>TC-CP-0067</t>
        </is>
      </c>
      <c r="B791" s="16" t="inlineStr">
        <is>
          <t>Changes-to-Push View</t>
        </is>
      </c>
      <c r="C791" s="16" t="inlineStr">
        <is>
          <t>Linked workspace</t>
        </is>
      </c>
      <c r="D791" s="16" t="inlineStr">
        <is>
          <t>Functional</t>
        </is>
      </c>
      <c r="E791" s="16" t="inlineStr">
        <is>
          <t>Change-to-Push: Removed a Linked workspace</t>
        </is>
      </c>
      <c r="F791" s="16" t="inlineStr">
        <is>
          <t>Linked workspace; clean state.</t>
        </is>
      </c>
      <c r="G791" s="16" t="inlineStr">
        <is>
          <t>1. Delete an existing Linked workspace.
2. Open Workspace panel.
3. Inspect Unpushed changes strip and modal.</t>
        </is>
      </c>
      <c r="H791" s="16" t="inlineStr">
        <is>
          <t>bucket=linkedWorkspace; op=Removed</t>
        </is>
      </c>
      <c r="I791" s="16" t="inlineStr">
        <is>
          <t>Strip count reflects the change (+N added / ~M modified / -K removed); modal lists a row with badge 'removed' and the correct label. Pushing clears it.</t>
        </is>
      </c>
      <c r="J791" s="16" t="inlineStr"/>
      <c r="K791" s="16" t="inlineStr">
        <is>
          <t>Not Run</t>
        </is>
      </c>
      <c r="L791" s="16" t="inlineStr">
        <is>
          <t>Medium</t>
        </is>
      </c>
      <c r="M791" s="16" t="inlineStr"/>
      <c r="N791" s="16" t="inlineStr"/>
      <c r="O791" s="16" t="inlineStr"/>
    </row>
    <row r="792" ht="72" customHeight="1">
      <c r="A792" s="16" t="inlineStr">
        <is>
          <t>TC-CP-0068</t>
        </is>
      </c>
      <c r="B792" s="16" t="inlineStr">
        <is>
          <t>Changes-to-Push View</t>
        </is>
      </c>
      <c r="C792" s="16" t="inlineStr">
        <is>
          <t>Linked request override</t>
        </is>
      </c>
      <c r="D792" s="16" t="inlineStr">
        <is>
          <t>Functional</t>
        </is>
      </c>
      <c r="E792" s="16" t="inlineStr">
        <is>
          <t>Change-to-Push: Added a Linked request override</t>
        </is>
      </c>
      <c r="F792" s="16" t="inlineStr">
        <is>
          <t>Linked workspace; clean state.</t>
        </is>
      </c>
      <c r="G792" s="16" t="inlineStr">
        <is>
          <t>1. Create a new Linked request override.
2. Open Workspace panel.
3. Inspect Unpushed changes strip and modal.</t>
        </is>
      </c>
      <c r="H792" s="16" t="inlineStr">
        <is>
          <t>bucket=linkedRequestOverride; op=Added</t>
        </is>
      </c>
      <c r="I792" s="16" t="inlineStr">
        <is>
          <t>Strip count reflects the change (+N added / ~M modified / -K removed); modal lists a row with badge 'added' and the correct label. Pushing clears it.</t>
        </is>
      </c>
      <c r="J792" s="16" t="inlineStr"/>
      <c r="K792" s="16" t="inlineStr">
        <is>
          <t>Not Run</t>
        </is>
      </c>
      <c r="L792" s="16" t="inlineStr">
        <is>
          <t>Medium</t>
        </is>
      </c>
      <c r="M792" s="16" t="inlineStr"/>
      <c r="N792" s="16" t="inlineStr"/>
      <c r="O792" s="16" t="inlineStr"/>
    </row>
    <row r="793" ht="72" customHeight="1">
      <c r="A793" s="16" t="inlineStr">
        <is>
          <t>TC-CP-0069</t>
        </is>
      </c>
      <c r="B793" s="16" t="inlineStr">
        <is>
          <t>Changes-to-Push View</t>
        </is>
      </c>
      <c r="C793" s="16" t="inlineStr">
        <is>
          <t>Linked request override</t>
        </is>
      </c>
      <c r="D793" s="16" t="inlineStr">
        <is>
          <t>Functional</t>
        </is>
      </c>
      <c r="E793" s="16" t="inlineStr">
        <is>
          <t>Change-to-Push: Modify Linked request override field 'add override'</t>
        </is>
      </c>
      <c r="F793" s="16" t="inlineStr">
        <is>
          <t>Linked workspace; clean state.</t>
        </is>
      </c>
      <c r="G793" s="16" t="inlineStr">
        <is>
          <t>1. Open the Linked request override.
2. Change 'add override' to a different value.
3. Open Workspace panel -&gt; Unpushed changes strip / modal.</t>
        </is>
      </c>
      <c r="H793" s="16" t="inlineStr">
        <is>
          <t>bucket=linkedRequestOverride; op=modify add override</t>
        </is>
      </c>
      <c r="I793" s="16" t="inlineStr">
        <is>
          <t>Strip count increments (~M modified); modal lists row with badge 'modified', label = Linked request override display name; expanding row shows before/after diff focused on 'add override'. Push then clears the row from the list.</t>
        </is>
      </c>
      <c r="J793" s="16" t="inlineStr"/>
      <c r="K793" s="16" t="inlineStr">
        <is>
          <t>Not Run</t>
        </is>
      </c>
      <c r="L793" s="16" t="inlineStr">
        <is>
          <t>Medium</t>
        </is>
      </c>
      <c r="M793" s="16" t="inlineStr"/>
      <c r="N793" s="16" t="inlineStr"/>
      <c r="O793" s="16" t="inlineStr"/>
    </row>
    <row r="794" ht="72" customHeight="1">
      <c r="A794" s="16" t="inlineStr">
        <is>
          <t>TC-CP-0070</t>
        </is>
      </c>
      <c r="B794" s="16" t="inlineStr">
        <is>
          <t>Changes-to-Push View</t>
        </is>
      </c>
      <c r="C794" s="16" t="inlineStr">
        <is>
          <t>Linked request override</t>
        </is>
      </c>
      <c r="D794" s="16" t="inlineStr">
        <is>
          <t>Functional</t>
        </is>
      </c>
      <c r="E794" s="16" t="inlineStr">
        <is>
          <t>Change-to-Push: Modify Linked request override field 'modify override'</t>
        </is>
      </c>
      <c r="F794" s="16" t="inlineStr">
        <is>
          <t>Linked workspace; clean state.</t>
        </is>
      </c>
      <c r="G794" s="16" t="inlineStr">
        <is>
          <t>1. Open the Linked request override.
2. Change 'modify override' to a different value.
3. Open Workspace panel -&gt; Unpushed changes strip / modal.</t>
        </is>
      </c>
      <c r="H794" s="16" t="inlineStr">
        <is>
          <t>bucket=linkedRequestOverride; op=modify modify override</t>
        </is>
      </c>
      <c r="I794" s="16" t="inlineStr">
        <is>
          <t>Strip count increments (~M modified); modal lists row with badge 'modified', label = Linked request override display name; expanding row shows before/after diff focused on 'modify override'. Push then clears the row from the list.</t>
        </is>
      </c>
      <c r="J794" s="16" t="inlineStr"/>
      <c r="K794" s="16" t="inlineStr">
        <is>
          <t>Not Run</t>
        </is>
      </c>
      <c r="L794" s="16" t="inlineStr">
        <is>
          <t>Medium</t>
        </is>
      </c>
      <c r="M794" s="16" t="inlineStr"/>
      <c r="N794" s="16" t="inlineStr"/>
      <c r="O794" s="16" t="inlineStr"/>
    </row>
    <row r="795" ht="72" customHeight="1">
      <c r="A795" s="16" t="inlineStr">
        <is>
          <t>TC-CP-0071</t>
        </is>
      </c>
      <c r="B795" s="16" t="inlineStr">
        <is>
          <t>Changes-to-Push View</t>
        </is>
      </c>
      <c r="C795" s="16" t="inlineStr">
        <is>
          <t>Linked request override</t>
        </is>
      </c>
      <c r="D795" s="16" t="inlineStr">
        <is>
          <t>Functional</t>
        </is>
      </c>
      <c r="E795" s="16" t="inlineStr">
        <is>
          <t>Change-to-Push: Modify Linked request override field 'delete override'</t>
        </is>
      </c>
      <c r="F795" s="16" t="inlineStr">
        <is>
          <t>Linked workspace; clean state.</t>
        </is>
      </c>
      <c r="G795" s="16" t="inlineStr">
        <is>
          <t>1. Open the Linked request override.
2. Change 'delete override' to a different value.
3. Open Workspace panel -&gt; Unpushed changes strip / modal.</t>
        </is>
      </c>
      <c r="H795" s="16" t="inlineStr">
        <is>
          <t>bucket=linkedRequestOverride; op=modify delete override</t>
        </is>
      </c>
      <c r="I795" s="16" t="inlineStr">
        <is>
          <t>Strip count increments (~M modified); modal lists row with badge 'modified', label = Linked request override display name; expanding row shows before/after diff focused on 'delete override'. Push then clears the row from the list.</t>
        </is>
      </c>
      <c r="J795" s="16" t="inlineStr"/>
      <c r="K795" s="16" t="inlineStr">
        <is>
          <t>Not Run</t>
        </is>
      </c>
      <c r="L795" s="16" t="inlineStr">
        <is>
          <t>Medium</t>
        </is>
      </c>
      <c r="M795" s="16" t="inlineStr"/>
      <c r="N795" s="16" t="inlineStr"/>
      <c r="O795" s="16" t="inlineStr"/>
    </row>
    <row r="796" ht="72" customHeight="1">
      <c r="A796" s="16" t="inlineStr">
        <is>
          <t>TC-CP-0072</t>
        </is>
      </c>
      <c r="B796" s="16" t="inlineStr">
        <is>
          <t>Changes-to-Push View</t>
        </is>
      </c>
      <c r="C796" s="16" t="inlineStr">
        <is>
          <t>Linked request override</t>
        </is>
      </c>
      <c r="D796" s="16" t="inlineStr">
        <is>
          <t>Functional</t>
        </is>
      </c>
      <c r="E796" s="16" t="inlineStr">
        <is>
          <t>Change-to-Push: Removed a Linked request override</t>
        </is>
      </c>
      <c r="F796" s="16" t="inlineStr">
        <is>
          <t>Linked workspace; clean state.</t>
        </is>
      </c>
      <c r="G796" s="16" t="inlineStr">
        <is>
          <t>1. Delete an existing Linked request override.
2. Open Workspace panel.
3. Inspect Unpushed changes strip and modal.</t>
        </is>
      </c>
      <c r="H796" s="16" t="inlineStr">
        <is>
          <t>bucket=linkedRequestOverride; op=Removed</t>
        </is>
      </c>
      <c r="I796" s="16" t="inlineStr">
        <is>
          <t>Strip count reflects the change (+N added / ~M modified / -K removed); modal lists a row with badge 'removed' and the correct label. Pushing clears it.</t>
        </is>
      </c>
      <c r="J796" s="16" t="inlineStr"/>
      <c r="K796" s="16" t="inlineStr">
        <is>
          <t>Not Run</t>
        </is>
      </c>
      <c r="L796" s="16" t="inlineStr">
        <is>
          <t>Medium</t>
        </is>
      </c>
      <c r="M796" s="16" t="inlineStr"/>
      <c r="N796" s="16" t="inlineStr"/>
      <c r="O796" s="16" t="inlineStr"/>
    </row>
    <row r="797" ht="72" customHeight="1">
      <c r="A797" s="16" t="inlineStr">
        <is>
          <t>TC-CP-0073</t>
        </is>
      </c>
      <c r="B797" s="16" t="inlineStr">
        <is>
          <t>Changes-to-Push View</t>
        </is>
      </c>
      <c r="C797" s="16" t="inlineStr">
        <is>
          <t>Linked env var override</t>
        </is>
      </c>
      <c r="D797" s="16" t="inlineStr">
        <is>
          <t>Functional</t>
        </is>
      </c>
      <c r="E797" s="16" t="inlineStr">
        <is>
          <t>Change-to-Push: Added a Linked env var override</t>
        </is>
      </c>
      <c r="F797" s="16" t="inlineStr">
        <is>
          <t>Linked workspace; clean state.</t>
        </is>
      </c>
      <c r="G797" s="16" t="inlineStr">
        <is>
          <t>1. Create a new Linked env var override.
2. Open Workspace panel.
3. Inspect Unpushed changes strip and modal.</t>
        </is>
      </c>
      <c r="H797" s="16" t="inlineStr">
        <is>
          <t>bucket=linkedEnvOverride; op=Added</t>
        </is>
      </c>
      <c r="I797" s="16" t="inlineStr">
        <is>
          <t>Strip count reflects the change (+N added / ~M modified / -K removed); modal lists a row with badge 'added' and the correct label. Pushing clears it.</t>
        </is>
      </c>
      <c r="J797" s="16" t="inlineStr"/>
      <c r="K797" s="16" t="inlineStr">
        <is>
          <t>Not Run</t>
        </is>
      </c>
      <c r="L797" s="16" t="inlineStr">
        <is>
          <t>Medium</t>
        </is>
      </c>
      <c r="M797" s="16" t="inlineStr"/>
      <c r="N797" s="16" t="inlineStr"/>
      <c r="O797" s="16" t="inlineStr"/>
    </row>
    <row r="798" ht="72" customHeight="1">
      <c r="A798" s="16" t="inlineStr">
        <is>
          <t>TC-CP-0074</t>
        </is>
      </c>
      <c r="B798" s="16" t="inlineStr">
        <is>
          <t>Changes-to-Push View</t>
        </is>
      </c>
      <c r="C798" s="16" t="inlineStr">
        <is>
          <t>Linked env var override</t>
        </is>
      </c>
      <c r="D798" s="16" t="inlineStr">
        <is>
          <t>Functional</t>
        </is>
      </c>
      <c r="E798" s="16" t="inlineStr">
        <is>
          <t>Change-to-Push: Modify Linked env var override field 'add override'</t>
        </is>
      </c>
      <c r="F798" s="16" t="inlineStr">
        <is>
          <t>Linked workspace; clean state.</t>
        </is>
      </c>
      <c r="G798" s="16" t="inlineStr">
        <is>
          <t>1. Open the Linked env var override.
2. Change 'add override' to a different value.
3. Open Workspace panel -&gt; Unpushed changes strip / modal.</t>
        </is>
      </c>
      <c r="H798" s="16" t="inlineStr">
        <is>
          <t>bucket=linkedEnvOverride; op=modify add override</t>
        </is>
      </c>
      <c r="I798" s="16" t="inlineStr">
        <is>
          <t>Strip count increments (~M modified); modal lists row with badge 'modified', label = Linked env var override display name; expanding row shows before/after diff focused on 'add override'. Push then clears the row from the list.</t>
        </is>
      </c>
      <c r="J798" s="16" t="inlineStr"/>
      <c r="K798" s="16" t="inlineStr">
        <is>
          <t>Not Run</t>
        </is>
      </c>
      <c r="L798" s="16" t="inlineStr">
        <is>
          <t>Medium</t>
        </is>
      </c>
      <c r="M798" s="16" t="inlineStr"/>
      <c r="N798" s="16" t="inlineStr"/>
      <c r="O798" s="16" t="inlineStr"/>
    </row>
    <row r="799" ht="72" customHeight="1">
      <c r="A799" s="16" t="inlineStr">
        <is>
          <t>TC-CP-0075</t>
        </is>
      </c>
      <c r="B799" s="16" t="inlineStr">
        <is>
          <t>Changes-to-Push View</t>
        </is>
      </c>
      <c r="C799" s="16" t="inlineStr">
        <is>
          <t>Linked env var override</t>
        </is>
      </c>
      <c r="D799" s="16" t="inlineStr">
        <is>
          <t>Functional</t>
        </is>
      </c>
      <c r="E799" s="16" t="inlineStr">
        <is>
          <t>Change-to-Push: Modify Linked env var override field 'modify override'</t>
        </is>
      </c>
      <c r="F799" s="16" t="inlineStr">
        <is>
          <t>Linked workspace; clean state.</t>
        </is>
      </c>
      <c r="G799" s="16" t="inlineStr">
        <is>
          <t>1. Open the Linked env var override.
2. Change 'modify override' to a different value.
3. Open Workspace panel -&gt; Unpushed changes strip / modal.</t>
        </is>
      </c>
      <c r="H799" s="16" t="inlineStr">
        <is>
          <t>bucket=linkedEnvOverride; op=modify modify override</t>
        </is>
      </c>
      <c r="I799" s="16" t="inlineStr">
        <is>
          <t>Strip count increments (~M modified); modal lists row with badge 'modified', label = Linked env var override display name; expanding row shows before/after diff focused on 'modify override'. Push then clears the row from the list.</t>
        </is>
      </c>
      <c r="J799" s="16" t="inlineStr"/>
      <c r="K799" s="16" t="inlineStr">
        <is>
          <t>Not Run</t>
        </is>
      </c>
      <c r="L799" s="16" t="inlineStr">
        <is>
          <t>Medium</t>
        </is>
      </c>
      <c r="M799" s="16" t="inlineStr"/>
      <c r="N799" s="16" t="inlineStr"/>
      <c r="O799" s="16" t="inlineStr"/>
    </row>
    <row r="800" ht="72" customHeight="1">
      <c r="A800" s="16" t="inlineStr">
        <is>
          <t>TC-CP-0076</t>
        </is>
      </c>
      <c r="B800" s="16" t="inlineStr">
        <is>
          <t>Changes-to-Push View</t>
        </is>
      </c>
      <c r="C800" s="16" t="inlineStr">
        <is>
          <t>Linked env var override</t>
        </is>
      </c>
      <c r="D800" s="16" t="inlineStr">
        <is>
          <t>Functional</t>
        </is>
      </c>
      <c r="E800" s="16" t="inlineStr">
        <is>
          <t>Change-to-Push: Modify Linked env var override field 'delete override'</t>
        </is>
      </c>
      <c r="F800" s="16" t="inlineStr">
        <is>
          <t>Linked workspace; clean state.</t>
        </is>
      </c>
      <c r="G800" s="16" t="inlineStr">
        <is>
          <t>1. Open the Linked env var override.
2. Change 'delete override' to a different value.
3. Open Workspace panel -&gt; Unpushed changes strip / modal.</t>
        </is>
      </c>
      <c r="H800" s="16" t="inlineStr">
        <is>
          <t>bucket=linkedEnvOverride; op=modify delete override</t>
        </is>
      </c>
      <c r="I800" s="16" t="inlineStr">
        <is>
          <t>Strip count increments (~M modified); modal lists row with badge 'modified', label = Linked env var override display name; expanding row shows before/after diff focused on 'delete override'. Push then clears the row from the list.</t>
        </is>
      </c>
      <c r="J800" s="16" t="inlineStr"/>
      <c r="K800" s="16" t="inlineStr">
        <is>
          <t>Not Run</t>
        </is>
      </c>
      <c r="L800" s="16" t="inlineStr">
        <is>
          <t>Medium</t>
        </is>
      </c>
      <c r="M800" s="16" t="inlineStr"/>
      <c r="N800" s="16" t="inlineStr"/>
      <c r="O800" s="16" t="inlineStr"/>
    </row>
    <row r="801" ht="72" customHeight="1">
      <c r="A801" s="16" t="inlineStr">
        <is>
          <t>TC-CP-0077</t>
        </is>
      </c>
      <c r="B801" s="16" t="inlineStr">
        <is>
          <t>Changes-to-Push View</t>
        </is>
      </c>
      <c r="C801" s="16" t="inlineStr">
        <is>
          <t>Linked env var override</t>
        </is>
      </c>
      <c r="D801" s="16" t="inlineStr">
        <is>
          <t>Functional</t>
        </is>
      </c>
      <c r="E801" s="16" t="inlineStr">
        <is>
          <t>Change-to-Push: Removed a Linked env var override</t>
        </is>
      </c>
      <c r="F801" s="16" t="inlineStr">
        <is>
          <t>Linked workspace; clean state.</t>
        </is>
      </c>
      <c r="G801" s="16" t="inlineStr">
        <is>
          <t>1. Delete an existing Linked env var override.
2. Open Workspace panel.
3. Inspect Unpushed changes strip and modal.</t>
        </is>
      </c>
      <c r="H801" s="16" t="inlineStr">
        <is>
          <t>bucket=linkedEnvOverride; op=Removed</t>
        </is>
      </c>
      <c r="I801" s="16" t="inlineStr">
        <is>
          <t>Strip count reflects the change (+N added / ~M modified / -K removed); modal lists a row with badge 'removed' and the correct label. Pushing clears it.</t>
        </is>
      </c>
      <c r="J801" s="16" t="inlineStr"/>
      <c r="K801" s="16" t="inlineStr">
        <is>
          <t>Not Run</t>
        </is>
      </c>
      <c r="L801" s="16" t="inlineStr">
        <is>
          <t>Medium</t>
        </is>
      </c>
      <c r="M801" s="16" t="inlineStr"/>
      <c r="N801" s="16" t="inlineStr"/>
      <c r="O801" s="16" t="inlineStr"/>
    </row>
    <row r="802" ht="72" customHeight="1">
      <c r="A802" s="16" t="inlineStr">
        <is>
          <t>TC-CP-0078</t>
        </is>
      </c>
      <c r="B802" s="16" t="inlineStr">
        <is>
          <t>Changes-to-Push View</t>
        </is>
      </c>
      <c r="C802" s="16" t="inlineStr">
        <is>
          <t>Linked release ledger</t>
        </is>
      </c>
      <c r="D802" s="16" t="inlineStr">
        <is>
          <t>Functional</t>
        </is>
      </c>
      <c r="E802" s="16" t="inlineStr">
        <is>
          <t>Change-to-Push: Added a Linked release ledger</t>
        </is>
      </c>
      <c r="F802" s="16" t="inlineStr">
        <is>
          <t>Linked workspace; clean state.</t>
        </is>
      </c>
      <c r="G802" s="16" t="inlineStr">
        <is>
          <t>1. Create a new Linked release ledger.
2. Open Workspace panel.
3. Inspect Unpushed changes strip and modal.</t>
        </is>
      </c>
      <c r="H802" s="16" t="inlineStr">
        <is>
          <t>bucket=releasePerLink; op=Added</t>
        </is>
      </c>
      <c r="I802" s="16" t="inlineStr">
        <is>
          <t>Strip count reflects the change (+N added / ~M modified / -K removed); modal lists a row with badge 'added' and the correct label. Pushing clears it.</t>
        </is>
      </c>
      <c r="J802" s="16" t="inlineStr"/>
      <c r="K802" s="16" t="inlineStr">
        <is>
          <t>Not Run</t>
        </is>
      </c>
      <c r="L802" s="16" t="inlineStr">
        <is>
          <t>Medium</t>
        </is>
      </c>
      <c r="M802" s="16" t="inlineStr"/>
      <c r="N802" s="16" t="inlineStr"/>
      <c r="O802" s="16" t="inlineStr"/>
    </row>
    <row r="803" ht="72" customHeight="1">
      <c r="A803" s="16" t="inlineStr">
        <is>
          <t>TC-CP-0079</t>
        </is>
      </c>
      <c r="B803" s="16" t="inlineStr">
        <is>
          <t>Changes-to-Push View</t>
        </is>
      </c>
      <c r="C803" s="16" t="inlineStr">
        <is>
          <t>Linked release ledger</t>
        </is>
      </c>
      <c r="D803" s="16" t="inlineStr">
        <is>
          <t>Functional</t>
        </is>
      </c>
      <c r="E803" s="16" t="inlineStr">
        <is>
          <t>Change-to-Push: Modify Linked release ledger field 'refresh ledger'</t>
        </is>
      </c>
      <c r="F803" s="16" t="inlineStr">
        <is>
          <t>Linked workspace; clean state.</t>
        </is>
      </c>
      <c r="G803" s="16" t="inlineStr">
        <is>
          <t>1. Open the Linked release ledger.
2. Change 'refresh ledger' to a different value.
3. Open Workspace panel -&gt; Unpushed changes strip / modal.</t>
        </is>
      </c>
      <c r="H803" s="16" t="inlineStr">
        <is>
          <t>bucket=releasePerLink; op=modify refresh ledger</t>
        </is>
      </c>
      <c r="I803" s="16" t="inlineStr">
        <is>
          <t>Strip count increments (~M modified); modal lists row with badge 'modified', label = Linked release ledger display name; expanding row shows before/after diff focused on 'refresh ledger'. Push then clears the row from the list.</t>
        </is>
      </c>
      <c r="J803" s="16" t="inlineStr"/>
      <c r="K803" s="16" t="inlineStr">
        <is>
          <t>Not Run</t>
        </is>
      </c>
      <c r="L803" s="16" t="inlineStr">
        <is>
          <t>Medium</t>
        </is>
      </c>
      <c r="M803" s="16" t="inlineStr"/>
      <c r="N803" s="16" t="inlineStr"/>
      <c r="O803" s="16" t="inlineStr"/>
    </row>
    <row r="804" ht="72" customHeight="1">
      <c r="A804" s="16" t="inlineStr">
        <is>
          <t>TC-CP-0080</t>
        </is>
      </c>
      <c r="B804" s="16" t="inlineStr">
        <is>
          <t>Changes-to-Push View</t>
        </is>
      </c>
      <c r="C804" s="16" t="inlineStr">
        <is>
          <t>Linked release ledger</t>
        </is>
      </c>
      <c r="D804" s="16" t="inlineStr">
        <is>
          <t>Functional</t>
        </is>
      </c>
      <c r="E804" s="16" t="inlineStr">
        <is>
          <t>Change-to-Push: Removed a Linked release ledger</t>
        </is>
      </c>
      <c r="F804" s="16" t="inlineStr">
        <is>
          <t>Linked workspace; clean state.</t>
        </is>
      </c>
      <c r="G804" s="16" t="inlineStr">
        <is>
          <t>1. Delete an existing Linked release ledger.
2. Open Workspace panel.
3. Inspect Unpushed changes strip and modal.</t>
        </is>
      </c>
      <c r="H804" s="16" t="inlineStr">
        <is>
          <t>bucket=releasePerLink; op=Removed</t>
        </is>
      </c>
      <c r="I804" s="16" t="inlineStr">
        <is>
          <t>Strip count reflects the change (+N added / ~M modified / -K removed); modal lists a row with badge 'removed' and the correct label. Pushing clears it.</t>
        </is>
      </c>
      <c r="J804" s="16" t="inlineStr"/>
      <c r="K804" s="16" t="inlineStr">
        <is>
          <t>Not Run</t>
        </is>
      </c>
      <c r="L804" s="16" t="inlineStr">
        <is>
          <t>Medium</t>
        </is>
      </c>
      <c r="M804" s="16" t="inlineStr"/>
      <c r="N804" s="16" t="inlineStr"/>
      <c r="O804" s="16" t="inlineStr"/>
    </row>
    <row r="805" ht="72" customHeight="1">
      <c r="A805" s="16" t="inlineStr">
        <is>
          <t>TC-CP-0081</t>
        </is>
      </c>
      <c r="B805" s="16" t="inlineStr">
        <is>
          <t>Changes-to-Push View</t>
        </is>
      </c>
      <c r="C805" s="16" t="inlineStr">
        <is>
          <t>Global JSON Schema</t>
        </is>
      </c>
      <c r="D805" s="16" t="inlineStr">
        <is>
          <t>Functional</t>
        </is>
      </c>
      <c r="E805" s="16" t="inlineStr">
        <is>
          <t>Change-to-Push: Added a Global JSON Schema</t>
        </is>
      </c>
      <c r="F805" s="16" t="inlineStr">
        <is>
          <t>Linked workspace; clean state.</t>
        </is>
      </c>
      <c r="G805" s="16" t="inlineStr">
        <is>
          <t>1. Create a new Global JSON Schema.
2. Open Workspace panel.
3. Inspect Unpushed changes strip and modal.</t>
        </is>
      </c>
      <c r="H805" s="16" t="inlineStr">
        <is>
          <t>bucket=globalSchema; op=Added</t>
        </is>
      </c>
      <c r="I805" s="16" t="inlineStr">
        <is>
          <t>Strip count reflects the change (+N added / ~M modified / -K removed); modal lists a row with badge 'added' and the correct label. Pushing clears it.</t>
        </is>
      </c>
      <c r="J805" s="16" t="inlineStr"/>
      <c r="K805" s="16" t="inlineStr">
        <is>
          <t>Not Run</t>
        </is>
      </c>
      <c r="L805" s="16" t="inlineStr">
        <is>
          <t>Medium</t>
        </is>
      </c>
      <c r="M805" s="16" t="inlineStr"/>
      <c r="N805" s="16" t="inlineStr"/>
      <c r="O805" s="16" t="inlineStr"/>
    </row>
    <row r="806" ht="72" customHeight="1">
      <c r="A806" s="16" t="inlineStr">
        <is>
          <t>TC-CP-0082</t>
        </is>
      </c>
      <c r="B806" s="16" t="inlineStr">
        <is>
          <t>Changes-to-Push View</t>
        </is>
      </c>
      <c r="C806" s="16" t="inlineStr">
        <is>
          <t>Global JSON Schema</t>
        </is>
      </c>
      <c r="D806" s="16" t="inlineStr">
        <is>
          <t>Functional</t>
        </is>
      </c>
      <c r="E806" s="16" t="inlineStr">
        <is>
          <t>Change-to-Push: Modify Global JSON Schema field 'name'</t>
        </is>
      </c>
      <c r="F806" s="16" t="inlineStr">
        <is>
          <t>Linked workspace; clean state.</t>
        </is>
      </c>
      <c r="G806" s="16" t="inlineStr">
        <is>
          <t>1. Open the Global JSON Schema.
2. Change 'name' to a different value.
3. Open Workspace panel -&gt; Unpushed changes strip / modal.</t>
        </is>
      </c>
      <c r="H806" s="16" t="inlineStr">
        <is>
          <t>bucket=globalSchema; op=modify name</t>
        </is>
      </c>
      <c r="I806" s="16" t="inlineStr">
        <is>
          <t>Strip count increments (~M modified); modal lists row with badge 'modified', label = Global JSON Schema display name; expanding row shows before/after diff focused on 'name'. Push then clears the row from the list.</t>
        </is>
      </c>
      <c r="J806" s="16" t="inlineStr"/>
      <c r="K806" s="16" t="inlineStr">
        <is>
          <t>Not Run</t>
        </is>
      </c>
      <c r="L806" s="16" t="inlineStr">
        <is>
          <t>Medium</t>
        </is>
      </c>
      <c r="M806" s="16" t="inlineStr"/>
      <c r="N806" s="16" t="inlineStr"/>
      <c r="O806" s="16" t="inlineStr"/>
    </row>
    <row r="807" ht="72" customHeight="1">
      <c r="A807" s="16" t="inlineStr">
        <is>
          <t>TC-CP-0083</t>
        </is>
      </c>
      <c r="B807" s="16" t="inlineStr">
        <is>
          <t>Changes-to-Push View</t>
        </is>
      </c>
      <c r="C807" s="16" t="inlineStr">
        <is>
          <t>Global JSON Schema</t>
        </is>
      </c>
      <c r="D807" s="16" t="inlineStr">
        <is>
          <t>Functional</t>
        </is>
      </c>
      <c r="E807" s="16" t="inlineStr">
        <is>
          <t>Change-to-Push: Modify Global JSON Schema field 'content'</t>
        </is>
      </c>
      <c r="F807" s="16" t="inlineStr">
        <is>
          <t>Linked workspace; clean state.</t>
        </is>
      </c>
      <c r="G807" s="16" t="inlineStr">
        <is>
          <t>1. Open the Global JSON Schema.
2. Change 'content' to a different value.
3. Open Workspace panel -&gt; Unpushed changes strip / modal.</t>
        </is>
      </c>
      <c r="H807" s="16" t="inlineStr">
        <is>
          <t>bucket=globalSchema; op=modify content</t>
        </is>
      </c>
      <c r="I807" s="16" t="inlineStr">
        <is>
          <t>Strip count increments (~M modified); modal lists row with badge 'modified', label = Global JSON Schema display name; expanding row shows before/after diff focused on 'content'. Push then clears the row from the list.</t>
        </is>
      </c>
      <c r="J807" s="16" t="inlineStr"/>
      <c r="K807" s="16" t="inlineStr">
        <is>
          <t>Not Run</t>
        </is>
      </c>
      <c r="L807" s="16" t="inlineStr">
        <is>
          <t>Medium</t>
        </is>
      </c>
      <c r="M807" s="16" t="inlineStr"/>
      <c r="N807" s="16" t="inlineStr"/>
      <c r="O807" s="16" t="inlineStr"/>
    </row>
    <row r="808" ht="72" customHeight="1">
      <c r="A808" s="16" t="inlineStr">
        <is>
          <t>TC-CP-0084</t>
        </is>
      </c>
      <c r="B808" s="16" t="inlineStr">
        <is>
          <t>Changes-to-Push View</t>
        </is>
      </c>
      <c r="C808" s="16" t="inlineStr">
        <is>
          <t>Global JSON Schema</t>
        </is>
      </c>
      <c r="D808" s="16" t="inlineStr">
        <is>
          <t>Functional</t>
        </is>
      </c>
      <c r="E808" s="16" t="inlineStr">
        <is>
          <t>Change-to-Push: Removed a Global JSON Schema</t>
        </is>
      </c>
      <c r="F808" s="16" t="inlineStr">
        <is>
          <t>Linked workspace; clean state.</t>
        </is>
      </c>
      <c r="G808" s="16" t="inlineStr">
        <is>
          <t>1. Delete an existing Global JSON Schema.
2. Open Workspace panel.
3. Inspect Unpushed changes strip and modal.</t>
        </is>
      </c>
      <c r="H808" s="16" t="inlineStr">
        <is>
          <t>bucket=globalSchema; op=Removed</t>
        </is>
      </c>
      <c r="I808" s="16" t="inlineStr">
        <is>
          <t>Strip count reflects the change (+N added / ~M modified / -K removed); modal lists a row with badge 'removed' and the correct label. Pushing clears it.</t>
        </is>
      </c>
      <c r="J808" s="16" t="inlineStr"/>
      <c r="K808" s="16" t="inlineStr">
        <is>
          <t>Not Run</t>
        </is>
      </c>
      <c r="L808" s="16" t="inlineStr">
        <is>
          <t>Medium</t>
        </is>
      </c>
      <c r="M808" s="16" t="inlineStr"/>
      <c r="N808" s="16" t="inlineStr"/>
      <c r="O808" s="16" t="inlineStr"/>
    </row>
    <row r="809" ht="72" customHeight="1">
      <c r="A809" s="16" t="inlineStr">
        <is>
          <t>TC-CP-0085</t>
        </is>
      </c>
      <c r="B809" s="16" t="inlineStr">
        <is>
          <t>Changes-to-Push View</t>
        </is>
      </c>
      <c r="C809" s="16" t="inlineStr">
        <is>
          <t>Global GraphQL doc</t>
        </is>
      </c>
      <c r="D809" s="16" t="inlineStr">
        <is>
          <t>Functional</t>
        </is>
      </c>
      <c r="E809" s="16" t="inlineStr">
        <is>
          <t>Change-to-Push: Added a Global GraphQL doc</t>
        </is>
      </c>
      <c r="F809" s="16" t="inlineStr">
        <is>
          <t>Linked workspace; clean state.</t>
        </is>
      </c>
      <c r="G809" s="16" t="inlineStr">
        <is>
          <t>1. Create a new Global GraphQL doc.
2. Open Workspace panel.
3. Inspect Unpushed changes strip and modal.</t>
        </is>
      </c>
      <c r="H809" s="16" t="inlineStr">
        <is>
          <t>bucket=globalGraphql; op=Added</t>
        </is>
      </c>
      <c r="I809" s="16" t="inlineStr">
        <is>
          <t>Strip count reflects the change (+N added / ~M modified / -K removed); modal lists a row with badge 'added' and the correct label. Pushing clears it.</t>
        </is>
      </c>
      <c r="J809" s="16" t="inlineStr"/>
      <c r="K809" s="16" t="inlineStr">
        <is>
          <t>Not Run</t>
        </is>
      </c>
      <c r="L809" s="16" t="inlineStr">
        <is>
          <t>Medium</t>
        </is>
      </c>
      <c r="M809" s="16" t="inlineStr"/>
      <c r="N809" s="16" t="inlineStr"/>
      <c r="O809" s="16" t="inlineStr"/>
    </row>
    <row r="810" ht="72" customHeight="1">
      <c r="A810" s="16" t="inlineStr">
        <is>
          <t>TC-CP-0086</t>
        </is>
      </c>
      <c r="B810" s="16" t="inlineStr">
        <is>
          <t>Changes-to-Push View</t>
        </is>
      </c>
      <c r="C810" s="16" t="inlineStr">
        <is>
          <t>Global GraphQL doc</t>
        </is>
      </c>
      <c r="D810" s="16" t="inlineStr">
        <is>
          <t>Functional</t>
        </is>
      </c>
      <c r="E810" s="16" t="inlineStr">
        <is>
          <t>Change-to-Push: Modify Global GraphQL doc field 'name'</t>
        </is>
      </c>
      <c r="F810" s="16" t="inlineStr">
        <is>
          <t>Linked workspace; clean state.</t>
        </is>
      </c>
      <c r="G810" s="16" t="inlineStr">
        <is>
          <t>1. Open the Global GraphQL doc.
2. Change 'name' to a different value.
3. Open Workspace panel -&gt; Unpushed changes strip / modal.</t>
        </is>
      </c>
      <c r="H810" s="16" t="inlineStr">
        <is>
          <t>bucket=globalGraphql; op=modify name</t>
        </is>
      </c>
      <c r="I810" s="16" t="inlineStr">
        <is>
          <t>Strip count increments (~M modified); modal lists row with badge 'modified', label = Global GraphQL doc display name; expanding row shows before/after diff focused on 'name'. Push then clears the row from the list.</t>
        </is>
      </c>
      <c r="J810" s="16" t="inlineStr"/>
      <c r="K810" s="16" t="inlineStr">
        <is>
          <t>Not Run</t>
        </is>
      </c>
      <c r="L810" s="16" t="inlineStr">
        <is>
          <t>Medium</t>
        </is>
      </c>
      <c r="M810" s="16" t="inlineStr"/>
      <c r="N810" s="16" t="inlineStr"/>
      <c r="O810" s="16" t="inlineStr"/>
    </row>
    <row r="811" ht="72" customHeight="1">
      <c r="A811" s="16" t="inlineStr">
        <is>
          <t>TC-CP-0087</t>
        </is>
      </c>
      <c r="B811" s="16" t="inlineStr">
        <is>
          <t>Changes-to-Push View</t>
        </is>
      </c>
      <c r="C811" s="16" t="inlineStr">
        <is>
          <t>Global GraphQL doc</t>
        </is>
      </c>
      <c r="D811" s="16" t="inlineStr">
        <is>
          <t>Functional</t>
        </is>
      </c>
      <c r="E811" s="16" t="inlineStr">
        <is>
          <t>Change-to-Push: Modify Global GraphQL doc field 'content'</t>
        </is>
      </c>
      <c r="F811" s="16" t="inlineStr">
        <is>
          <t>Linked workspace; clean state.</t>
        </is>
      </c>
      <c r="G811" s="16" t="inlineStr">
        <is>
          <t>1. Open the Global GraphQL doc.
2. Change 'content' to a different value.
3. Open Workspace panel -&gt; Unpushed changes strip / modal.</t>
        </is>
      </c>
      <c r="H811" s="16" t="inlineStr">
        <is>
          <t>bucket=globalGraphql; op=modify content</t>
        </is>
      </c>
      <c r="I811" s="16" t="inlineStr">
        <is>
          <t>Strip count increments (~M modified); modal lists row with badge 'modified', label = Global GraphQL doc display name; expanding row shows before/after diff focused on 'content'. Push then clears the row from the list.</t>
        </is>
      </c>
      <c r="J811" s="16" t="inlineStr"/>
      <c r="K811" s="16" t="inlineStr">
        <is>
          <t>Not Run</t>
        </is>
      </c>
      <c r="L811" s="16" t="inlineStr">
        <is>
          <t>Medium</t>
        </is>
      </c>
      <c r="M811" s="16" t="inlineStr"/>
      <c r="N811" s="16" t="inlineStr"/>
      <c r="O811" s="16" t="inlineStr"/>
    </row>
    <row r="812" ht="72" customHeight="1">
      <c r="A812" s="16" t="inlineStr">
        <is>
          <t>TC-CP-0088</t>
        </is>
      </c>
      <c r="B812" s="16" t="inlineStr">
        <is>
          <t>Changes-to-Push View</t>
        </is>
      </c>
      <c r="C812" s="16" t="inlineStr">
        <is>
          <t>Global GraphQL doc</t>
        </is>
      </c>
      <c r="D812" s="16" t="inlineStr">
        <is>
          <t>Functional</t>
        </is>
      </c>
      <c r="E812" s="16" t="inlineStr">
        <is>
          <t>Change-to-Push: Removed a Global GraphQL doc</t>
        </is>
      </c>
      <c r="F812" s="16" t="inlineStr">
        <is>
          <t>Linked workspace; clean state.</t>
        </is>
      </c>
      <c r="G812" s="16" t="inlineStr">
        <is>
          <t>1. Delete an existing Global GraphQL doc.
2. Open Workspace panel.
3. Inspect Unpushed changes strip and modal.</t>
        </is>
      </c>
      <c r="H812" s="16" t="inlineStr">
        <is>
          <t>bucket=globalGraphql; op=Removed</t>
        </is>
      </c>
      <c r="I812" s="16" t="inlineStr">
        <is>
          <t>Strip count reflects the change (+N added / ~M modified / -K removed); modal lists a row with badge 'removed' and the correct label. Pushing clears it.</t>
        </is>
      </c>
      <c r="J812" s="16" t="inlineStr"/>
      <c r="K812" s="16" t="inlineStr">
        <is>
          <t>Not Run</t>
        </is>
      </c>
      <c r="L812" s="16" t="inlineStr">
        <is>
          <t>Medium</t>
        </is>
      </c>
      <c r="M812" s="16" t="inlineStr"/>
      <c r="N812" s="16" t="inlineStr"/>
      <c r="O812" s="16" t="inlineStr"/>
    </row>
    <row r="813" ht="72" customHeight="1">
      <c r="A813" s="16" t="inlineStr">
        <is>
          <t>TC-CP-0089</t>
        </is>
      </c>
      <c r="B813" s="16" t="inlineStr">
        <is>
          <t>Changes-to-Push View</t>
        </is>
      </c>
      <c r="C813" s="16" t="inlineStr">
        <is>
          <t>Secret key/slot</t>
        </is>
      </c>
      <c r="D813" s="16" t="inlineStr">
        <is>
          <t>Functional</t>
        </is>
      </c>
      <c r="E813" s="16" t="inlineStr">
        <is>
          <t>Change-to-Push: Added a Secret key/slot</t>
        </is>
      </c>
      <c r="F813" s="16" t="inlineStr">
        <is>
          <t>Linked workspace; clean state.</t>
        </is>
      </c>
      <c r="G813" s="16" t="inlineStr">
        <is>
          <t>1. Create a new Secret key/slot.
2. Open Workspace panel.
3. Inspect Unpushed changes strip and modal.</t>
        </is>
      </c>
      <c r="H813" s="16" t="inlineStr">
        <is>
          <t>bucket=secretKey; op=Added</t>
        </is>
      </c>
      <c r="I813" s="16" t="inlineStr">
        <is>
          <t>Strip count reflects the change (+N added / ~M modified / -K removed); modal lists a row with badge 'added' and the correct label. Pushing clears it.</t>
        </is>
      </c>
      <c r="J813" s="16" t="inlineStr"/>
      <c r="K813" s="16" t="inlineStr">
        <is>
          <t>Not Run</t>
        </is>
      </c>
      <c r="L813" s="16" t="inlineStr">
        <is>
          <t>Medium</t>
        </is>
      </c>
      <c r="M813" s="16" t="inlineStr"/>
      <c r="N813" s="16" t="inlineStr"/>
      <c r="O813" s="16" t="inlineStr"/>
    </row>
    <row r="814" ht="72" customHeight="1">
      <c r="A814" s="16" t="inlineStr">
        <is>
          <t>TC-CP-0090</t>
        </is>
      </c>
      <c r="B814" s="16" t="inlineStr">
        <is>
          <t>Changes-to-Push View</t>
        </is>
      </c>
      <c r="C814" s="16" t="inlineStr">
        <is>
          <t>Secret key/slot</t>
        </is>
      </c>
      <c r="D814" s="16" t="inlineStr">
        <is>
          <t>Functional</t>
        </is>
      </c>
      <c r="E814" s="16" t="inlineStr">
        <is>
          <t>Change-to-Push: Modify Secret key/slot field 'add'</t>
        </is>
      </c>
      <c r="F814" s="16" t="inlineStr">
        <is>
          <t>Linked workspace; clean state.</t>
        </is>
      </c>
      <c r="G814" s="16" t="inlineStr">
        <is>
          <t>1. Open the Secret key/slot.
2. Change 'add' to a different value.
3. Open Workspace panel -&gt; Unpushed changes strip / modal.</t>
        </is>
      </c>
      <c r="H814" s="16" t="inlineStr">
        <is>
          <t>bucket=secretKey; op=modify add</t>
        </is>
      </c>
      <c r="I814" s="16" t="inlineStr">
        <is>
          <t>Strip count increments (~M modified); modal lists row with badge 'modified', label = Secret key/slot display name; expanding row shows before/after diff focused on 'add'. Push then clears the row from the list.</t>
        </is>
      </c>
      <c r="J814" s="16" t="inlineStr"/>
      <c r="K814" s="16" t="inlineStr">
        <is>
          <t>Not Run</t>
        </is>
      </c>
      <c r="L814" s="16" t="inlineStr">
        <is>
          <t>Medium</t>
        </is>
      </c>
      <c r="M814" s="16" t="inlineStr"/>
      <c r="N814" s="16" t="inlineStr"/>
      <c r="O814" s="16" t="inlineStr"/>
    </row>
    <row r="815" ht="72" customHeight="1">
      <c r="A815" s="16" t="inlineStr">
        <is>
          <t>TC-CP-0091</t>
        </is>
      </c>
      <c r="B815" s="16" t="inlineStr">
        <is>
          <t>Changes-to-Push View</t>
        </is>
      </c>
      <c r="C815" s="16" t="inlineStr">
        <is>
          <t>Secret key/slot</t>
        </is>
      </c>
      <c r="D815" s="16" t="inlineStr">
        <is>
          <t>Functional</t>
        </is>
      </c>
      <c r="E815" s="16" t="inlineStr">
        <is>
          <t>Change-to-Push: Modify Secret key/slot field 'delete'</t>
        </is>
      </c>
      <c r="F815" s="16" t="inlineStr">
        <is>
          <t>Linked workspace; clean state.</t>
        </is>
      </c>
      <c r="G815" s="16" t="inlineStr">
        <is>
          <t>1. Open the Secret key/slot.
2. Change 'delete' to a different value.
3. Open Workspace panel -&gt; Unpushed changes strip / modal.</t>
        </is>
      </c>
      <c r="H815" s="16" t="inlineStr">
        <is>
          <t>bucket=secretKey; op=modify delete</t>
        </is>
      </c>
      <c r="I815" s="16" t="inlineStr">
        <is>
          <t>Strip count increments (~M modified); modal lists row with badge 'modified', label = Secret key/slot display name; expanding row shows before/after diff focused on 'delete'. Push then clears the row from the list.</t>
        </is>
      </c>
      <c r="J815" s="16" t="inlineStr"/>
      <c r="K815" s="16" t="inlineStr">
        <is>
          <t>Not Run</t>
        </is>
      </c>
      <c r="L815" s="16" t="inlineStr">
        <is>
          <t>Medium</t>
        </is>
      </c>
      <c r="M815" s="16" t="inlineStr"/>
      <c r="N815" s="16" t="inlineStr"/>
      <c r="O815" s="16" t="inlineStr"/>
    </row>
    <row r="816" ht="72" customHeight="1">
      <c r="A816" s="16" t="inlineStr">
        <is>
          <t>TC-CP-0092</t>
        </is>
      </c>
      <c r="B816" s="16" t="inlineStr">
        <is>
          <t>Changes-to-Push View</t>
        </is>
      </c>
      <c r="C816" s="16" t="inlineStr">
        <is>
          <t>Secret key/slot</t>
        </is>
      </c>
      <c r="D816" s="16" t="inlineStr">
        <is>
          <t>Functional</t>
        </is>
      </c>
      <c r="E816" s="16" t="inlineStr">
        <is>
          <t>Change-to-Push: Modify Secret key/slot field 'rename label'</t>
        </is>
      </c>
      <c r="F816" s="16" t="inlineStr">
        <is>
          <t>Linked workspace; clean state.</t>
        </is>
      </c>
      <c r="G816" s="16" t="inlineStr">
        <is>
          <t>1. Open the Secret key/slot.
2. Change 'rename label' to a different value.
3. Open Workspace panel -&gt; Unpushed changes strip / modal.</t>
        </is>
      </c>
      <c r="H816" s="16" t="inlineStr">
        <is>
          <t>bucket=secretKey; op=modify rename label</t>
        </is>
      </c>
      <c r="I816" s="16" t="inlineStr">
        <is>
          <t>Strip count increments (~M modified); modal lists row with badge 'modified', label = Secret key/slot display name; expanding row shows before/after diff focused on 'rename label'. Push then clears the row from the list.</t>
        </is>
      </c>
      <c r="J816" s="16" t="inlineStr"/>
      <c r="K816" s="16" t="inlineStr">
        <is>
          <t>Not Run</t>
        </is>
      </c>
      <c r="L816" s="16" t="inlineStr">
        <is>
          <t>Medium</t>
        </is>
      </c>
      <c r="M816" s="16" t="inlineStr"/>
      <c r="N816" s="16" t="inlineStr"/>
      <c r="O816" s="16" t="inlineStr"/>
    </row>
    <row r="817" ht="72" customHeight="1">
      <c r="A817" s="16" t="inlineStr">
        <is>
          <t>TC-CP-0093</t>
        </is>
      </c>
      <c r="B817" s="16" t="inlineStr">
        <is>
          <t>Changes-to-Push View</t>
        </is>
      </c>
      <c r="C817" s="16" t="inlineStr">
        <is>
          <t>Secret key/slot</t>
        </is>
      </c>
      <c r="D817" s="16" t="inlineStr">
        <is>
          <t>Functional</t>
        </is>
      </c>
      <c r="E817" s="16" t="inlineStr">
        <is>
          <t>Change-to-Push: Modify Secret key/slot field 'salt change'</t>
        </is>
      </c>
      <c r="F817" s="16" t="inlineStr">
        <is>
          <t>Linked workspace; clean state.</t>
        </is>
      </c>
      <c r="G817" s="16" t="inlineStr">
        <is>
          <t>1. Open the Secret key/slot.
2. Change 'salt change' to a different value.
3. Open Workspace panel -&gt; Unpushed changes strip / modal.</t>
        </is>
      </c>
      <c r="H817" s="16" t="inlineStr">
        <is>
          <t>bucket=secretKey; op=modify salt change</t>
        </is>
      </c>
      <c r="I817" s="16" t="inlineStr">
        <is>
          <t>Strip count increments (~M modified); modal lists row with badge 'modified', label = Secret key/slot display name; expanding row shows before/after diff focused on 'salt change'. Push then clears the row from the list.</t>
        </is>
      </c>
      <c r="J817" s="16" t="inlineStr"/>
      <c r="K817" s="16" t="inlineStr">
        <is>
          <t>Not Run</t>
        </is>
      </c>
      <c r="L817" s="16" t="inlineStr">
        <is>
          <t>Medium</t>
        </is>
      </c>
      <c r="M817" s="16" t="inlineStr"/>
      <c r="N817" s="16" t="inlineStr"/>
      <c r="O817" s="16" t="inlineStr"/>
    </row>
    <row r="818" ht="72" customHeight="1">
      <c r="A818" s="16" t="inlineStr">
        <is>
          <t>TC-CP-0094</t>
        </is>
      </c>
      <c r="B818" s="16" t="inlineStr">
        <is>
          <t>Changes-to-Push View</t>
        </is>
      </c>
      <c r="C818" s="16" t="inlineStr">
        <is>
          <t>Secret key/slot</t>
        </is>
      </c>
      <c r="D818" s="16" t="inlineStr">
        <is>
          <t>Functional</t>
        </is>
      </c>
      <c r="E818" s="16" t="inlineStr">
        <is>
          <t>Change-to-Push: Removed a Secret key/slot</t>
        </is>
      </c>
      <c r="F818" s="16" t="inlineStr">
        <is>
          <t>Linked workspace; clean state.</t>
        </is>
      </c>
      <c r="G818" s="16" t="inlineStr">
        <is>
          <t>1. Delete an existing Secret key/slot.
2. Open Workspace panel.
3. Inspect Unpushed changes strip and modal.</t>
        </is>
      </c>
      <c r="H818" s="16" t="inlineStr">
        <is>
          <t>bucket=secretKey; op=Removed</t>
        </is>
      </c>
      <c r="I818" s="16" t="inlineStr">
        <is>
          <t>Strip count reflects the change (+N added / ~M modified / -K removed); modal lists a row with badge 'removed' and the correct label. Pushing clears it.</t>
        </is>
      </c>
      <c r="J818" s="16" t="inlineStr"/>
      <c r="K818" s="16" t="inlineStr">
        <is>
          <t>Not Run</t>
        </is>
      </c>
      <c r="L818" s="16" t="inlineStr">
        <is>
          <t>Medium</t>
        </is>
      </c>
      <c r="M818" s="16" t="inlineStr"/>
      <c r="N818" s="16" t="inlineStr"/>
      <c r="O818" s="16" t="inlineStr"/>
    </row>
    <row r="819" ht="72" customHeight="1">
      <c r="A819" s="16" t="inlineStr">
        <is>
          <t>TC-CP-0095</t>
        </is>
      </c>
      <c r="B819" s="16" t="inlineStr">
        <is>
          <t>Changes-to-Push View</t>
        </is>
      </c>
      <c r="C819" s="16" t="inlineStr">
        <is>
          <t>Workspace passphrase</t>
        </is>
      </c>
      <c r="D819" s="16" t="inlineStr">
        <is>
          <t>Functional</t>
        </is>
      </c>
      <c r="E819" s="16" t="inlineStr">
        <is>
          <t>Change-to-Push: Added a Workspace passphrase</t>
        </is>
      </c>
      <c r="F819" s="16" t="inlineStr">
        <is>
          <t>Linked workspace; clean state.</t>
        </is>
      </c>
      <c r="G819" s="16" t="inlineStr">
        <is>
          <t>1. Create a new Workspace passphrase.
2. Open Workspace panel.
3. Inspect Unpushed changes strip and modal.</t>
        </is>
      </c>
      <c r="H819" s="16" t="inlineStr">
        <is>
          <t>bucket=secretCrypto; op=Added</t>
        </is>
      </c>
      <c r="I819" s="16" t="inlineStr">
        <is>
          <t>Strip count reflects the change (+N added / ~M modified / -K removed); modal lists a row with badge 'added' and the correct label. Pushing clears it.</t>
        </is>
      </c>
      <c r="J819" s="16" t="inlineStr"/>
      <c r="K819" s="16" t="inlineStr">
        <is>
          <t>Not Run</t>
        </is>
      </c>
      <c r="L819" s="16" t="inlineStr">
        <is>
          <t>Medium</t>
        </is>
      </c>
      <c r="M819" s="16" t="inlineStr"/>
      <c r="N819" s="16" t="inlineStr"/>
      <c r="O819" s="16" t="inlineStr"/>
    </row>
    <row r="820" ht="72" customHeight="1">
      <c r="A820" s="16" t="inlineStr">
        <is>
          <t>TC-CP-0096</t>
        </is>
      </c>
      <c r="B820" s="16" t="inlineStr">
        <is>
          <t>Changes-to-Push View</t>
        </is>
      </c>
      <c r="C820" s="16" t="inlineStr">
        <is>
          <t>Workspace passphrase</t>
        </is>
      </c>
      <c r="D820" s="16" t="inlineStr">
        <is>
          <t>Functional</t>
        </is>
      </c>
      <c r="E820" s="16" t="inlineStr">
        <is>
          <t>Change-to-Push: Modify Workspace passphrase field 'set'</t>
        </is>
      </c>
      <c r="F820" s="16" t="inlineStr">
        <is>
          <t>Linked workspace; clean state.</t>
        </is>
      </c>
      <c r="G820" s="16" t="inlineStr">
        <is>
          <t>1. Open the Workspace passphrase.
2. Change 'set' to a different value.
3. Open Workspace panel -&gt; Unpushed changes strip / modal.</t>
        </is>
      </c>
      <c r="H820" s="16" t="inlineStr">
        <is>
          <t>bucket=secretCrypto; op=modify set</t>
        </is>
      </c>
      <c r="I820" s="16" t="inlineStr">
        <is>
          <t>Strip count increments (~M modified); modal lists row with badge 'modified', label = Workspace passphrase display name; expanding row shows before/after diff focused on 'set'. Push then clears the row from the list.</t>
        </is>
      </c>
      <c r="J820" s="16" t="inlineStr"/>
      <c r="K820" s="16" t="inlineStr">
        <is>
          <t>Not Run</t>
        </is>
      </c>
      <c r="L820" s="16" t="inlineStr">
        <is>
          <t>Medium</t>
        </is>
      </c>
      <c r="M820" s="16" t="inlineStr"/>
      <c r="N820" s="16" t="inlineStr"/>
      <c r="O820" s="16" t="inlineStr"/>
    </row>
    <row r="821" ht="72" customHeight="1">
      <c r="A821" s="16" t="inlineStr">
        <is>
          <t>TC-CP-0097</t>
        </is>
      </c>
      <c r="B821" s="16" t="inlineStr">
        <is>
          <t>Changes-to-Push View</t>
        </is>
      </c>
      <c r="C821" s="16" t="inlineStr">
        <is>
          <t>Workspace passphrase</t>
        </is>
      </c>
      <c r="D821" s="16" t="inlineStr">
        <is>
          <t>Functional</t>
        </is>
      </c>
      <c r="E821" s="16" t="inlineStr">
        <is>
          <t>Change-to-Push: Modify Workspace passphrase field 'update'</t>
        </is>
      </c>
      <c r="F821" s="16" t="inlineStr">
        <is>
          <t>Linked workspace; clean state.</t>
        </is>
      </c>
      <c r="G821" s="16" t="inlineStr">
        <is>
          <t>1. Open the Workspace passphrase.
2. Change 'update' to a different value.
3. Open Workspace panel -&gt; Unpushed changes strip / modal.</t>
        </is>
      </c>
      <c r="H821" s="16" t="inlineStr">
        <is>
          <t>bucket=secretCrypto; op=modify update</t>
        </is>
      </c>
      <c r="I821" s="16" t="inlineStr">
        <is>
          <t>Strip count increments (~M modified); modal lists row with badge 'modified', label = Workspace passphrase display name; expanding row shows before/after diff focused on 'update'. Push then clears the row from the list.</t>
        </is>
      </c>
      <c r="J821" s="16" t="inlineStr"/>
      <c r="K821" s="16" t="inlineStr">
        <is>
          <t>Not Run</t>
        </is>
      </c>
      <c r="L821" s="16" t="inlineStr">
        <is>
          <t>Medium</t>
        </is>
      </c>
      <c r="M821" s="16" t="inlineStr"/>
      <c r="N821" s="16" t="inlineStr"/>
      <c r="O821" s="16" t="inlineStr"/>
    </row>
    <row r="822" ht="72" customHeight="1">
      <c r="A822" s="16" t="inlineStr">
        <is>
          <t>TC-CP-0098</t>
        </is>
      </c>
      <c r="B822" s="16" t="inlineStr">
        <is>
          <t>Changes-to-Push View</t>
        </is>
      </c>
      <c r="C822" s="16" t="inlineStr">
        <is>
          <t>Workspace passphrase</t>
        </is>
      </c>
      <c r="D822" s="16" t="inlineStr">
        <is>
          <t>Functional</t>
        </is>
      </c>
      <c r="E822" s="16" t="inlineStr">
        <is>
          <t>Change-to-Push: Removed a Workspace passphrase</t>
        </is>
      </c>
      <c r="F822" s="16" t="inlineStr">
        <is>
          <t>Linked workspace; clean state.</t>
        </is>
      </c>
      <c r="G822" s="16" t="inlineStr">
        <is>
          <t>1. Delete an existing Workspace passphrase.
2. Open Workspace panel.
3. Inspect Unpushed changes strip and modal.</t>
        </is>
      </c>
      <c r="H822" s="16" t="inlineStr">
        <is>
          <t>bucket=secretCrypto; op=Removed</t>
        </is>
      </c>
      <c r="I822" s="16" t="inlineStr">
        <is>
          <t>Strip count reflects the change (+N added / ~M modified / -K removed); modal lists a row with badge 'removed' and the correct label. Pushing clears it.</t>
        </is>
      </c>
      <c r="J822" s="16" t="inlineStr"/>
      <c r="K822" s="16" t="inlineStr">
        <is>
          <t>Not Run</t>
        </is>
      </c>
      <c r="L822" s="16" t="inlineStr">
        <is>
          <t>Medium</t>
        </is>
      </c>
      <c r="M822" s="16" t="inlineStr"/>
      <c r="N822" s="16" t="inlineStr"/>
      <c r="O822" s="16" t="inlineStr"/>
    </row>
    <row r="823" ht="72" customHeight="1">
      <c r="A823" s="16" t="inlineStr">
        <is>
          <t>TC-CP-0099</t>
        </is>
      </c>
      <c r="B823" s="16" t="inlineStr">
        <is>
          <t>Changes-to-Push View</t>
        </is>
      </c>
      <c r="C823" s="16" t="inlineStr">
        <is>
          <t>Release ledger (self)</t>
        </is>
      </c>
      <c r="D823" s="16" t="inlineStr">
        <is>
          <t>Functional</t>
        </is>
      </c>
      <c r="E823" s="16" t="inlineStr">
        <is>
          <t>Change-to-Push: Added a Release ledger (self)</t>
        </is>
      </c>
      <c r="F823" s="16" t="inlineStr">
        <is>
          <t>Linked workspace; clean state.</t>
        </is>
      </c>
      <c r="G823" s="16" t="inlineStr">
        <is>
          <t>1. Create a new Release ledger (self).
2. Open Workspace panel.
3. Inspect Unpushed changes strip and modal.</t>
        </is>
      </c>
      <c r="H823" s="16" t="inlineStr">
        <is>
          <t>bucket=releaseSelf; op=Added</t>
        </is>
      </c>
      <c r="I823" s="16" t="inlineStr">
        <is>
          <t>Strip count reflects the change (+N added / ~M modified / -K removed); modal lists a row with badge 'added' and the correct label. Pushing clears it.</t>
        </is>
      </c>
      <c r="J823" s="16" t="inlineStr"/>
      <c r="K823" s="16" t="inlineStr">
        <is>
          <t>Not Run</t>
        </is>
      </c>
      <c r="L823" s="16" t="inlineStr">
        <is>
          <t>Medium</t>
        </is>
      </c>
      <c r="M823" s="16" t="inlineStr"/>
      <c r="N823" s="16" t="inlineStr"/>
      <c r="O823" s="16" t="inlineStr"/>
    </row>
    <row r="824" ht="72" customHeight="1">
      <c r="A824" s="16" t="inlineStr">
        <is>
          <t>TC-CP-0100</t>
        </is>
      </c>
      <c r="B824" s="16" t="inlineStr">
        <is>
          <t>Changes-to-Push View</t>
        </is>
      </c>
      <c r="C824" s="16" t="inlineStr">
        <is>
          <t>Release ledger (self)</t>
        </is>
      </c>
      <c r="D824" s="16" t="inlineStr">
        <is>
          <t>Functional</t>
        </is>
      </c>
      <c r="E824" s="16" t="inlineStr">
        <is>
          <t>Change-to-Push: Modify Release ledger (self) field 'publish'</t>
        </is>
      </c>
      <c r="F824" s="16" t="inlineStr">
        <is>
          <t>Linked workspace; clean state.</t>
        </is>
      </c>
      <c r="G824" s="16" t="inlineStr">
        <is>
          <t>1. Open the Release ledger (self).
2. Change 'publish' to a different value.
3. Open Workspace panel -&gt; Unpushed changes strip / modal.</t>
        </is>
      </c>
      <c r="H824" s="16" t="inlineStr">
        <is>
          <t>bucket=releaseSelf; op=modify publish</t>
        </is>
      </c>
      <c r="I824" s="16" t="inlineStr">
        <is>
          <t>Strip count increments (~M modified); modal lists row with badge 'modified', label = Release ledger (self) display name; expanding row shows before/after diff focused on 'publish'. Push then clears the row from the list.</t>
        </is>
      </c>
      <c r="J824" s="16" t="inlineStr"/>
      <c r="K824" s="16" t="inlineStr">
        <is>
          <t>Not Run</t>
        </is>
      </c>
      <c r="L824" s="16" t="inlineStr">
        <is>
          <t>Medium</t>
        </is>
      </c>
      <c r="M824" s="16" t="inlineStr"/>
      <c r="N824" s="16" t="inlineStr"/>
      <c r="O824" s="16" t="inlineStr"/>
    </row>
    <row r="825" ht="72" customHeight="1">
      <c r="A825" s="16" t="inlineStr">
        <is>
          <t>TC-CP-0101</t>
        </is>
      </c>
      <c r="B825" s="16" t="inlineStr">
        <is>
          <t>Changes-to-Push View</t>
        </is>
      </c>
      <c r="C825" s="16" t="inlineStr">
        <is>
          <t>Release ledger (self)</t>
        </is>
      </c>
      <c r="D825" s="16" t="inlineStr">
        <is>
          <t>Functional</t>
        </is>
      </c>
      <c r="E825" s="16" t="inlineStr">
        <is>
          <t>Change-to-Push: Modify Release ledger (self) field 'update version'</t>
        </is>
      </c>
      <c r="F825" s="16" t="inlineStr">
        <is>
          <t>Linked workspace; clean state.</t>
        </is>
      </c>
      <c r="G825" s="16" t="inlineStr">
        <is>
          <t>1. Open the Release ledger (self).
2. Change 'update version' to a different value.
3. Open Workspace panel -&gt; Unpushed changes strip / modal.</t>
        </is>
      </c>
      <c r="H825" s="16" t="inlineStr">
        <is>
          <t>bucket=releaseSelf; op=modify update version</t>
        </is>
      </c>
      <c r="I825" s="16" t="inlineStr">
        <is>
          <t>Strip count increments (~M modified); modal lists row with badge 'modified', label = Release ledger (self) display name; expanding row shows before/after diff focused on 'update version'. Push then clears the row from the list.</t>
        </is>
      </c>
      <c r="J825" s="16" t="inlineStr"/>
      <c r="K825" s="16" t="inlineStr">
        <is>
          <t>Not Run</t>
        </is>
      </c>
      <c r="L825" s="16" t="inlineStr">
        <is>
          <t>Medium</t>
        </is>
      </c>
      <c r="M825" s="16" t="inlineStr"/>
      <c r="N825" s="16" t="inlineStr"/>
      <c r="O825" s="16" t="inlineStr"/>
    </row>
    <row r="826" ht="72" customHeight="1">
      <c r="A826" s="16" t="inlineStr">
        <is>
          <t>TC-CP-0102</t>
        </is>
      </c>
      <c r="B826" s="16" t="inlineStr">
        <is>
          <t>Changes-to-Push View</t>
        </is>
      </c>
      <c r="C826" s="16" t="inlineStr">
        <is>
          <t>Release ledger (self)</t>
        </is>
      </c>
      <c r="D826" s="16" t="inlineStr">
        <is>
          <t>Functional</t>
        </is>
      </c>
      <c r="E826" s="16" t="inlineStr">
        <is>
          <t>Change-to-Push: Removed a Release ledger (self)</t>
        </is>
      </c>
      <c r="F826" s="16" t="inlineStr">
        <is>
          <t>Linked workspace; clean state.</t>
        </is>
      </c>
      <c r="G826" s="16" t="inlineStr">
        <is>
          <t>1. Delete an existing Release ledger (self).
2. Open Workspace panel.
3. Inspect Unpushed changes strip and modal.</t>
        </is>
      </c>
      <c r="H826" s="16" t="inlineStr">
        <is>
          <t>bucket=releaseSelf; op=Removed</t>
        </is>
      </c>
      <c r="I826" s="16" t="inlineStr">
        <is>
          <t>Strip count reflects the change (+N added / ~M modified / -K removed); modal lists a row with badge 'removed' and the correct label. Pushing clears it.</t>
        </is>
      </c>
      <c r="J826" s="16" t="inlineStr"/>
      <c r="K826" s="16" t="inlineStr">
        <is>
          <t>Not Run</t>
        </is>
      </c>
      <c r="L826" s="16" t="inlineStr">
        <is>
          <t>Medium</t>
        </is>
      </c>
      <c r="M826" s="16" t="inlineStr"/>
      <c r="N826" s="16" t="inlineStr"/>
      <c r="O826" s="16" t="inlineStr"/>
    </row>
    <row r="827" ht="72" customHeight="1">
      <c r="A827" s="16" t="inlineStr">
        <is>
          <t>TC-CP-0103</t>
        </is>
      </c>
      <c r="B827" s="16" t="inlineStr">
        <is>
          <t>Changes-to-Push View</t>
        </is>
      </c>
      <c r="C827" s="16" t="inlineStr">
        <is>
          <t>Multiple changes batch view</t>
        </is>
      </c>
      <c r="D827" s="16" t="inlineStr">
        <is>
          <t>UX/UI</t>
        </is>
      </c>
      <c r="E827" s="16" t="inlineStr">
        <is>
          <t>10 mixed edits aggregated in modal</t>
        </is>
      </c>
      <c r="F827" s="16" t="inlineStr">
        <is>
          <t>-</t>
        </is>
      </c>
      <c r="G827" s="16" t="inlineStr">
        <is>
          <t>1. Make 4 adds + 3 modifies + 3 removes.
2. Open modal.</t>
        </is>
      </c>
      <c r="H827" s="16" t="inlineStr">
        <is>
          <t>change-to-push edge</t>
        </is>
      </c>
      <c r="I827" s="16" t="inlineStr">
        <is>
          <t>Counts add up; rows sorted by bucket order, then label; no duplicate rows.</t>
        </is>
      </c>
      <c r="J827" s="16" t="inlineStr"/>
      <c r="K827" s="16" t="inlineStr">
        <is>
          <t>Not Run</t>
        </is>
      </c>
      <c r="L827" s="16" t="inlineStr">
        <is>
          <t>High</t>
        </is>
      </c>
      <c r="M827" s="16" t="inlineStr"/>
      <c r="N827" s="16" t="inlineStr"/>
      <c r="O827" s="16" t="inlineStr"/>
    </row>
    <row r="828" ht="72" customHeight="1">
      <c r="A828" s="16" t="inlineStr">
        <is>
          <t>TC-CP-0104</t>
        </is>
      </c>
      <c r="B828" s="16" t="inlineStr">
        <is>
          <t>Changes-to-Push View</t>
        </is>
      </c>
      <c r="C828" s="16" t="inlineStr">
        <is>
          <t>Round-trip: add then delete = no change</t>
        </is>
      </c>
      <c r="D828" s="16" t="inlineStr">
        <is>
          <t>Edge Case</t>
        </is>
      </c>
      <c r="E828" s="16" t="inlineStr">
        <is>
          <t>Net-zero ops produce nothing</t>
        </is>
      </c>
      <c r="F828" s="16" t="inlineStr">
        <is>
          <t>-</t>
        </is>
      </c>
      <c r="G828" s="16" t="inlineStr">
        <is>
          <t>1. Add a folder.
2. Delete it.</t>
        </is>
      </c>
      <c r="H828" s="16" t="inlineStr">
        <is>
          <t>change-to-push edge</t>
        </is>
      </c>
      <c r="I828" s="16" t="inlineStr">
        <is>
          <t>Strip shows 'No unpushed changes'; modal empty.</t>
        </is>
      </c>
      <c r="J828" s="16" t="inlineStr"/>
      <c r="K828" s="16" t="inlineStr">
        <is>
          <t>Not Run</t>
        </is>
      </c>
      <c r="L828" s="16" t="inlineStr">
        <is>
          <t>Medium</t>
        </is>
      </c>
      <c r="M828" s="16" t="inlineStr"/>
      <c r="N828" s="16" t="inlineStr"/>
      <c r="O828" s="16" t="inlineStr"/>
    </row>
    <row r="829" ht="72" customHeight="1">
      <c r="A829" s="16" t="inlineStr">
        <is>
          <t>TC-CP-0105</t>
        </is>
      </c>
      <c r="B829" s="16" t="inlineStr">
        <is>
          <t>Changes-to-Push View</t>
        </is>
      </c>
      <c r="C829" s="16" t="inlineStr">
        <is>
          <t>Round-trip: rename then rename back = no change</t>
        </is>
      </c>
      <c r="D829" s="16" t="inlineStr">
        <is>
          <t>Edge Case</t>
        </is>
      </c>
      <c r="E829" s="16" t="inlineStr">
        <is>
          <t>Renaming back to original</t>
        </is>
      </c>
      <c r="F829" s="16" t="inlineStr">
        <is>
          <t>-</t>
        </is>
      </c>
      <c r="G829" s="16" t="inlineStr">
        <is>
          <t>1. Rename A to B.
2. Rename back to A.</t>
        </is>
      </c>
      <c r="H829" s="16" t="inlineStr">
        <is>
          <t>change-to-push edge</t>
        </is>
      </c>
      <c r="I829" s="16" t="inlineStr">
        <is>
          <t>Strip empty.</t>
        </is>
      </c>
      <c r="J829" s="16" t="inlineStr"/>
      <c r="K829" s="16" t="inlineStr">
        <is>
          <t>Not Run</t>
        </is>
      </c>
      <c r="L829" s="16" t="inlineStr">
        <is>
          <t>Low</t>
        </is>
      </c>
      <c r="M829" s="16" t="inlineStr"/>
      <c r="N829" s="16" t="inlineStr"/>
      <c r="O829" s="16" t="inlineStr"/>
    </row>
    <row r="830" ht="72" customHeight="1">
      <c r="A830" s="16" t="inlineStr">
        <is>
          <t>TC-CP-0106</t>
        </is>
      </c>
      <c r="B830" s="16" t="inlineStr">
        <is>
          <t>Changes-to-Push View</t>
        </is>
      </c>
      <c r="C830" s="16" t="inlineStr">
        <is>
          <t>Modify then revert during session</t>
        </is>
      </c>
      <c r="D830" s="16" t="inlineStr">
        <is>
          <t>Edge Case</t>
        </is>
      </c>
      <c r="E830" s="16" t="inlineStr">
        <is>
          <t>Manual revert to base value</t>
        </is>
      </c>
      <c r="F830" s="16" t="inlineStr">
        <is>
          <t>-</t>
        </is>
      </c>
      <c r="G830" s="16" t="inlineStr">
        <is>
          <t>1. Edit a request URL.
2. Re-enter the original URL.</t>
        </is>
      </c>
      <c r="H830" s="16" t="inlineStr">
        <is>
          <t>change-to-push edge</t>
        </is>
      </c>
      <c r="I830" s="16" t="inlineStr">
        <is>
          <t>Row drops from changes list.</t>
        </is>
      </c>
      <c r="J830" s="16" t="inlineStr"/>
      <c r="K830" s="16" t="inlineStr">
        <is>
          <t>Not Run</t>
        </is>
      </c>
      <c r="L830" s="16" t="inlineStr">
        <is>
          <t>Medium</t>
        </is>
      </c>
      <c r="M830" s="16" t="inlineStr"/>
      <c r="N830" s="16" t="inlineStr"/>
      <c r="O830" s="16" t="inlineStr"/>
    </row>
    <row r="831" ht="72" customHeight="1">
      <c r="A831" s="16" t="inlineStr">
        <is>
          <t>TC-CP-0107</t>
        </is>
      </c>
      <c r="B831" s="16" t="inlineStr">
        <is>
          <t>Changes-to-Push View</t>
        </is>
      </c>
      <c r="C831" s="16" t="inlineStr">
        <is>
          <t>Pull merges remote without losing local strip</t>
        </is>
      </c>
      <c r="D831" s="16" t="inlineStr">
        <is>
          <t>Functional</t>
        </is>
      </c>
      <c r="E831" s="16" t="inlineStr">
        <is>
          <t>Pull does not erase local-only list</t>
        </is>
      </c>
      <c r="F831" s="16" t="inlineStr">
        <is>
          <t>-</t>
        </is>
      </c>
      <c r="G831" s="16" t="inlineStr">
        <is>
          <t>1. Local edits present.
2. Pull with non-conflicting remote.</t>
        </is>
      </c>
      <c r="H831" s="16" t="inlineStr">
        <is>
          <t>change-to-push edge</t>
        </is>
      </c>
      <c r="I831" s="16" t="inlineStr">
        <is>
          <t>Local strip still shows local edits; merged remote applied; on push, only local diffs go out.</t>
        </is>
      </c>
      <c r="J831" s="16" t="inlineStr"/>
      <c r="K831" s="16" t="inlineStr">
        <is>
          <t>Not Run</t>
        </is>
      </c>
      <c r="L831" s="16" t="inlineStr">
        <is>
          <t>High</t>
        </is>
      </c>
      <c r="M831" s="16" t="inlineStr"/>
      <c r="N831" s="16" t="inlineStr"/>
      <c r="O831" s="16" t="inlineStr"/>
    </row>
    <row r="832" ht="72" customHeight="1">
      <c r="A832" s="16" t="inlineStr">
        <is>
          <t>TC-CP-0108</t>
        </is>
      </c>
      <c r="B832" s="16" t="inlineStr">
        <is>
          <t>Changes-to-Push View</t>
        </is>
      </c>
      <c r="C832" s="16" t="inlineStr">
        <is>
          <t>After push, strip resets to empty</t>
        </is>
      </c>
      <c r="D832" s="16" t="inlineStr">
        <is>
          <t>Functional</t>
        </is>
      </c>
      <c r="E832" s="16" t="inlineStr">
        <is>
          <t>Push clears strip</t>
        </is>
      </c>
      <c r="F832" s="16" t="inlineStr">
        <is>
          <t>-</t>
        </is>
      </c>
      <c r="G832" s="16" t="inlineStr">
        <is>
          <t>1. Several local edits.
2. Push.</t>
        </is>
      </c>
      <c r="H832" s="16" t="inlineStr">
        <is>
          <t>change-to-push edge</t>
        </is>
      </c>
      <c r="I832" s="16" t="inlineStr">
        <is>
          <t>Strip shows 'No unpushed changes' after success.</t>
        </is>
      </c>
      <c r="J832" s="16" t="inlineStr"/>
      <c r="K832" s="16" t="inlineStr">
        <is>
          <t>Not Run</t>
        </is>
      </c>
      <c r="L832" s="16" t="inlineStr">
        <is>
          <t>High</t>
        </is>
      </c>
      <c r="M832" s="16" t="inlineStr"/>
      <c r="N832" s="16" t="inlineStr"/>
      <c r="O832" s="16" t="inlineStr"/>
    </row>
    <row r="833" ht="72" customHeight="1">
      <c r="A833" s="16" t="inlineStr">
        <is>
          <t>TC-CP-0109</t>
        </is>
      </c>
      <c r="B833" s="16" t="inlineStr">
        <is>
          <t>Changes-to-Push View</t>
        </is>
      </c>
      <c r="C833" s="16" t="inlineStr">
        <is>
          <t>Refresh detects merged-PR retire shows nothing</t>
        </is>
      </c>
      <c r="D833" s="16" t="inlineStr">
        <is>
          <t>Edge Case</t>
        </is>
      </c>
      <c r="E833" s="16" t="inlineStr">
        <is>
          <t>PR merged then Refresh</t>
        </is>
      </c>
      <c r="F833" s="16" t="inlineStr">
        <is>
          <t>-</t>
        </is>
      </c>
      <c r="G833" s="16" t="inlineStr">
        <is>
          <t>1. PR merged on remote.
2. Refresh.</t>
        </is>
      </c>
      <c r="H833" s="16" t="inlineStr">
        <is>
          <t>change-to-push edge</t>
        </is>
      </c>
      <c r="I833" s="16" t="inlineStr">
        <is>
          <t>Local strip cleared (last-pulled snapshot updated to main); user prompted to switch branches.</t>
        </is>
      </c>
      <c r="J833" s="16" t="inlineStr"/>
      <c r="K833" s="16" t="inlineStr">
        <is>
          <t>Not Run</t>
        </is>
      </c>
      <c r="L833" s="16" t="inlineStr">
        <is>
          <t>High</t>
        </is>
      </c>
      <c r="M833" s="16" t="inlineStr"/>
      <c r="N833" s="16" t="inlineStr"/>
      <c r="O833" s="16" t="inlineStr"/>
    </row>
    <row r="834" ht="72" customHeight="1">
      <c r="A834" s="16" t="inlineStr">
        <is>
          <t>TC-CP-0110</t>
        </is>
      </c>
      <c r="B834" s="16" t="inlineStr">
        <is>
          <t>Changes-to-Push View</t>
        </is>
      </c>
      <c r="C834" s="16" t="inlineStr">
        <is>
          <t>Strip count matches modal row count</t>
        </is>
      </c>
      <c r="D834" s="16" t="inlineStr">
        <is>
          <t>Regression</t>
        </is>
      </c>
      <c r="E834" s="16" t="inlineStr">
        <is>
          <t>Counts equal modal rows</t>
        </is>
      </c>
      <c r="F834" s="16" t="inlineStr">
        <is>
          <t>-</t>
        </is>
      </c>
      <c r="G834" s="16" t="inlineStr">
        <is>
          <t>1. Variety of edits.
2. Compare strip to modal.</t>
        </is>
      </c>
      <c r="H834" s="16" t="inlineStr">
        <is>
          <t>change-to-push edge</t>
        </is>
      </c>
      <c r="I834" s="16" t="inlineStr">
        <is>
          <t>Counts identical to row counts.</t>
        </is>
      </c>
      <c r="J834" s="16" t="inlineStr"/>
      <c r="K834" s="16" t="inlineStr">
        <is>
          <t>Not Run</t>
        </is>
      </c>
      <c r="L834" s="16" t="inlineStr">
        <is>
          <t>Medium</t>
        </is>
      </c>
      <c r="M834" s="16" t="inlineStr"/>
      <c r="N834" s="16" t="inlineStr"/>
      <c r="O834" s="16" t="inlineStr"/>
    </row>
    <row r="835" ht="72" customHeight="1">
      <c r="A835" s="16" t="inlineStr">
        <is>
          <t>TC-CP-0111</t>
        </is>
      </c>
      <c r="B835" s="16" t="inlineStr">
        <is>
          <t>Changes-to-Push View</t>
        </is>
      </c>
      <c r="C835" s="16" t="inlineStr">
        <is>
          <t>Sort order by bucket then label</t>
        </is>
      </c>
      <c r="D835" s="16" t="inlineStr">
        <is>
          <t>UX/UI</t>
        </is>
      </c>
      <c r="E835" s="16" t="inlineStr">
        <is>
          <t>Modal sorted predictably</t>
        </is>
      </c>
      <c r="F835" s="16" t="inlineStr">
        <is>
          <t>-</t>
        </is>
      </c>
      <c r="G835" s="16" t="inlineStr">
        <is>
          <t>1. Diverse edits.
2. Open modal.</t>
        </is>
      </c>
      <c r="H835" s="16" t="inlineStr">
        <is>
          <t>change-to-push edge</t>
        </is>
      </c>
      <c r="I835" s="16" t="inlineStr">
        <is>
          <t>Rows ordered: tree, request, folder, env, ... then alphabetic by label.</t>
        </is>
      </c>
      <c r="J835" s="16" t="inlineStr"/>
      <c r="K835" s="16" t="inlineStr">
        <is>
          <t>Not Run</t>
        </is>
      </c>
      <c r="L835" s="16" t="inlineStr">
        <is>
          <t>Low</t>
        </is>
      </c>
      <c r="M835" s="16" t="inlineStr"/>
      <c r="N835" s="16" t="inlineStr"/>
      <c r="O835" s="16" t="inlineStr"/>
    </row>
    <row r="836" ht="72" customHeight="1">
      <c r="A836" s="16" t="inlineStr">
        <is>
          <t>TC-CP-0112</t>
        </is>
      </c>
      <c r="B836" s="16" t="inlineStr">
        <is>
          <t>Changes-to-Push View</t>
        </is>
      </c>
      <c r="C836" s="16" t="inlineStr">
        <is>
          <t>Diff view for binary body change</t>
        </is>
      </c>
      <c r="D836" s="16" t="inlineStr">
        <is>
          <t>Edge Case</t>
        </is>
      </c>
      <c r="E836" s="16" t="inlineStr">
        <is>
          <t>Binary body diff</t>
        </is>
      </c>
      <c r="F836" s="16" t="inlineStr">
        <is>
          <t>-</t>
        </is>
      </c>
      <c r="G836" s="16" t="inlineStr">
        <is>
          <t>1. Edit request body from JSON to binary.
2. Expand row.</t>
        </is>
      </c>
      <c r="H836" s="16" t="inlineStr">
        <is>
          <t>change-to-push edge</t>
        </is>
      </c>
      <c r="I836" s="16" t="inlineStr">
        <is>
          <t>Diff shows body kind change; binary content not rendered in full (size shown).</t>
        </is>
      </c>
      <c r="J836" s="16" t="inlineStr"/>
      <c r="K836" s="16" t="inlineStr">
        <is>
          <t>Not Run</t>
        </is>
      </c>
      <c r="L836" s="16" t="inlineStr">
        <is>
          <t>Low</t>
        </is>
      </c>
      <c r="M836" s="16" t="inlineStr"/>
      <c r="N836" s="16" t="inlineStr"/>
      <c r="O836" s="16" t="inlineStr"/>
    </row>
    <row r="837" ht="72" customHeight="1">
      <c r="A837" s="16" t="inlineStr">
        <is>
          <t>TC-CP-0113</t>
        </is>
      </c>
      <c r="B837" s="16" t="inlineStr">
        <is>
          <t>Changes-to-Push View</t>
        </is>
      </c>
      <c r="C837" s="16" t="inlineStr">
        <is>
          <t>Secret value change shows masked diff</t>
        </is>
      </c>
      <c r="D837" s="16" t="inlineStr">
        <is>
          <t>Security</t>
        </is>
      </c>
      <c r="E837" s="16" t="inlineStr">
        <is>
          <t>Masked diff for secrets</t>
        </is>
      </c>
      <c r="F837" s="16" t="inlineStr">
        <is>
          <t>-</t>
        </is>
      </c>
      <c r="G837" s="16" t="inlineStr">
        <is>
          <t>1. Change a secret var value.
2. Expand row.</t>
        </is>
      </c>
      <c r="H837" s="16" t="inlineStr">
        <is>
          <t>change-to-push edge</t>
        </is>
      </c>
      <c r="I837" s="16" t="inlineStr">
        <is>
          <t>Diff shows '&lt;secret changed&gt;' not plaintext.</t>
        </is>
      </c>
      <c r="J837" s="16" t="inlineStr"/>
      <c r="K837" s="16" t="inlineStr">
        <is>
          <t>Not Run</t>
        </is>
      </c>
      <c r="L837" s="16" t="inlineStr">
        <is>
          <t>High</t>
        </is>
      </c>
      <c r="M837" s="16" t="inlineStr"/>
      <c r="N837" s="16" t="inlineStr"/>
      <c r="O837" s="16" t="inlineStr"/>
    </row>
    <row r="838" ht="72" customHeight="1">
      <c r="A838" s="16" t="inlineStr">
        <is>
          <t>TC-CP-0114</t>
        </is>
      </c>
      <c r="B838" s="16" t="inlineStr">
        <is>
          <t>Changes-to-Push View</t>
        </is>
      </c>
      <c r="C838" s="16" t="inlineStr">
        <is>
          <t>Linked override deletion in modal</t>
        </is>
      </c>
      <c r="D838" s="16" t="inlineStr">
        <is>
          <t>Functional</t>
        </is>
      </c>
      <c r="E838" s="16" t="inlineStr">
        <is>
          <t>Override removal</t>
        </is>
      </c>
      <c r="F838" s="16" t="inlineStr">
        <is>
          <t>-</t>
        </is>
      </c>
      <c r="G838" s="16" t="inlineStr">
        <is>
          <t>1. Delete a linked var override.
2. Inspect modal.</t>
        </is>
      </c>
      <c r="H838" s="16" t="inlineStr">
        <is>
          <t>change-to-push edge</t>
        </is>
      </c>
      <c r="I838" s="16" t="inlineStr">
        <is>
          <t>Row badge 'removed' with label 'linked env var override (&lt;key&gt;)'.</t>
        </is>
      </c>
      <c r="J838" s="16" t="inlineStr"/>
      <c r="K838" s="16" t="inlineStr">
        <is>
          <t>Not Run</t>
        </is>
      </c>
      <c r="L838" s="16" t="inlineStr">
        <is>
          <t>Medium</t>
        </is>
      </c>
      <c r="M838" s="16" t="inlineStr"/>
      <c r="N838" s="16" t="inlineStr"/>
      <c r="O838" s="16" t="inlineStr"/>
    </row>
    <row r="839" ht="72" customHeight="1">
      <c r="A839" s="16" t="inlineStr">
        <is>
          <t>TC-GC-0001</t>
        </is>
      </c>
      <c r="B839" s="16" t="inlineStr">
        <is>
          <t>Git Conflict Matrix</t>
        </is>
      </c>
      <c r="C839" s="16" t="inlineStr">
        <is>
          <t>Request - Add vs Add same id</t>
        </is>
      </c>
      <c r="D839" s="16" t="inlineStr">
        <is>
          <t>Negative</t>
        </is>
      </c>
      <c r="E839" s="16" t="inlineStr">
        <is>
          <t>Conflict on Request: Add same entity on two devices</t>
        </is>
      </c>
      <c r="F839" s="16" t="inlineStr">
        <is>
          <t>Linked workspace; two devices/sessions.</t>
        </is>
      </c>
      <c r="G839" s="16" t="inlineStr">
        <is>
          <t>1. Device A creates entity X with id I.
2. Device B creates same id I (rare; typically only if id collision).
3. B pulls A's commit.</t>
        </is>
      </c>
      <c r="H839" s="16" t="inlineStr">
        <is>
          <t>bucket=Request; shape=Add vs Add same id</t>
        </is>
      </c>
      <c r="I839" s="16" t="inlineStr">
        <is>
          <t>Detected as conflict; user chooses theirs/mine/manual.</t>
        </is>
      </c>
      <c r="J839" s="16" t="inlineStr"/>
      <c r="K839" s="16" t="inlineStr">
        <is>
          <t>Not Run</t>
        </is>
      </c>
      <c r="L839" s="16" t="inlineStr">
        <is>
          <t>Medium</t>
        </is>
      </c>
      <c r="M839" s="16" t="inlineStr"/>
      <c r="N839" s="16" t="inlineStr"/>
      <c r="O839" s="16" t="inlineStr"/>
    </row>
    <row r="840" ht="72" customHeight="1">
      <c r="A840" s="16" t="inlineStr">
        <is>
          <t>TC-GC-0002</t>
        </is>
      </c>
      <c r="B840" s="16" t="inlineStr">
        <is>
          <t>Git Conflict Matrix</t>
        </is>
      </c>
      <c r="C840" s="16" t="inlineStr">
        <is>
          <t>Request - Edit vs Edit same field</t>
        </is>
      </c>
      <c r="D840" s="16" t="inlineStr">
        <is>
          <t>Negative</t>
        </is>
      </c>
      <c r="E840" s="16" t="inlineStr">
        <is>
          <t>Conflict on Request: Both edit same field differently</t>
        </is>
      </c>
      <c r="F840" s="16" t="inlineStr">
        <is>
          <t>Linked workspace; two devices/sessions.</t>
        </is>
      </c>
      <c r="G840" s="16" t="inlineStr">
        <is>
          <t>1. A edits field F to 'a'.
2. B edits same F to 'b'.
3. B pulls.</t>
        </is>
      </c>
      <c r="H840" s="16" t="inlineStr">
        <is>
          <t>bucket=Request; shape=Edit vs Edit same field</t>
        </is>
      </c>
      <c r="I840" s="16" t="inlineStr">
        <is>
          <t>Conflict modal lists field F with both values; user picks resolution.</t>
        </is>
      </c>
      <c r="J840" s="16" t="inlineStr"/>
      <c r="K840" s="16" t="inlineStr">
        <is>
          <t>Not Run</t>
        </is>
      </c>
      <c r="L840" s="16" t="inlineStr">
        <is>
          <t>High</t>
        </is>
      </c>
      <c r="M840" s="16" t="inlineStr"/>
      <c r="N840" s="16" t="inlineStr"/>
      <c r="O840" s="16" t="inlineStr"/>
    </row>
    <row r="841" ht="72" customHeight="1">
      <c r="A841" s="16" t="inlineStr">
        <is>
          <t>TC-GC-0003</t>
        </is>
      </c>
      <c r="B841" s="16" t="inlineStr">
        <is>
          <t>Git Conflict Matrix</t>
        </is>
      </c>
      <c r="C841" s="16" t="inlineStr">
        <is>
          <t>Request - Edit vs Edit different fields</t>
        </is>
      </c>
      <c r="D841" s="16" t="inlineStr">
        <is>
          <t>Functional</t>
        </is>
      </c>
      <c r="E841" s="16" t="inlineStr">
        <is>
          <t>Conflict on Request: Disjoint edits auto-merge</t>
        </is>
      </c>
      <c r="F841" s="16" t="inlineStr">
        <is>
          <t>Linked workspace; two devices/sessions.</t>
        </is>
      </c>
      <c r="G841" s="16" t="inlineStr">
        <is>
          <t>1. A edits field F1; B edits F2.
2. B pulls.</t>
        </is>
      </c>
      <c r="H841" s="16" t="inlineStr">
        <is>
          <t>bucket=Request; shape=Edit vs Edit different fields</t>
        </is>
      </c>
      <c r="I841" s="16" t="inlineStr">
        <is>
          <t>Auto-merged; no conflict modal; final state has both edits.</t>
        </is>
      </c>
      <c r="J841" s="16" t="inlineStr"/>
      <c r="K841" s="16" t="inlineStr">
        <is>
          <t>Not Run</t>
        </is>
      </c>
      <c r="L841" s="16" t="inlineStr">
        <is>
          <t>High</t>
        </is>
      </c>
      <c r="M841" s="16" t="inlineStr"/>
      <c r="N841" s="16" t="inlineStr"/>
      <c r="O841" s="16" t="inlineStr"/>
    </row>
    <row r="842" ht="72" customHeight="1">
      <c r="A842" s="16" t="inlineStr">
        <is>
          <t>TC-GC-0004</t>
        </is>
      </c>
      <c r="B842" s="16" t="inlineStr">
        <is>
          <t>Git Conflict Matrix</t>
        </is>
      </c>
      <c r="C842" s="16" t="inlineStr">
        <is>
          <t>Request - Edit vs Delete</t>
        </is>
      </c>
      <c r="D842" s="16" t="inlineStr">
        <is>
          <t>Negative</t>
        </is>
      </c>
      <c r="E842" s="16" t="inlineStr">
        <is>
          <t>Conflict on Request: One edits, other deletes</t>
        </is>
      </c>
      <c r="F842" s="16" t="inlineStr">
        <is>
          <t>Linked workspace; two devices/sessions.</t>
        </is>
      </c>
      <c r="G842" s="16" t="inlineStr">
        <is>
          <t>1. A edits entity X.
2. B deletes X.
3. B pulls.</t>
        </is>
      </c>
      <c r="H842" s="16" t="inlineStr">
        <is>
          <t>bucket=Request; shape=Edit vs Delete</t>
        </is>
      </c>
      <c r="I842" s="16" t="inlineStr">
        <is>
          <t>Conflict: keep edit (resurrect) vs accept delete; explicit choice.</t>
        </is>
      </c>
      <c r="J842" s="16" t="inlineStr"/>
      <c r="K842" s="16" t="inlineStr">
        <is>
          <t>Not Run</t>
        </is>
      </c>
      <c r="L842" s="16" t="inlineStr">
        <is>
          <t>High</t>
        </is>
      </c>
      <c r="M842" s="16" t="inlineStr"/>
      <c r="N842" s="16" t="inlineStr"/>
      <c r="O842" s="16" t="inlineStr"/>
    </row>
    <row r="843" ht="72" customHeight="1">
      <c r="A843" s="16" t="inlineStr">
        <is>
          <t>TC-GC-0005</t>
        </is>
      </c>
      <c r="B843" s="16" t="inlineStr">
        <is>
          <t>Git Conflict Matrix</t>
        </is>
      </c>
      <c r="C843" s="16" t="inlineStr">
        <is>
          <t>Request - Delete vs Edit</t>
        </is>
      </c>
      <c r="D843" s="16" t="inlineStr">
        <is>
          <t>Negative</t>
        </is>
      </c>
      <c r="E843" s="16" t="inlineStr">
        <is>
          <t>Conflict on Request: Mirror of above</t>
        </is>
      </c>
      <c r="F843" s="16" t="inlineStr">
        <is>
          <t>Linked workspace; two devices/sessions.</t>
        </is>
      </c>
      <c r="G843" s="16" t="inlineStr">
        <is>
          <t>1. A deletes X.
2. B edits X.
3. B pulls.</t>
        </is>
      </c>
      <c r="H843" s="16" t="inlineStr">
        <is>
          <t>bucket=Request; shape=Delete vs Edit</t>
        </is>
      </c>
      <c r="I843" s="16" t="inlineStr">
        <is>
          <t>Same: keep edit or accept delete.</t>
        </is>
      </c>
      <c r="J843" s="16" t="inlineStr"/>
      <c r="K843" s="16" t="inlineStr">
        <is>
          <t>Not Run</t>
        </is>
      </c>
      <c r="L843" s="16" t="inlineStr">
        <is>
          <t>High</t>
        </is>
      </c>
      <c r="M843" s="16" t="inlineStr"/>
      <c r="N843" s="16" t="inlineStr"/>
      <c r="O843" s="16" t="inlineStr"/>
    </row>
    <row r="844" ht="72" customHeight="1">
      <c r="A844" s="16" t="inlineStr">
        <is>
          <t>TC-GC-0006</t>
        </is>
      </c>
      <c r="B844" s="16" t="inlineStr">
        <is>
          <t>Git Conflict Matrix</t>
        </is>
      </c>
      <c r="C844" s="16" t="inlineStr">
        <is>
          <t>Request - Delete vs Delete</t>
        </is>
      </c>
      <c r="D844" s="16" t="inlineStr">
        <is>
          <t>Functional</t>
        </is>
      </c>
      <c r="E844" s="16" t="inlineStr">
        <is>
          <t>Conflict on Request: Both delete - no conflict</t>
        </is>
      </c>
      <c r="F844" s="16" t="inlineStr">
        <is>
          <t>Linked workspace; two devices/sessions.</t>
        </is>
      </c>
      <c r="G844" s="16" t="inlineStr">
        <is>
          <t>1. Both delete X.
2. B pulls.</t>
        </is>
      </c>
      <c r="H844" s="16" t="inlineStr">
        <is>
          <t>bucket=Request; shape=Delete vs Delete</t>
        </is>
      </c>
      <c r="I844" s="16" t="inlineStr">
        <is>
          <t>Auto-merged; X gone in both.</t>
        </is>
      </c>
      <c r="J844" s="16" t="inlineStr"/>
      <c r="K844" s="16" t="inlineStr">
        <is>
          <t>Not Run</t>
        </is>
      </c>
      <c r="L844" s="16" t="inlineStr">
        <is>
          <t>Medium</t>
        </is>
      </c>
      <c r="M844" s="16" t="inlineStr"/>
      <c r="N844" s="16" t="inlineStr"/>
      <c r="O844" s="16" t="inlineStr"/>
    </row>
    <row r="845" ht="72" customHeight="1">
      <c r="A845" s="16" t="inlineStr">
        <is>
          <t>TC-GC-0007</t>
        </is>
      </c>
      <c r="B845" s="16" t="inlineStr">
        <is>
          <t>Git Conflict Matrix</t>
        </is>
      </c>
      <c r="C845" s="16" t="inlineStr">
        <is>
          <t>Request - Reorder vs Reorder</t>
        </is>
      </c>
      <c r="D845" s="16" t="inlineStr">
        <is>
          <t>Negative</t>
        </is>
      </c>
      <c r="E845" s="16" t="inlineStr">
        <is>
          <t>Conflict on Request: Order conflicts</t>
        </is>
      </c>
      <c r="F845" s="16" t="inlineStr">
        <is>
          <t>Linked workspace; two devices/sessions.</t>
        </is>
      </c>
      <c r="G845" s="16" t="inlineStr">
        <is>
          <t>1. A reorders A,B,C to C,B,A.
2. B reorders to B,A,C.
3. B pulls.</t>
        </is>
      </c>
      <c r="H845" s="16" t="inlineStr">
        <is>
          <t>bucket=Request; shape=Reorder vs Reorder</t>
        </is>
      </c>
      <c r="I845" s="16" t="inlineStr">
        <is>
          <t>Conflict on order; user picks one ordering or merges manually.</t>
        </is>
      </c>
      <c r="J845" s="16" t="inlineStr"/>
      <c r="K845" s="16" t="inlineStr">
        <is>
          <t>Not Run</t>
        </is>
      </c>
      <c r="L845" s="16" t="inlineStr">
        <is>
          <t>Medium</t>
        </is>
      </c>
      <c r="M845" s="16" t="inlineStr"/>
      <c r="N845" s="16" t="inlineStr"/>
      <c r="O845" s="16" t="inlineStr"/>
    </row>
    <row r="846" ht="72" customHeight="1">
      <c r="A846" s="16" t="inlineStr">
        <is>
          <t>TC-GC-0008</t>
        </is>
      </c>
      <c r="B846" s="16" t="inlineStr">
        <is>
          <t>Git Conflict Matrix</t>
        </is>
      </c>
      <c r="C846" s="16" t="inlineStr">
        <is>
          <t>Request - Rename vs Rename</t>
        </is>
      </c>
      <c r="D846" s="16" t="inlineStr">
        <is>
          <t>Negative</t>
        </is>
      </c>
      <c r="E846" s="16" t="inlineStr">
        <is>
          <t>Conflict on Request: Both rename same entity</t>
        </is>
      </c>
      <c r="F846" s="16" t="inlineStr">
        <is>
          <t>Linked workspace; two devices/sessions.</t>
        </is>
      </c>
      <c r="G846" s="16" t="inlineStr">
        <is>
          <t>1. A renames X to Y; B renames X to Z.
2. B pulls.</t>
        </is>
      </c>
      <c r="H846" s="16" t="inlineStr">
        <is>
          <t>bucket=Request; shape=Rename vs Rename</t>
        </is>
      </c>
      <c r="I846" s="16" t="inlineStr">
        <is>
          <t>Conflict; user picks new name.</t>
        </is>
      </c>
      <c r="J846" s="16" t="inlineStr"/>
      <c r="K846" s="16" t="inlineStr">
        <is>
          <t>Not Run</t>
        </is>
      </c>
      <c r="L846" s="16" t="inlineStr">
        <is>
          <t>Medium</t>
        </is>
      </c>
      <c r="M846" s="16" t="inlineStr"/>
      <c r="N846" s="16" t="inlineStr"/>
      <c r="O846" s="16" t="inlineStr"/>
    </row>
    <row r="847" ht="72" customHeight="1">
      <c r="A847" s="16" t="inlineStr">
        <is>
          <t>TC-GC-0009</t>
        </is>
      </c>
      <c r="B847" s="16" t="inlineStr">
        <is>
          <t>Git Conflict Matrix</t>
        </is>
      </c>
      <c r="C847" s="16" t="inlineStr">
        <is>
          <t>Request - Add vs Reparent</t>
        </is>
      </c>
      <c r="D847" s="16" t="inlineStr">
        <is>
          <t>Edge Case</t>
        </is>
      </c>
      <c r="E847" s="16" t="inlineStr">
        <is>
          <t>Conflict on Request: Tree conflict</t>
        </is>
      </c>
      <c r="F847" s="16" t="inlineStr">
        <is>
          <t>Linked workspace; two devices/sessions.</t>
        </is>
      </c>
      <c r="G847" s="16" t="inlineStr">
        <is>
          <t>1. A adds new request under folder F.
2. B moves F under a different parent.
3. B pulls.</t>
        </is>
      </c>
      <c r="H847" s="16" t="inlineStr">
        <is>
          <t>bucket=Request; shape=Add vs Reparent</t>
        </is>
      </c>
      <c r="I847" s="16" t="inlineStr">
        <is>
          <t>Tree merge: new request follows F to its new parent.</t>
        </is>
      </c>
      <c r="J847" s="16" t="inlineStr"/>
      <c r="K847" s="16" t="inlineStr">
        <is>
          <t>Not Run</t>
        </is>
      </c>
      <c r="L847" s="16" t="inlineStr">
        <is>
          <t>Medium</t>
        </is>
      </c>
      <c r="M847" s="16" t="inlineStr"/>
      <c r="N847" s="16" t="inlineStr"/>
      <c r="O847" s="16" t="inlineStr"/>
    </row>
    <row r="848" ht="72" customHeight="1">
      <c r="A848" s="16" t="inlineStr">
        <is>
          <t>TC-GC-0010</t>
        </is>
      </c>
      <c r="B848" s="16" t="inlineStr">
        <is>
          <t>Git Conflict Matrix</t>
        </is>
      </c>
      <c r="C848" s="16" t="inlineStr">
        <is>
          <t>Request - Bulk edits</t>
        </is>
      </c>
      <c r="D848" s="16" t="inlineStr">
        <is>
          <t>Performance</t>
        </is>
      </c>
      <c r="E848" s="16" t="inlineStr">
        <is>
          <t>Conflict on Request: 10 changes each side</t>
        </is>
      </c>
      <c r="F848" s="16" t="inlineStr">
        <is>
          <t>Linked workspace; two devices/sessions.</t>
        </is>
      </c>
      <c r="G848" s="16" t="inlineStr">
        <is>
          <t>1. A makes 10 edits; B makes 10 disjoint edits.
2. B pulls.</t>
        </is>
      </c>
      <c r="H848" s="16" t="inlineStr">
        <is>
          <t>bucket=Request; shape=Bulk edits</t>
        </is>
      </c>
      <c r="I848" s="16" t="inlineStr">
        <is>
          <t>All 20 merged; no false positives in conflict modal.</t>
        </is>
      </c>
      <c r="J848" s="16" t="inlineStr"/>
      <c r="K848" s="16" t="inlineStr">
        <is>
          <t>Not Run</t>
        </is>
      </c>
      <c r="L848" s="16" t="inlineStr">
        <is>
          <t>Medium</t>
        </is>
      </c>
      <c r="M848" s="16" t="inlineStr"/>
      <c r="N848" s="16" t="inlineStr"/>
      <c r="O848" s="16" t="inlineStr"/>
    </row>
    <row r="849" ht="72" customHeight="1">
      <c r="A849" s="16" t="inlineStr">
        <is>
          <t>TC-GC-0011</t>
        </is>
      </c>
      <c r="B849" s="16" t="inlineStr">
        <is>
          <t>Git Conflict Matrix</t>
        </is>
      </c>
      <c r="C849" s="16" t="inlineStr">
        <is>
          <t>Folder - Add vs Add same id</t>
        </is>
      </c>
      <c r="D849" s="16" t="inlineStr">
        <is>
          <t>Negative</t>
        </is>
      </c>
      <c r="E849" s="16" t="inlineStr">
        <is>
          <t>Conflict on Folder: Add same entity on two devices</t>
        </is>
      </c>
      <c r="F849" s="16" t="inlineStr">
        <is>
          <t>Linked workspace; two devices/sessions.</t>
        </is>
      </c>
      <c r="G849" s="16" t="inlineStr">
        <is>
          <t>1. Device A creates entity X with id I.
2. Device B creates same id I (rare; typically only if id collision).
3. B pulls A's commit.</t>
        </is>
      </c>
      <c r="H849" s="16" t="inlineStr">
        <is>
          <t>bucket=Folder; shape=Add vs Add same id</t>
        </is>
      </c>
      <c r="I849" s="16" t="inlineStr">
        <is>
          <t>Detected as conflict; user chooses theirs/mine/manual.</t>
        </is>
      </c>
      <c r="J849" s="16" t="inlineStr"/>
      <c r="K849" s="16" t="inlineStr">
        <is>
          <t>Not Run</t>
        </is>
      </c>
      <c r="L849" s="16" t="inlineStr">
        <is>
          <t>Medium</t>
        </is>
      </c>
      <c r="M849" s="16" t="inlineStr"/>
      <c r="N849" s="16" t="inlineStr"/>
      <c r="O849" s="16" t="inlineStr"/>
    </row>
    <row r="850" ht="72" customHeight="1">
      <c r="A850" s="16" t="inlineStr">
        <is>
          <t>TC-GC-0012</t>
        </is>
      </c>
      <c r="B850" s="16" t="inlineStr">
        <is>
          <t>Git Conflict Matrix</t>
        </is>
      </c>
      <c r="C850" s="16" t="inlineStr">
        <is>
          <t>Folder - Edit vs Edit same field</t>
        </is>
      </c>
      <c r="D850" s="16" t="inlineStr">
        <is>
          <t>Negative</t>
        </is>
      </c>
      <c r="E850" s="16" t="inlineStr">
        <is>
          <t>Conflict on Folder: Both edit same field differently</t>
        </is>
      </c>
      <c r="F850" s="16" t="inlineStr">
        <is>
          <t>Linked workspace; two devices/sessions.</t>
        </is>
      </c>
      <c r="G850" s="16" t="inlineStr">
        <is>
          <t>1. A edits field F to 'a'.
2. B edits same F to 'b'.
3. B pulls.</t>
        </is>
      </c>
      <c r="H850" s="16" t="inlineStr">
        <is>
          <t>bucket=Folder; shape=Edit vs Edit same field</t>
        </is>
      </c>
      <c r="I850" s="16" t="inlineStr">
        <is>
          <t>Conflict modal lists field F with both values; user picks resolution.</t>
        </is>
      </c>
      <c r="J850" s="16" t="inlineStr"/>
      <c r="K850" s="16" t="inlineStr">
        <is>
          <t>Not Run</t>
        </is>
      </c>
      <c r="L850" s="16" t="inlineStr">
        <is>
          <t>High</t>
        </is>
      </c>
      <c r="M850" s="16" t="inlineStr"/>
      <c r="N850" s="16" t="inlineStr"/>
      <c r="O850" s="16" t="inlineStr"/>
    </row>
    <row r="851" ht="72" customHeight="1">
      <c r="A851" s="16" t="inlineStr">
        <is>
          <t>TC-GC-0013</t>
        </is>
      </c>
      <c r="B851" s="16" t="inlineStr">
        <is>
          <t>Git Conflict Matrix</t>
        </is>
      </c>
      <c r="C851" s="16" t="inlineStr">
        <is>
          <t>Folder - Edit vs Edit different fields</t>
        </is>
      </c>
      <c r="D851" s="16" t="inlineStr">
        <is>
          <t>Functional</t>
        </is>
      </c>
      <c r="E851" s="16" t="inlineStr">
        <is>
          <t>Conflict on Folder: Disjoint edits auto-merge</t>
        </is>
      </c>
      <c r="F851" s="16" t="inlineStr">
        <is>
          <t>Linked workspace; two devices/sessions.</t>
        </is>
      </c>
      <c r="G851" s="16" t="inlineStr">
        <is>
          <t>1. A edits field F1; B edits F2.
2. B pulls.</t>
        </is>
      </c>
      <c r="H851" s="16" t="inlineStr">
        <is>
          <t>bucket=Folder; shape=Edit vs Edit different fields</t>
        </is>
      </c>
      <c r="I851" s="16" t="inlineStr">
        <is>
          <t>Auto-merged; no conflict modal; final state has both edits.</t>
        </is>
      </c>
      <c r="J851" s="16" t="inlineStr"/>
      <c r="K851" s="16" t="inlineStr">
        <is>
          <t>Not Run</t>
        </is>
      </c>
      <c r="L851" s="16" t="inlineStr">
        <is>
          <t>High</t>
        </is>
      </c>
      <c r="M851" s="16" t="inlineStr"/>
      <c r="N851" s="16" t="inlineStr"/>
      <c r="O851" s="16" t="inlineStr"/>
    </row>
    <row r="852" ht="72" customHeight="1">
      <c r="A852" s="16" t="inlineStr">
        <is>
          <t>TC-GC-0014</t>
        </is>
      </c>
      <c r="B852" s="16" t="inlineStr">
        <is>
          <t>Git Conflict Matrix</t>
        </is>
      </c>
      <c r="C852" s="16" t="inlineStr">
        <is>
          <t>Folder - Edit vs Delete</t>
        </is>
      </c>
      <c r="D852" s="16" t="inlineStr">
        <is>
          <t>Negative</t>
        </is>
      </c>
      <c r="E852" s="16" t="inlineStr">
        <is>
          <t>Conflict on Folder: One edits, other deletes</t>
        </is>
      </c>
      <c r="F852" s="16" t="inlineStr">
        <is>
          <t>Linked workspace; two devices/sessions.</t>
        </is>
      </c>
      <c r="G852" s="16" t="inlineStr">
        <is>
          <t>1. A edits entity X.
2. B deletes X.
3. B pulls.</t>
        </is>
      </c>
      <c r="H852" s="16" t="inlineStr">
        <is>
          <t>bucket=Folder; shape=Edit vs Delete</t>
        </is>
      </c>
      <c r="I852" s="16" t="inlineStr">
        <is>
          <t>Conflict: keep edit (resurrect) vs accept delete; explicit choice.</t>
        </is>
      </c>
      <c r="J852" s="16" t="inlineStr"/>
      <c r="K852" s="16" t="inlineStr">
        <is>
          <t>Not Run</t>
        </is>
      </c>
      <c r="L852" s="16" t="inlineStr">
        <is>
          <t>High</t>
        </is>
      </c>
      <c r="M852" s="16" t="inlineStr"/>
      <c r="N852" s="16" t="inlineStr"/>
      <c r="O852" s="16" t="inlineStr"/>
    </row>
    <row r="853" ht="72" customHeight="1">
      <c r="A853" s="16" t="inlineStr">
        <is>
          <t>TC-GC-0015</t>
        </is>
      </c>
      <c r="B853" s="16" t="inlineStr">
        <is>
          <t>Git Conflict Matrix</t>
        </is>
      </c>
      <c r="C853" s="16" t="inlineStr">
        <is>
          <t>Folder - Delete vs Edit</t>
        </is>
      </c>
      <c r="D853" s="16" t="inlineStr">
        <is>
          <t>Negative</t>
        </is>
      </c>
      <c r="E853" s="16" t="inlineStr">
        <is>
          <t>Conflict on Folder: Mirror of above</t>
        </is>
      </c>
      <c r="F853" s="16" t="inlineStr">
        <is>
          <t>Linked workspace; two devices/sessions.</t>
        </is>
      </c>
      <c r="G853" s="16" t="inlineStr">
        <is>
          <t>1. A deletes X.
2. B edits X.
3. B pulls.</t>
        </is>
      </c>
      <c r="H853" s="16" t="inlineStr">
        <is>
          <t>bucket=Folder; shape=Delete vs Edit</t>
        </is>
      </c>
      <c r="I853" s="16" t="inlineStr">
        <is>
          <t>Same: keep edit or accept delete.</t>
        </is>
      </c>
      <c r="J853" s="16" t="inlineStr"/>
      <c r="K853" s="16" t="inlineStr">
        <is>
          <t>Not Run</t>
        </is>
      </c>
      <c r="L853" s="16" t="inlineStr">
        <is>
          <t>High</t>
        </is>
      </c>
      <c r="M853" s="16" t="inlineStr"/>
      <c r="N853" s="16" t="inlineStr"/>
      <c r="O853" s="16" t="inlineStr"/>
    </row>
    <row r="854" ht="72" customHeight="1">
      <c r="A854" s="16" t="inlineStr">
        <is>
          <t>TC-GC-0016</t>
        </is>
      </c>
      <c r="B854" s="16" t="inlineStr">
        <is>
          <t>Git Conflict Matrix</t>
        </is>
      </c>
      <c r="C854" s="16" t="inlineStr">
        <is>
          <t>Folder - Delete vs Delete</t>
        </is>
      </c>
      <c r="D854" s="16" t="inlineStr">
        <is>
          <t>Functional</t>
        </is>
      </c>
      <c r="E854" s="16" t="inlineStr">
        <is>
          <t>Conflict on Folder: Both delete - no conflict</t>
        </is>
      </c>
      <c r="F854" s="16" t="inlineStr">
        <is>
          <t>Linked workspace; two devices/sessions.</t>
        </is>
      </c>
      <c r="G854" s="16" t="inlineStr">
        <is>
          <t>1. Both delete X.
2. B pulls.</t>
        </is>
      </c>
      <c r="H854" s="16" t="inlineStr">
        <is>
          <t>bucket=Folder; shape=Delete vs Delete</t>
        </is>
      </c>
      <c r="I854" s="16" t="inlineStr">
        <is>
          <t>Auto-merged; X gone in both.</t>
        </is>
      </c>
      <c r="J854" s="16" t="inlineStr"/>
      <c r="K854" s="16" t="inlineStr">
        <is>
          <t>Not Run</t>
        </is>
      </c>
      <c r="L854" s="16" t="inlineStr">
        <is>
          <t>Medium</t>
        </is>
      </c>
      <c r="M854" s="16" t="inlineStr"/>
      <c r="N854" s="16" t="inlineStr"/>
      <c r="O854" s="16" t="inlineStr"/>
    </row>
    <row r="855" ht="72" customHeight="1">
      <c r="A855" s="16" t="inlineStr">
        <is>
          <t>TC-GC-0017</t>
        </is>
      </c>
      <c r="B855" s="16" t="inlineStr">
        <is>
          <t>Git Conflict Matrix</t>
        </is>
      </c>
      <c r="C855" s="16" t="inlineStr">
        <is>
          <t>Folder - Reorder vs Reorder</t>
        </is>
      </c>
      <c r="D855" s="16" t="inlineStr">
        <is>
          <t>Negative</t>
        </is>
      </c>
      <c r="E855" s="16" t="inlineStr">
        <is>
          <t>Conflict on Folder: Order conflicts</t>
        </is>
      </c>
      <c r="F855" s="16" t="inlineStr">
        <is>
          <t>Linked workspace; two devices/sessions.</t>
        </is>
      </c>
      <c r="G855" s="16" t="inlineStr">
        <is>
          <t>1. A reorders A,B,C to C,B,A.
2. B reorders to B,A,C.
3. B pulls.</t>
        </is>
      </c>
      <c r="H855" s="16" t="inlineStr">
        <is>
          <t>bucket=Folder; shape=Reorder vs Reorder</t>
        </is>
      </c>
      <c r="I855" s="16" t="inlineStr">
        <is>
          <t>Conflict on order; user picks one ordering or merges manually.</t>
        </is>
      </c>
      <c r="J855" s="16" t="inlineStr"/>
      <c r="K855" s="16" t="inlineStr">
        <is>
          <t>Not Run</t>
        </is>
      </c>
      <c r="L855" s="16" t="inlineStr">
        <is>
          <t>Medium</t>
        </is>
      </c>
      <c r="M855" s="16" t="inlineStr"/>
      <c r="N855" s="16" t="inlineStr"/>
      <c r="O855" s="16" t="inlineStr"/>
    </row>
    <row r="856" ht="72" customHeight="1">
      <c r="A856" s="16" t="inlineStr">
        <is>
          <t>TC-GC-0018</t>
        </is>
      </c>
      <c r="B856" s="16" t="inlineStr">
        <is>
          <t>Git Conflict Matrix</t>
        </is>
      </c>
      <c r="C856" s="16" t="inlineStr">
        <is>
          <t>Folder - Rename vs Rename</t>
        </is>
      </c>
      <c r="D856" s="16" t="inlineStr">
        <is>
          <t>Negative</t>
        </is>
      </c>
      <c r="E856" s="16" t="inlineStr">
        <is>
          <t>Conflict on Folder: Both rename same entity</t>
        </is>
      </c>
      <c r="F856" s="16" t="inlineStr">
        <is>
          <t>Linked workspace; two devices/sessions.</t>
        </is>
      </c>
      <c r="G856" s="16" t="inlineStr">
        <is>
          <t>1. A renames X to Y; B renames X to Z.
2. B pulls.</t>
        </is>
      </c>
      <c r="H856" s="16" t="inlineStr">
        <is>
          <t>bucket=Folder; shape=Rename vs Rename</t>
        </is>
      </c>
      <c r="I856" s="16" t="inlineStr">
        <is>
          <t>Conflict; user picks new name.</t>
        </is>
      </c>
      <c r="J856" s="16" t="inlineStr"/>
      <c r="K856" s="16" t="inlineStr">
        <is>
          <t>Not Run</t>
        </is>
      </c>
      <c r="L856" s="16" t="inlineStr">
        <is>
          <t>Medium</t>
        </is>
      </c>
      <c r="M856" s="16" t="inlineStr"/>
      <c r="N856" s="16" t="inlineStr"/>
      <c r="O856" s="16" t="inlineStr"/>
    </row>
    <row r="857" ht="72" customHeight="1">
      <c r="A857" s="16" t="inlineStr">
        <is>
          <t>TC-GC-0019</t>
        </is>
      </c>
      <c r="B857" s="16" t="inlineStr">
        <is>
          <t>Git Conflict Matrix</t>
        </is>
      </c>
      <c r="C857" s="16" t="inlineStr">
        <is>
          <t>Folder - Add vs Reparent</t>
        </is>
      </c>
      <c r="D857" s="16" t="inlineStr">
        <is>
          <t>Edge Case</t>
        </is>
      </c>
      <c r="E857" s="16" t="inlineStr">
        <is>
          <t>Conflict on Folder: Tree conflict</t>
        </is>
      </c>
      <c r="F857" s="16" t="inlineStr">
        <is>
          <t>Linked workspace; two devices/sessions.</t>
        </is>
      </c>
      <c r="G857" s="16" t="inlineStr">
        <is>
          <t>1. A adds new request under folder F.
2. B moves F under a different parent.
3. B pulls.</t>
        </is>
      </c>
      <c r="H857" s="16" t="inlineStr">
        <is>
          <t>bucket=Folder; shape=Add vs Reparent</t>
        </is>
      </c>
      <c r="I857" s="16" t="inlineStr">
        <is>
          <t>Tree merge: new request follows F to its new parent.</t>
        </is>
      </c>
      <c r="J857" s="16" t="inlineStr"/>
      <c r="K857" s="16" t="inlineStr">
        <is>
          <t>Not Run</t>
        </is>
      </c>
      <c r="L857" s="16" t="inlineStr">
        <is>
          <t>Medium</t>
        </is>
      </c>
      <c r="M857" s="16" t="inlineStr"/>
      <c r="N857" s="16" t="inlineStr"/>
      <c r="O857" s="16" t="inlineStr"/>
    </row>
    <row r="858" ht="72" customHeight="1">
      <c r="A858" s="16" t="inlineStr">
        <is>
          <t>TC-GC-0020</t>
        </is>
      </c>
      <c r="B858" s="16" t="inlineStr">
        <is>
          <t>Git Conflict Matrix</t>
        </is>
      </c>
      <c r="C858" s="16" t="inlineStr">
        <is>
          <t>Folder - Bulk edits</t>
        </is>
      </c>
      <c r="D858" s="16" t="inlineStr">
        <is>
          <t>Performance</t>
        </is>
      </c>
      <c r="E858" s="16" t="inlineStr">
        <is>
          <t>Conflict on Folder: 10 changes each side</t>
        </is>
      </c>
      <c r="F858" s="16" t="inlineStr">
        <is>
          <t>Linked workspace; two devices/sessions.</t>
        </is>
      </c>
      <c r="G858" s="16" t="inlineStr">
        <is>
          <t>1. A makes 10 edits; B makes 10 disjoint edits.
2. B pulls.</t>
        </is>
      </c>
      <c r="H858" s="16" t="inlineStr">
        <is>
          <t>bucket=Folder; shape=Bulk edits</t>
        </is>
      </c>
      <c r="I858" s="16" t="inlineStr">
        <is>
          <t>All 20 merged; no false positives in conflict modal.</t>
        </is>
      </c>
      <c r="J858" s="16" t="inlineStr"/>
      <c r="K858" s="16" t="inlineStr">
        <is>
          <t>Not Run</t>
        </is>
      </c>
      <c r="L858" s="16" t="inlineStr">
        <is>
          <t>Medium</t>
        </is>
      </c>
      <c r="M858" s="16" t="inlineStr"/>
      <c r="N858" s="16" t="inlineStr"/>
      <c r="O858" s="16" t="inlineStr"/>
    </row>
    <row r="859" ht="72" customHeight="1">
      <c r="A859" s="16" t="inlineStr">
        <is>
          <t>TC-GC-0021</t>
        </is>
      </c>
      <c r="B859" s="16" t="inlineStr">
        <is>
          <t>Git Conflict Matrix</t>
        </is>
      </c>
      <c r="C859" s="16" t="inlineStr">
        <is>
          <t>Folder tree - Add vs Add same id</t>
        </is>
      </c>
      <c r="D859" s="16" t="inlineStr">
        <is>
          <t>Negative</t>
        </is>
      </c>
      <c r="E859" s="16" t="inlineStr">
        <is>
          <t>Conflict on Folder tree: Add same entity on two devices</t>
        </is>
      </c>
      <c r="F859" s="16" t="inlineStr">
        <is>
          <t>Linked workspace; two devices/sessions.</t>
        </is>
      </c>
      <c r="G859" s="16" t="inlineStr">
        <is>
          <t>1. Device A creates entity X with id I.
2. Device B creates same id I (rare; typically only if id collision).
3. B pulls A's commit.</t>
        </is>
      </c>
      <c r="H859" s="16" t="inlineStr">
        <is>
          <t>bucket=Folder tree; shape=Add vs Add same id</t>
        </is>
      </c>
      <c r="I859" s="16" t="inlineStr">
        <is>
          <t>Detected as conflict; user chooses theirs/mine/manual.</t>
        </is>
      </c>
      <c r="J859" s="16" t="inlineStr"/>
      <c r="K859" s="16" t="inlineStr">
        <is>
          <t>Not Run</t>
        </is>
      </c>
      <c r="L859" s="16" t="inlineStr">
        <is>
          <t>Medium</t>
        </is>
      </c>
      <c r="M859" s="16" t="inlineStr"/>
      <c r="N859" s="16" t="inlineStr"/>
      <c r="O859" s="16" t="inlineStr"/>
    </row>
    <row r="860" ht="72" customHeight="1">
      <c r="A860" s="16" t="inlineStr">
        <is>
          <t>TC-GC-0022</t>
        </is>
      </c>
      <c r="B860" s="16" t="inlineStr">
        <is>
          <t>Git Conflict Matrix</t>
        </is>
      </c>
      <c r="C860" s="16" t="inlineStr">
        <is>
          <t>Folder tree - Edit vs Edit same field</t>
        </is>
      </c>
      <c r="D860" s="16" t="inlineStr">
        <is>
          <t>Negative</t>
        </is>
      </c>
      <c r="E860" s="16" t="inlineStr">
        <is>
          <t>Conflict on Folder tree: Both edit same field differently</t>
        </is>
      </c>
      <c r="F860" s="16" t="inlineStr">
        <is>
          <t>Linked workspace; two devices/sessions.</t>
        </is>
      </c>
      <c r="G860" s="16" t="inlineStr">
        <is>
          <t>1. A edits field F to 'a'.
2. B edits same F to 'b'.
3. B pulls.</t>
        </is>
      </c>
      <c r="H860" s="16" t="inlineStr">
        <is>
          <t>bucket=Folder tree; shape=Edit vs Edit same field</t>
        </is>
      </c>
      <c r="I860" s="16" t="inlineStr">
        <is>
          <t>Conflict modal lists field F with both values; user picks resolution.</t>
        </is>
      </c>
      <c r="J860" s="16" t="inlineStr"/>
      <c r="K860" s="16" t="inlineStr">
        <is>
          <t>Not Run</t>
        </is>
      </c>
      <c r="L860" s="16" t="inlineStr">
        <is>
          <t>High</t>
        </is>
      </c>
      <c r="M860" s="16" t="inlineStr"/>
      <c r="N860" s="16" t="inlineStr"/>
      <c r="O860" s="16" t="inlineStr"/>
    </row>
    <row r="861" ht="72" customHeight="1">
      <c r="A861" s="16" t="inlineStr">
        <is>
          <t>TC-GC-0023</t>
        </is>
      </c>
      <c r="B861" s="16" t="inlineStr">
        <is>
          <t>Git Conflict Matrix</t>
        </is>
      </c>
      <c r="C861" s="16" t="inlineStr">
        <is>
          <t>Folder tree - Edit vs Edit different fields</t>
        </is>
      </c>
      <c r="D861" s="16" t="inlineStr">
        <is>
          <t>Functional</t>
        </is>
      </c>
      <c r="E861" s="16" t="inlineStr">
        <is>
          <t>Conflict on Folder tree: Disjoint edits auto-merge</t>
        </is>
      </c>
      <c r="F861" s="16" t="inlineStr">
        <is>
          <t>Linked workspace; two devices/sessions.</t>
        </is>
      </c>
      <c r="G861" s="16" t="inlineStr">
        <is>
          <t>1. A edits field F1; B edits F2.
2. B pulls.</t>
        </is>
      </c>
      <c r="H861" s="16" t="inlineStr">
        <is>
          <t>bucket=Folder tree; shape=Edit vs Edit different fields</t>
        </is>
      </c>
      <c r="I861" s="16" t="inlineStr">
        <is>
          <t>Auto-merged; no conflict modal; final state has both edits.</t>
        </is>
      </c>
      <c r="J861" s="16" t="inlineStr"/>
      <c r="K861" s="16" t="inlineStr">
        <is>
          <t>Not Run</t>
        </is>
      </c>
      <c r="L861" s="16" t="inlineStr">
        <is>
          <t>High</t>
        </is>
      </c>
      <c r="M861" s="16" t="inlineStr"/>
      <c r="N861" s="16" t="inlineStr"/>
      <c r="O861" s="16" t="inlineStr"/>
    </row>
    <row r="862" ht="72" customHeight="1">
      <c r="A862" s="16" t="inlineStr">
        <is>
          <t>TC-GC-0024</t>
        </is>
      </c>
      <c r="B862" s="16" t="inlineStr">
        <is>
          <t>Git Conflict Matrix</t>
        </is>
      </c>
      <c r="C862" s="16" t="inlineStr">
        <is>
          <t>Folder tree - Edit vs Delete</t>
        </is>
      </c>
      <c r="D862" s="16" t="inlineStr">
        <is>
          <t>Negative</t>
        </is>
      </c>
      <c r="E862" s="16" t="inlineStr">
        <is>
          <t>Conflict on Folder tree: One edits, other deletes</t>
        </is>
      </c>
      <c r="F862" s="16" t="inlineStr">
        <is>
          <t>Linked workspace; two devices/sessions.</t>
        </is>
      </c>
      <c r="G862" s="16" t="inlineStr">
        <is>
          <t>1. A edits entity X.
2. B deletes X.
3. B pulls.</t>
        </is>
      </c>
      <c r="H862" s="16" t="inlineStr">
        <is>
          <t>bucket=Folder tree; shape=Edit vs Delete</t>
        </is>
      </c>
      <c r="I862" s="16" t="inlineStr">
        <is>
          <t>Conflict: keep edit (resurrect) vs accept delete; explicit choice.</t>
        </is>
      </c>
      <c r="J862" s="16" t="inlineStr"/>
      <c r="K862" s="16" t="inlineStr">
        <is>
          <t>Not Run</t>
        </is>
      </c>
      <c r="L862" s="16" t="inlineStr">
        <is>
          <t>High</t>
        </is>
      </c>
      <c r="M862" s="16" t="inlineStr"/>
      <c r="N862" s="16" t="inlineStr"/>
      <c r="O862" s="16" t="inlineStr"/>
    </row>
    <row r="863" ht="72" customHeight="1">
      <c r="A863" s="16" t="inlineStr">
        <is>
          <t>TC-GC-0025</t>
        </is>
      </c>
      <c r="B863" s="16" t="inlineStr">
        <is>
          <t>Git Conflict Matrix</t>
        </is>
      </c>
      <c r="C863" s="16" t="inlineStr">
        <is>
          <t>Folder tree - Delete vs Edit</t>
        </is>
      </c>
      <c r="D863" s="16" t="inlineStr">
        <is>
          <t>Negative</t>
        </is>
      </c>
      <c r="E863" s="16" t="inlineStr">
        <is>
          <t>Conflict on Folder tree: Mirror of above</t>
        </is>
      </c>
      <c r="F863" s="16" t="inlineStr">
        <is>
          <t>Linked workspace; two devices/sessions.</t>
        </is>
      </c>
      <c r="G863" s="16" t="inlineStr">
        <is>
          <t>1. A deletes X.
2. B edits X.
3. B pulls.</t>
        </is>
      </c>
      <c r="H863" s="16" t="inlineStr">
        <is>
          <t>bucket=Folder tree; shape=Delete vs Edit</t>
        </is>
      </c>
      <c r="I863" s="16" t="inlineStr">
        <is>
          <t>Same: keep edit or accept delete.</t>
        </is>
      </c>
      <c r="J863" s="16" t="inlineStr"/>
      <c r="K863" s="16" t="inlineStr">
        <is>
          <t>Not Run</t>
        </is>
      </c>
      <c r="L863" s="16" t="inlineStr">
        <is>
          <t>High</t>
        </is>
      </c>
      <c r="M863" s="16" t="inlineStr"/>
      <c r="N863" s="16" t="inlineStr"/>
      <c r="O863" s="16" t="inlineStr"/>
    </row>
    <row r="864" ht="72" customHeight="1">
      <c r="A864" s="16" t="inlineStr">
        <is>
          <t>TC-GC-0026</t>
        </is>
      </c>
      <c r="B864" s="16" t="inlineStr">
        <is>
          <t>Git Conflict Matrix</t>
        </is>
      </c>
      <c r="C864" s="16" t="inlineStr">
        <is>
          <t>Folder tree - Delete vs Delete</t>
        </is>
      </c>
      <c r="D864" s="16" t="inlineStr">
        <is>
          <t>Functional</t>
        </is>
      </c>
      <c r="E864" s="16" t="inlineStr">
        <is>
          <t>Conflict on Folder tree: Both delete - no conflict</t>
        </is>
      </c>
      <c r="F864" s="16" t="inlineStr">
        <is>
          <t>Linked workspace; two devices/sessions.</t>
        </is>
      </c>
      <c r="G864" s="16" t="inlineStr">
        <is>
          <t>1. Both delete X.
2. B pulls.</t>
        </is>
      </c>
      <c r="H864" s="16" t="inlineStr">
        <is>
          <t>bucket=Folder tree; shape=Delete vs Delete</t>
        </is>
      </c>
      <c r="I864" s="16" t="inlineStr">
        <is>
          <t>Auto-merged; X gone in both.</t>
        </is>
      </c>
      <c r="J864" s="16" t="inlineStr"/>
      <c r="K864" s="16" t="inlineStr">
        <is>
          <t>Not Run</t>
        </is>
      </c>
      <c r="L864" s="16" t="inlineStr">
        <is>
          <t>Medium</t>
        </is>
      </c>
      <c r="M864" s="16" t="inlineStr"/>
      <c r="N864" s="16" t="inlineStr"/>
      <c r="O864" s="16" t="inlineStr"/>
    </row>
    <row r="865" ht="72" customHeight="1">
      <c r="A865" s="16" t="inlineStr">
        <is>
          <t>TC-GC-0027</t>
        </is>
      </c>
      <c r="B865" s="16" t="inlineStr">
        <is>
          <t>Git Conflict Matrix</t>
        </is>
      </c>
      <c r="C865" s="16" t="inlineStr">
        <is>
          <t>Folder tree - Reorder vs Reorder</t>
        </is>
      </c>
      <c r="D865" s="16" t="inlineStr">
        <is>
          <t>Negative</t>
        </is>
      </c>
      <c r="E865" s="16" t="inlineStr">
        <is>
          <t>Conflict on Folder tree: Order conflicts</t>
        </is>
      </c>
      <c r="F865" s="16" t="inlineStr">
        <is>
          <t>Linked workspace; two devices/sessions.</t>
        </is>
      </c>
      <c r="G865" s="16" t="inlineStr">
        <is>
          <t>1. A reorders A,B,C to C,B,A.
2. B reorders to B,A,C.
3. B pulls.</t>
        </is>
      </c>
      <c r="H865" s="16" t="inlineStr">
        <is>
          <t>bucket=Folder tree; shape=Reorder vs Reorder</t>
        </is>
      </c>
      <c r="I865" s="16" t="inlineStr">
        <is>
          <t>Conflict on order; user picks one ordering or merges manually.</t>
        </is>
      </c>
      <c r="J865" s="16" t="inlineStr"/>
      <c r="K865" s="16" t="inlineStr">
        <is>
          <t>Not Run</t>
        </is>
      </c>
      <c r="L865" s="16" t="inlineStr">
        <is>
          <t>Medium</t>
        </is>
      </c>
      <c r="M865" s="16" t="inlineStr"/>
      <c r="N865" s="16" t="inlineStr"/>
      <c r="O865" s="16" t="inlineStr"/>
    </row>
    <row r="866" ht="72" customHeight="1">
      <c r="A866" s="16" t="inlineStr">
        <is>
          <t>TC-GC-0028</t>
        </is>
      </c>
      <c r="B866" s="16" t="inlineStr">
        <is>
          <t>Git Conflict Matrix</t>
        </is>
      </c>
      <c r="C866" s="16" t="inlineStr">
        <is>
          <t>Folder tree - Rename vs Rename</t>
        </is>
      </c>
      <c r="D866" s="16" t="inlineStr">
        <is>
          <t>Negative</t>
        </is>
      </c>
      <c r="E866" s="16" t="inlineStr">
        <is>
          <t>Conflict on Folder tree: Both rename same entity</t>
        </is>
      </c>
      <c r="F866" s="16" t="inlineStr">
        <is>
          <t>Linked workspace; two devices/sessions.</t>
        </is>
      </c>
      <c r="G866" s="16" t="inlineStr">
        <is>
          <t>1. A renames X to Y; B renames X to Z.
2. B pulls.</t>
        </is>
      </c>
      <c r="H866" s="16" t="inlineStr">
        <is>
          <t>bucket=Folder tree; shape=Rename vs Rename</t>
        </is>
      </c>
      <c r="I866" s="16" t="inlineStr">
        <is>
          <t>Conflict; user picks new name.</t>
        </is>
      </c>
      <c r="J866" s="16" t="inlineStr"/>
      <c r="K866" s="16" t="inlineStr">
        <is>
          <t>Not Run</t>
        </is>
      </c>
      <c r="L866" s="16" t="inlineStr">
        <is>
          <t>Medium</t>
        </is>
      </c>
      <c r="M866" s="16" t="inlineStr"/>
      <c r="N866" s="16" t="inlineStr"/>
      <c r="O866" s="16" t="inlineStr"/>
    </row>
    <row r="867" ht="72" customHeight="1">
      <c r="A867" s="16" t="inlineStr">
        <is>
          <t>TC-GC-0029</t>
        </is>
      </c>
      <c r="B867" s="16" t="inlineStr">
        <is>
          <t>Git Conflict Matrix</t>
        </is>
      </c>
      <c r="C867" s="16" t="inlineStr">
        <is>
          <t>Folder tree - Add vs Reparent</t>
        </is>
      </c>
      <c r="D867" s="16" t="inlineStr">
        <is>
          <t>Edge Case</t>
        </is>
      </c>
      <c r="E867" s="16" t="inlineStr">
        <is>
          <t>Conflict on Folder tree: Tree conflict</t>
        </is>
      </c>
      <c r="F867" s="16" t="inlineStr">
        <is>
          <t>Linked workspace; two devices/sessions.</t>
        </is>
      </c>
      <c r="G867" s="16" t="inlineStr">
        <is>
          <t>1. A adds new request under folder F.
2. B moves F under a different parent.
3. B pulls.</t>
        </is>
      </c>
      <c r="H867" s="16" t="inlineStr">
        <is>
          <t>bucket=Folder tree; shape=Add vs Reparent</t>
        </is>
      </c>
      <c r="I867" s="16" t="inlineStr">
        <is>
          <t>Tree merge: new request follows F to its new parent.</t>
        </is>
      </c>
      <c r="J867" s="16" t="inlineStr"/>
      <c r="K867" s="16" t="inlineStr">
        <is>
          <t>Not Run</t>
        </is>
      </c>
      <c r="L867" s="16" t="inlineStr">
        <is>
          <t>Medium</t>
        </is>
      </c>
      <c r="M867" s="16" t="inlineStr"/>
      <c r="N867" s="16" t="inlineStr"/>
      <c r="O867" s="16" t="inlineStr"/>
    </row>
    <row r="868" ht="72" customHeight="1">
      <c r="A868" s="16" t="inlineStr">
        <is>
          <t>TC-GC-0030</t>
        </is>
      </c>
      <c r="B868" s="16" t="inlineStr">
        <is>
          <t>Git Conflict Matrix</t>
        </is>
      </c>
      <c r="C868" s="16" t="inlineStr">
        <is>
          <t>Folder tree - Bulk edits</t>
        </is>
      </c>
      <c r="D868" s="16" t="inlineStr">
        <is>
          <t>Performance</t>
        </is>
      </c>
      <c r="E868" s="16" t="inlineStr">
        <is>
          <t>Conflict on Folder tree: 10 changes each side</t>
        </is>
      </c>
      <c r="F868" s="16" t="inlineStr">
        <is>
          <t>Linked workspace; two devices/sessions.</t>
        </is>
      </c>
      <c r="G868" s="16" t="inlineStr">
        <is>
          <t>1. A makes 10 edits; B makes 10 disjoint edits.
2. B pulls.</t>
        </is>
      </c>
      <c r="H868" s="16" t="inlineStr">
        <is>
          <t>bucket=Folder tree; shape=Bulk edits</t>
        </is>
      </c>
      <c r="I868" s="16" t="inlineStr">
        <is>
          <t>All 20 merged; no false positives in conflict modal.</t>
        </is>
      </c>
      <c r="J868" s="16" t="inlineStr"/>
      <c r="K868" s="16" t="inlineStr">
        <is>
          <t>Not Run</t>
        </is>
      </c>
      <c r="L868" s="16" t="inlineStr">
        <is>
          <t>Medium</t>
        </is>
      </c>
      <c r="M868" s="16" t="inlineStr"/>
      <c r="N868" s="16" t="inlineStr"/>
      <c r="O868" s="16" t="inlineStr"/>
    </row>
    <row r="869" ht="72" customHeight="1">
      <c r="A869" s="16" t="inlineStr">
        <is>
          <t>TC-GC-0031</t>
        </is>
      </c>
      <c r="B869" s="16" t="inlineStr">
        <is>
          <t>Git Conflict Matrix</t>
        </is>
      </c>
      <c r="C869" s="16" t="inlineStr">
        <is>
          <t>Environment - Add vs Add same id</t>
        </is>
      </c>
      <c r="D869" s="16" t="inlineStr">
        <is>
          <t>Negative</t>
        </is>
      </c>
      <c r="E869" s="16" t="inlineStr">
        <is>
          <t>Conflict on Environment: Add same entity on two devices</t>
        </is>
      </c>
      <c r="F869" s="16" t="inlineStr">
        <is>
          <t>Linked workspace; two devices/sessions.</t>
        </is>
      </c>
      <c r="G869" s="16" t="inlineStr">
        <is>
          <t>1. Device A creates entity X with id I.
2. Device B creates same id I (rare; typically only if id collision).
3. B pulls A's commit.</t>
        </is>
      </c>
      <c r="H869" s="16" t="inlineStr">
        <is>
          <t>bucket=Environment; shape=Add vs Add same id</t>
        </is>
      </c>
      <c r="I869" s="16" t="inlineStr">
        <is>
          <t>Detected as conflict; user chooses theirs/mine/manual.</t>
        </is>
      </c>
      <c r="J869" s="16" t="inlineStr"/>
      <c r="K869" s="16" t="inlineStr">
        <is>
          <t>Not Run</t>
        </is>
      </c>
      <c r="L869" s="16" t="inlineStr">
        <is>
          <t>Medium</t>
        </is>
      </c>
      <c r="M869" s="16" t="inlineStr"/>
      <c r="N869" s="16" t="inlineStr"/>
      <c r="O869" s="16" t="inlineStr"/>
    </row>
    <row r="870" ht="72" customHeight="1">
      <c r="A870" s="16" t="inlineStr">
        <is>
          <t>TC-GC-0032</t>
        </is>
      </c>
      <c r="B870" s="16" t="inlineStr">
        <is>
          <t>Git Conflict Matrix</t>
        </is>
      </c>
      <c r="C870" s="16" t="inlineStr">
        <is>
          <t>Environment - Edit vs Edit same field</t>
        </is>
      </c>
      <c r="D870" s="16" t="inlineStr">
        <is>
          <t>Negative</t>
        </is>
      </c>
      <c r="E870" s="16" t="inlineStr">
        <is>
          <t>Conflict on Environment: Both edit same field differently</t>
        </is>
      </c>
      <c r="F870" s="16" t="inlineStr">
        <is>
          <t>Linked workspace; two devices/sessions.</t>
        </is>
      </c>
      <c r="G870" s="16" t="inlineStr">
        <is>
          <t>1. A edits field F to 'a'.
2. B edits same F to 'b'.
3. B pulls.</t>
        </is>
      </c>
      <c r="H870" s="16" t="inlineStr">
        <is>
          <t>bucket=Environment; shape=Edit vs Edit same field</t>
        </is>
      </c>
      <c r="I870" s="16" t="inlineStr">
        <is>
          <t>Conflict modal lists field F with both values; user picks resolution.</t>
        </is>
      </c>
      <c r="J870" s="16" t="inlineStr"/>
      <c r="K870" s="16" t="inlineStr">
        <is>
          <t>Not Run</t>
        </is>
      </c>
      <c r="L870" s="16" t="inlineStr">
        <is>
          <t>High</t>
        </is>
      </c>
      <c r="M870" s="16" t="inlineStr"/>
      <c r="N870" s="16" t="inlineStr"/>
      <c r="O870" s="16" t="inlineStr"/>
    </row>
    <row r="871" ht="72" customHeight="1">
      <c r="A871" s="16" t="inlineStr">
        <is>
          <t>TC-GC-0033</t>
        </is>
      </c>
      <c r="B871" s="16" t="inlineStr">
        <is>
          <t>Git Conflict Matrix</t>
        </is>
      </c>
      <c r="C871" s="16" t="inlineStr">
        <is>
          <t>Environment - Edit vs Edit different fields</t>
        </is>
      </c>
      <c r="D871" s="16" t="inlineStr">
        <is>
          <t>Functional</t>
        </is>
      </c>
      <c r="E871" s="16" t="inlineStr">
        <is>
          <t>Conflict on Environment: Disjoint edits auto-merge</t>
        </is>
      </c>
      <c r="F871" s="16" t="inlineStr">
        <is>
          <t>Linked workspace; two devices/sessions.</t>
        </is>
      </c>
      <c r="G871" s="16" t="inlineStr">
        <is>
          <t>1. A edits field F1; B edits F2.
2. B pulls.</t>
        </is>
      </c>
      <c r="H871" s="16" t="inlineStr">
        <is>
          <t>bucket=Environment; shape=Edit vs Edit different fields</t>
        </is>
      </c>
      <c r="I871" s="16" t="inlineStr">
        <is>
          <t>Auto-merged; no conflict modal; final state has both edits.</t>
        </is>
      </c>
      <c r="J871" s="16" t="inlineStr"/>
      <c r="K871" s="16" t="inlineStr">
        <is>
          <t>Not Run</t>
        </is>
      </c>
      <c r="L871" s="16" t="inlineStr">
        <is>
          <t>High</t>
        </is>
      </c>
      <c r="M871" s="16" t="inlineStr"/>
      <c r="N871" s="16" t="inlineStr"/>
      <c r="O871" s="16" t="inlineStr"/>
    </row>
    <row r="872" ht="72" customHeight="1">
      <c r="A872" s="16" t="inlineStr">
        <is>
          <t>TC-GC-0034</t>
        </is>
      </c>
      <c r="B872" s="16" t="inlineStr">
        <is>
          <t>Git Conflict Matrix</t>
        </is>
      </c>
      <c r="C872" s="16" t="inlineStr">
        <is>
          <t>Environment - Edit vs Delete</t>
        </is>
      </c>
      <c r="D872" s="16" t="inlineStr">
        <is>
          <t>Negative</t>
        </is>
      </c>
      <c r="E872" s="16" t="inlineStr">
        <is>
          <t>Conflict on Environment: One edits, other deletes</t>
        </is>
      </c>
      <c r="F872" s="16" t="inlineStr">
        <is>
          <t>Linked workspace; two devices/sessions.</t>
        </is>
      </c>
      <c r="G872" s="16" t="inlineStr">
        <is>
          <t>1. A edits entity X.
2. B deletes X.
3. B pulls.</t>
        </is>
      </c>
      <c r="H872" s="16" t="inlineStr">
        <is>
          <t>bucket=Environment; shape=Edit vs Delete</t>
        </is>
      </c>
      <c r="I872" s="16" t="inlineStr">
        <is>
          <t>Conflict: keep edit (resurrect) vs accept delete; explicit choice.</t>
        </is>
      </c>
      <c r="J872" s="16" t="inlineStr"/>
      <c r="K872" s="16" t="inlineStr">
        <is>
          <t>Not Run</t>
        </is>
      </c>
      <c r="L872" s="16" t="inlineStr">
        <is>
          <t>High</t>
        </is>
      </c>
      <c r="M872" s="16" t="inlineStr"/>
      <c r="N872" s="16" t="inlineStr"/>
      <c r="O872" s="16" t="inlineStr"/>
    </row>
    <row r="873" ht="72" customHeight="1">
      <c r="A873" s="16" t="inlineStr">
        <is>
          <t>TC-GC-0035</t>
        </is>
      </c>
      <c r="B873" s="16" t="inlineStr">
        <is>
          <t>Git Conflict Matrix</t>
        </is>
      </c>
      <c r="C873" s="16" t="inlineStr">
        <is>
          <t>Environment - Delete vs Edit</t>
        </is>
      </c>
      <c r="D873" s="16" t="inlineStr">
        <is>
          <t>Negative</t>
        </is>
      </c>
      <c r="E873" s="16" t="inlineStr">
        <is>
          <t>Conflict on Environment: Mirror of above</t>
        </is>
      </c>
      <c r="F873" s="16" t="inlineStr">
        <is>
          <t>Linked workspace; two devices/sessions.</t>
        </is>
      </c>
      <c r="G873" s="16" t="inlineStr">
        <is>
          <t>1. A deletes X.
2. B edits X.
3. B pulls.</t>
        </is>
      </c>
      <c r="H873" s="16" t="inlineStr">
        <is>
          <t>bucket=Environment; shape=Delete vs Edit</t>
        </is>
      </c>
      <c r="I873" s="16" t="inlineStr">
        <is>
          <t>Same: keep edit or accept delete.</t>
        </is>
      </c>
      <c r="J873" s="16" t="inlineStr"/>
      <c r="K873" s="16" t="inlineStr">
        <is>
          <t>Not Run</t>
        </is>
      </c>
      <c r="L873" s="16" t="inlineStr">
        <is>
          <t>High</t>
        </is>
      </c>
      <c r="M873" s="16" t="inlineStr"/>
      <c r="N873" s="16" t="inlineStr"/>
      <c r="O873" s="16" t="inlineStr"/>
    </row>
    <row r="874" ht="72" customHeight="1">
      <c r="A874" s="16" t="inlineStr">
        <is>
          <t>TC-GC-0036</t>
        </is>
      </c>
      <c r="B874" s="16" t="inlineStr">
        <is>
          <t>Git Conflict Matrix</t>
        </is>
      </c>
      <c r="C874" s="16" t="inlineStr">
        <is>
          <t>Environment - Delete vs Delete</t>
        </is>
      </c>
      <c r="D874" s="16" t="inlineStr">
        <is>
          <t>Functional</t>
        </is>
      </c>
      <c r="E874" s="16" t="inlineStr">
        <is>
          <t>Conflict on Environment: Both delete - no conflict</t>
        </is>
      </c>
      <c r="F874" s="16" t="inlineStr">
        <is>
          <t>Linked workspace; two devices/sessions.</t>
        </is>
      </c>
      <c r="G874" s="16" t="inlineStr">
        <is>
          <t>1. Both delete X.
2. B pulls.</t>
        </is>
      </c>
      <c r="H874" s="16" t="inlineStr">
        <is>
          <t>bucket=Environment; shape=Delete vs Delete</t>
        </is>
      </c>
      <c r="I874" s="16" t="inlineStr">
        <is>
          <t>Auto-merged; X gone in both.</t>
        </is>
      </c>
      <c r="J874" s="16" t="inlineStr"/>
      <c r="K874" s="16" t="inlineStr">
        <is>
          <t>Not Run</t>
        </is>
      </c>
      <c r="L874" s="16" t="inlineStr">
        <is>
          <t>Medium</t>
        </is>
      </c>
      <c r="M874" s="16" t="inlineStr"/>
      <c r="N874" s="16" t="inlineStr"/>
      <c r="O874" s="16" t="inlineStr"/>
    </row>
    <row r="875" ht="72" customHeight="1">
      <c r="A875" s="16" t="inlineStr">
        <is>
          <t>TC-GC-0037</t>
        </is>
      </c>
      <c r="B875" s="16" t="inlineStr">
        <is>
          <t>Git Conflict Matrix</t>
        </is>
      </c>
      <c r="C875" s="16" t="inlineStr">
        <is>
          <t>Environment - Reorder vs Reorder</t>
        </is>
      </c>
      <c r="D875" s="16" t="inlineStr">
        <is>
          <t>Negative</t>
        </is>
      </c>
      <c r="E875" s="16" t="inlineStr">
        <is>
          <t>Conflict on Environment: Order conflicts</t>
        </is>
      </c>
      <c r="F875" s="16" t="inlineStr">
        <is>
          <t>Linked workspace; two devices/sessions.</t>
        </is>
      </c>
      <c r="G875" s="16" t="inlineStr">
        <is>
          <t>1. A reorders A,B,C to C,B,A.
2. B reorders to B,A,C.
3. B pulls.</t>
        </is>
      </c>
      <c r="H875" s="16" t="inlineStr">
        <is>
          <t>bucket=Environment; shape=Reorder vs Reorder</t>
        </is>
      </c>
      <c r="I875" s="16" t="inlineStr">
        <is>
          <t>Conflict on order; user picks one ordering or merges manually.</t>
        </is>
      </c>
      <c r="J875" s="16" t="inlineStr"/>
      <c r="K875" s="16" t="inlineStr">
        <is>
          <t>Not Run</t>
        </is>
      </c>
      <c r="L875" s="16" t="inlineStr">
        <is>
          <t>Medium</t>
        </is>
      </c>
      <c r="M875" s="16" t="inlineStr"/>
      <c r="N875" s="16" t="inlineStr"/>
      <c r="O875" s="16" t="inlineStr"/>
    </row>
    <row r="876" ht="72" customHeight="1">
      <c r="A876" s="16" t="inlineStr">
        <is>
          <t>TC-GC-0038</t>
        </is>
      </c>
      <c r="B876" s="16" t="inlineStr">
        <is>
          <t>Git Conflict Matrix</t>
        </is>
      </c>
      <c r="C876" s="16" t="inlineStr">
        <is>
          <t>Environment - Rename vs Rename</t>
        </is>
      </c>
      <c r="D876" s="16" t="inlineStr">
        <is>
          <t>Negative</t>
        </is>
      </c>
      <c r="E876" s="16" t="inlineStr">
        <is>
          <t>Conflict on Environment: Both rename same entity</t>
        </is>
      </c>
      <c r="F876" s="16" t="inlineStr">
        <is>
          <t>Linked workspace; two devices/sessions.</t>
        </is>
      </c>
      <c r="G876" s="16" t="inlineStr">
        <is>
          <t>1. A renames X to Y; B renames X to Z.
2. B pulls.</t>
        </is>
      </c>
      <c r="H876" s="16" t="inlineStr">
        <is>
          <t>bucket=Environment; shape=Rename vs Rename</t>
        </is>
      </c>
      <c r="I876" s="16" t="inlineStr">
        <is>
          <t>Conflict; user picks new name.</t>
        </is>
      </c>
      <c r="J876" s="16" t="inlineStr"/>
      <c r="K876" s="16" t="inlineStr">
        <is>
          <t>Not Run</t>
        </is>
      </c>
      <c r="L876" s="16" t="inlineStr">
        <is>
          <t>Medium</t>
        </is>
      </c>
      <c r="M876" s="16" t="inlineStr"/>
      <c r="N876" s="16" t="inlineStr"/>
      <c r="O876" s="16" t="inlineStr"/>
    </row>
    <row r="877" ht="72" customHeight="1">
      <c r="A877" s="16" t="inlineStr">
        <is>
          <t>TC-GC-0039</t>
        </is>
      </c>
      <c r="B877" s="16" t="inlineStr">
        <is>
          <t>Git Conflict Matrix</t>
        </is>
      </c>
      <c r="C877" s="16" t="inlineStr">
        <is>
          <t>Environment - Add vs Reparent</t>
        </is>
      </c>
      <c r="D877" s="16" t="inlineStr">
        <is>
          <t>Edge Case</t>
        </is>
      </c>
      <c r="E877" s="16" t="inlineStr">
        <is>
          <t>Conflict on Environment: Tree conflict</t>
        </is>
      </c>
      <c r="F877" s="16" t="inlineStr">
        <is>
          <t>Linked workspace; two devices/sessions.</t>
        </is>
      </c>
      <c r="G877" s="16" t="inlineStr">
        <is>
          <t>1. A adds new request under folder F.
2. B moves F under a different parent.
3. B pulls.</t>
        </is>
      </c>
      <c r="H877" s="16" t="inlineStr">
        <is>
          <t>bucket=Environment; shape=Add vs Reparent</t>
        </is>
      </c>
      <c r="I877" s="16" t="inlineStr">
        <is>
          <t>Tree merge: new request follows F to its new parent.</t>
        </is>
      </c>
      <c r="J877" s="16" t="inlineStr"/>
      <c r="K877" s="16" t="inlineStr">
        <is>
          <t>Not Run</t>
        </is>
      </c>
      <c r="L877" s="16" t="inlineStr">
        <is>
          <t>Medium</t>
        </is>
      </c>
      <c r="M877" s="16" t="inlineStr"/>
      <c r="N877" s="16" t="inlineStr"/>
      <c r="O877" s="16" t="inlineStr"/>
    </row>
    <row r="878" ht="72" customHeight="1">
      <c r="A878" s="16" t="inlineStr">
        <is>
          <t>TC-GC-0040</t>
        </is>
      </c>
      <c r="B878" s="16" t="inlineStr">
        <is>
          <t>Git Conflict Matrix</t>
        </is>
      </c>
      <c r="C878" s="16" t="inlineStr">
        <is>
          <t>Environment - Bulk edits</t>
        </is>
      </c>
      <c r="D878" s="16" t="inlineStr">
        <is>
          <t>Performance</t>
        </is>
      </c>
      <c r="E878" s="16" t="inlineStr">
        <is>
          <t>Conflict on Environment: 10 changes each side</t>
        </is>
      </c>
      <c r="F878" s="16" t="inlineStr">
        <is>
          <t>Linked workspace; two devices/sessions.</t>
        </is>
      </c>
      <c r="G878" s="16" t="inlineStr">
        <is>
          <t>1. A makes 10 edits; B makes 10 disjoint edits.
2. B pulls.</t>
        </is>
      </c>
      <c r="H878" s="16" t="inlineStr">
        <is>
          <t>bucket=Environment; shape=Bulk edits</t>
        </is>
      </c>
      <c r="I878" s="16" t="inlineStr">
        <is>
          <t>All 20 merged; no false positives in conflict modal.</t>
        </is>
      </c>
      <c r="J878" s="16" t="inlineStr"/>
      <c r="K878" s="16" t="inlineStr">
        <is>
          <t>Not Run</t>
        </is>
      </c>
      <c r="L878" s="16" t="inlineStr">
        <is>
          <t>Medium</t>
        </is>
      </c>
      <c r="M878" s="16" t="inlineStr"/>
      <c r="N878" s="16" t="inlineStr"/>
      <c r="O878" s="16" t="inlineStr"/>
    </row>
    <row r="879" ht="72" customHeight="1">
      <c r="A879" s="16" t="inlineStr">
        <is>
          <t>TC-GC-0041</t>
        </is>
      </c>
      <c r="B879" s="16" t="inlineStr">
        <is>
          <t>Git Conflict Matrix</t>
        </is>
      </c>
      <c r="C879" s="16" t="inlineStr">
        <is>
          <t>Environment variable - Add vs Add same id</t>
        </is>
      </c>
      <c r="D879" s="16" t="inlineStr">
        <is>
          <t>Negative</t>
        </is>
      </c>
      <c r="E879" s="16" t="inlineStr">
        <is>
          <t>Conflict on Environment variable: Add same entity on two devices</t>
        </is>
      </c>
      <c r="F879" s="16" t="inlineStr">
        <is>
          <t>Linked workspace; two devices/sessions.</t>
        </is>
      </c>
      <c r="G879" s="16" t="inlineStr">
        <is>
          <t>1. Device A creates entity X with id I.
2. Device B creates same id I (rare; typically only if id collision).
3. B pulls A's commit.</t>
        </is>
      </c>
      <c r="H879" s="16" t="inlineStr">
        <is>
          <t>bucket=Environment variable; shape=Add vs Add same id</t>
        </is>
      </c>
      <c r="I879" s="16" t="inlineStr">
        <is>
          <t>Detected as conflict; user chooses theirs/mine/manual.</t>
        </is>
      </c>
      <c r="J879" s="16" t="inlineStr"/>
      <c r="K879" s="16" t="inlineStr">
        <is>
          <t>Not Run</t>
        </is>
      </c>
      <c r="L879" s="16" t="inlineStr">
        <is>
          <t>Medium</t>
        </is>
      </c>
      <c r="M879" s="16" t="inlineStr"/>
      <c r="N879" s="16" t="inlineStr"/>
      <c r="O879" s="16" t="inlineStr"/>
    </row>
    <row r="880" ht="72" customHeight="1">
      <c r="A880" s="16" t="inlineStr">
        <is>
          <t>TC-GC-0042</t>
        </is>
      </c>
      <c r="B880" s="16" t="inlineStr">
        <is>
          <t>Git Conflict Matrix</t>
        </is>
      </c>
      <c r="C880" s="16" t="inlineStr">
        <is>
          <t>Environment variable - Edit vs Edit same field</t>
        </is>
      </c>
      <c r="D880" s="16" t="inlineStr">
        <is>
          <t>Negative</t>
        </is>
      </c>
      <c r="E880" s="16" t="inlineStr">
        <is>
          <t>Conflict on Environment variable: Both edit same field differently</t>
        </is>
      </c>
      <c r="F880" s="16" t="inlineStr">
        <is>
          <t>Linked workspace; two devices/sessions.</t>
        </is>
      </c>
      <c r="G880" s="16" t="inlineStr">
        <is>
          <t>1. A edits field F to 'a'.
2. B edits same F to 'b'.
3. B pulls.</t>
        </is>
      </c>
      <c r="H880" s="16" t="inlineStr">
        <is>
          <t>bucket=Environment variable; shape=Edit vs Edit same field</t>
        </is>
      </c>
      <c r="I880" s="16" t="inlineStr">
        <is>
          <t>Conflict modal lists field F with both values; user picks resolution.</t>
        </is>
      </c>
      <c r="J880" s="16" t="inlineStr"/>
      <c r="K880" s="16" t="inlineStr">
        <is>
          <t>Not Run</t>
        </is>
      </c>
      <c r="L880" s="16" t="inlineStr">
        <is>
          <t>High</t>
        </is>
      </c>
      <c r="M880" s="16" t="inlineStr"/>
      <c r="N880" s="16" t="inlineStr"/>
      <c r="O880" s="16" t="inlineStr"/>
    </row>
    <row r="881" ht="72" customHeight="1">
      <c r="A881" s="16" t="inlineStr">
        <is>
          <t>TC-GC-0043</t>
        </is>
      </c>
      <c r="B881" s="16" t="inlineStr">
        <is>
          <t>Git Conflict Matrix</t>
        </is>
      </c>
      <c r="C881" s="16" t="inlineStr">
        <is>
          <t>Environment variable - Edit vs Edit different fields</t>
        </is>
      </c>
      <c r="D881" s="16" t="inlineStr">
        <is>
          <t>Functional</t>
        </is>
      </c>
      <c r="E881" s="16" t="inlineStr">
        <is>
          <t>Conflict on Environment variable: Disjoint edits auto-merge</t>
        </is>
      </c>
      <c r="F881" s="16" t="inlineStr">
        <is>
          <t>Linked workspace; two devices/sessions.</t>
        </is>
      </c>
      <c r="G881" s="16" t="inlineStr">
        <is>
          <t>1. A edits field F1; B edits F2.
2. B pulls.</t>
        </is>
      </c>
      <c r="H881" s="16" t="inlineStr">
        <is>
          <t>bucket=Environment variable; shape=Edit vs Edit different fields</t>
        </is>
      </c>
      <c r="I881" s="16" t="inlineStr">
        <is>
          <t>Auto-merged; no conflict modal; final state has both edits.</t>
        </is>
      </c>
      <c r="J881" s="16" t="inlineStr"/>
      <c r="K881" s="16" t="inlineStr">
        <is>
          <t>Not Run</t>
        </is>
      </c>
      <c r="L881" s="16" t="inlineStr">
        <is>
          <t>High</t>
        </is>
      </c>
      <c r="M881" s="16" t="inlineStr"/>
      <c r="N881" s="16" t="inlineStr"/>
      <c r="O881" s="16" t="inlineStr"/>
    </row>
    <row r="882" ht="72" customHeight="1">
      <c r="A882" s="16" t="inlineStr">
        <is>
          <t>TC-GC-0044</t>
        </is>
      </c>
      <c r="B882" s="16" t="inlineStr">
        <is>
          <t>Git Conflict Matrix</t>
        </is>
      </c>
      <c r="C882" s="16" t="inlineStr">
        <is>
          <t>Environment variable - Edit vs Delete</t>
        </is>
      </c>
      <c r="D882" s="16" t="inlineStr">
        <is>
          <t>Negative</t>
        </is>
      </c>
      <c r="E882" s="16" t="inlineStr">
        <is>
          <t>Conflict on Environment variable: One edits, other deletes</t>
        </is>
      </c>
      <c r="F882" s="16" t="inlineStr">
        <is>
          <t>Linked workspace; two devices/sessions.</t>
        </is>
      </c>
      <c r="G882" s="16" t="inlineStr">
        <is>
          <t>1. A edits entity X.
2. B deletes X.
3. B pulls.</t>
        </is>
      </c>
      <c r="H882" s="16" t="inlineStr">
        <is>
          <t>bucket=Environment variable; shape=Edit vs Delete</t>
        </is>
      </c>
      <c r="I882" s="16" t="inlineStr">
        <is>
          <t>Conflict: keep edit (resurrect) vs accept delete; explicit choice.</t>
        </is>
      </c>
      <c r="J882" s="16" t="inlineStr"/>
      <c r="K882" s="16" t="inlineStr">
        <is>
          <t>Not Run</t>
        </is>
      </c>
      <c r="L882" s="16" t="inlineStr">
        <is>
          <t>High</t>
        </is>
      </c>
      <c r="M882" s="16" t="inlineStr"/>
      <c r="N882" s="16" t="inlineStr"/>
      <c r="O882" s="16" t="inlineStr"/>
    </row>
    <row r="883" ht="72" customHeight="1">
      <c r="A883" s="16" t="inlineStr">
        <is>
          <t>TC-GC-0045</t>
        </is>
      </c>
      <c r="B883" s="16" t="inlineStr">
        <is>
          <t>Git Conflict Matrix</t>
        </is>
      </c>
      <c r="C883" s="16" t="inlineStr">
        <is>
          <t>Environment variable - Delete vs Edit</t>
        </is>
      </c>
      <c r="D883" s="16" t="inlineStr">
        <is>
          <t>Negative</t>
        </is>
      </c>
      <c r="E883" s="16" t="inlineStr">
        <is>
          <t>Conflict on Environment variable: Mirror of above</t>
        </is>
      </c>
      <c r="F883" s="16" t="inlineStr">
        <is>
          <t>Linked workspace; two devices/sessions.</t>
        </is>
      </c>
      <c r="G883" s="16" t="inlineStr">
        <is>
          <t>1. A deletes X.
2. B edits X.
3. B pulls.</t>
        </is>
      </c>
      <c r="H883" s="16" t="inlineStr">
        <is>
          <t>bucket=Environment variable; shape=Delete vs Edit</t>
        </is>
      </c>
      <c r="I883" s="16" t="inlineStr">
        <is>
          <t>Same: keep edit or accept delete.</t>
        </is>
      </c>
      <c r="J883" s="16" t="inlineStr"/>
      <c r="K883" s="16" t="inlineStr">
        <is>
          <t>Not Run</t>
        </is>
      </c>
      <c r="L883" s="16" t="inlineStr">
        <is>
          <t>High</t>
        </is>
      </c>
      <c r="M883" s="16" t="inlineStr"/>
      <c r="N883" s="16" t="inlineStr"/>
      <c r="O883" s="16" t="inlineStr"/>
    </row>
    <row r="884" ht="72" customHeight="1">
      <c r="A884" s="16" t="inlineStr">
        <is>
          <t>TC-GC-0046</t>
        </is>
      </c>
      <c r="B884" s="16" t="inlineStr">
        <is>
          <t>Git Conflict Matrix</t>
        </is>
      </c>
      <c r="C884" s="16" t="inlineStr">
        <is>
          <t>Environment variable - Delete vs Delete</t>
        </is>
      </c>
      <c r="D884" s="16" t="inlineStr">
        <is>
          <t>Functional</t>
        </is>
      </c>
      <c r="E884" s="16" t="inlineStr">
        <is>
          <t>Conflict on Environment variable: Both delete - no conflict</t>
        </is>
      </c>
      <c r="F884" s="16" t="inlineStr">
        <is>
          <t>Linked workspace; two devices/sessions.</t>
        </is>
      </c>
      <c r="G884" s="16" t="inlineStr">
        <is>
          <t>1. Both delete X.
2. B pulls.</t>
        </is>
      </c>
      <c r="H884" s="16" t="inlineStr">
        <is>
          <t>bucket=Environment variable; shape=Delete vs Delete</t>
        </is>
      </c>
      <c r="I884" s="16" t="inlineStr">
        <is>
          <t>Auto-merged; X gone in both.</t>
        </is>
      </c>
      <c r="J884" s="16" t="inlineStr"/>
      <c r="K884" s="16" t="inlineStr">
        <is>
          <t>Not Run</t>
        </is>
      </c>
      <c r="L884" s="16" t="inlineStr">
        <is>
          <t>Medium</t>
        </is>
      </c>
      <c r="M884" s="16" t="inlineStr"/>
      <c r="N884" s="16" t="inlineStr"/>
      <c r="O884" s="16" t="inlineStr"/>
    </row>
    <row r="885" ht="72" customHeight="1">
      <c r="A885" s="16" t="inlineStr">
        <is>
          <t>TC-GC-0047</t>
        </is>
      </c>
      <c r="B885" s="16" t="inlineStr">
        <is>
          <t>Git Conflict Matrix</t>
        </is>
      </c>
      <c r="C885" s="16" t="inlineStr">
        <is>
          <t>Environment variable - Reorder vs Reorder</t>
        </is>
      </c>
      <c r="D885" s="16" t="inlineStr">
        <is>
          <t>Negative</t>
        </is>
      </c>
      <c r="E885" s="16" t="inlineStr">
        <is>
          <t>Conflict on Environment variable: Order conflicts</t>
        </is>
      </c>
      <c r="F885" s="16" t="inlineStr">
        <is>
          <t>Linked workspace; two devices/sessions.</t>
        </is>
      </c>
      <c r="G885" s="16" t="inlineStr">
        <is>
          <t>1. A reorders A,B,C to C,B,A.
2. B reorders to B,A,C.
3. B pulls.</t>
        </is>
      </c>
      <c r="H885" s="16" t="inlineStr">
        <is>
          <t>bucket=Environment variable; shape=Reorder vs Reorder</t>
        </is>
      </c>
      <c r="I885" s="16" t="inlineStr">
        <is>
          <t>Conflict on order; user picks one ordering or merges manually.</t>
        </is>
      </c>
      <c r="J885" s="16" t="inlineStr"/>
      <c r="K885" s="16" t="inlineStr">
        <is>
          <t>Not Run</t>
        </is>
      </c>
      <c r="L885" s="16" t="inlineStr">
        <is>
          <t>Medium</t>
        </is>
      </c>
      <c r="M885" s="16" t="inlineStr"/>
      <c r="N885" s="16" t="inlineStr"/>
      <c r="O885" s="16" t="inlineStr"/>
    </row>
    <row r="886" ht="72" customHeight="1">
      <c r="A886" s="16" t="inlineStr">
        <is>
          <t>TC-GC-0048</t>
        </is>
      </c>
      <c r="B886" s="16" t="inlineStr">
        <is>
          <t>Git Conflict Matrix</t>
        </is>
      </c>
      <c r="C886" s="16" t="inlineStr">
        <is>
          <t>Environment variable - Rename vs Rename</t>
        </is>
      </c>
      <c r="D886" s="16" t="inlineStr">
        <is>
          <t>Negative</t>
        </is>
      </c>
      <c r="E886" s="16" t="inlineStr">
        <is>
          <t>Conflict on Environment variable: Both rename same entity</t>
        </is>
      </c>
      <c r="F886" s="16" t="inlineStr">
        <is>
          <t>Linked workspace; two devices/sessions.</t>
        </is>
      </c>
      <c r="G886" s="16" t="inlineStr">
        <is>
          <t>1. A renames X to Y; B renames X to Z.
2. B pulls.</t>
        </is>
      </c>
      <c r="H886" s="16" t="inlineStr">
        <is>
          <t>bucket=Environment variable; shape=Rename vs Rename</t>
        </is>
      </c>
      <c r="I886" s="16" t="inlineStr">
        <is>
          <t>Conflict; user picks new name.</t>
        </is>
      </c>
      <c r="J886" s="16" t="inlineStr"/>
      <c r="K886" s="16" t="inlineStr">
        <is>
          <t>Not Run</t>
        </is>
      </c>
      <c r="L886" s="16" t="inlineStr">
        <is>
          <t>Medium</t>
        </is>
      </c>
      <c r="M886" s="16" t="inlineStr"/>
      <c r="N886" s="16" t="inlineStr"/>
      <c r="O886" s="16" t="inlineStr"/>
    </row>
    <row r="887" ht="72" customHeight="1">
      <c r="A887" s="16" t="inlineStr">
        <is>
          <t>TC-GC-0049</t>
        </is>
      </c>
      <c r="B887" s="16" t="inlineStr">
        <is>
          <t>Git Conflict Matrix</t>
        </is>
      </c>
      <c r="C887" s="16" t="inlineStr">
        <is>
          <t>Environment variable - Add vs Reparent</t>
        </is>
      </c>
      <c r="D887" s="16" t="inlineStr">
        <is>
          <t>Edge Case</t>
        </is>
      </c>
      <c r="E887" s="16" t="inlineStr">
        <is>
          <t>Conflict on Environment variable: Tree conflict</t>
        </is>
      </c>
      <c r="F887" s="16" t="inlineStr">
        <is>
          <t>Linked workspace; two devices/sessions.</t>
        </is>
      </c>
      <c r="G887" s="16" t="inlineStr">
        <is>
          <t>1. A adds new request under folder F.
2. B moves F under a different parent.
3. B pulls.</t>
        </is>
      </c>
      <c r="H887" s="16" t="inlineStr">
        <is>
          <t>bucket=Environment variable; shape=Add vs Reparent</t>
        </is>
      </c>
      <c r="I887" s="16" t="inlineStr">
        <is>
          <t>Tree merge: new request follows F to its new parent.</t>
        </is>
      </c>
      <c r="J887" s="16" t="inlineStr"/>
      <c r="K887" s="16" t="inlineStr">
        <is>
          <t>Not Run</t>
        </is>
      </c>
      <c r="L887" s="16" t="inlineStr">
        <is>
          <t>Medium</t>
        </is>
      </c>
      <c r="M887" s="16" t="inlineStr"/>
      <c r="N887" s="16" t="inlineStr"/>
      <c r="O887" s="16" t="inlineStr"/>
    </row>
    <row r="888" ht="72" customHeight="1">
      <c r="A888" s="16" t="inlineStr">
        <is>
          <t>TC-GC-0050</t>
        </is>
      </c>
      <c r="B888" s="16" t="inlineStr">
        <is>
          <t>Git Conflict Matrix</t>
        </is>
      </c>
      <c r="C888" s="16" t="inlineStr">
        <is>
          <t>Environment variable - Bulk edits</t>
        </is>
      </c>
      <c r="D888" s="16" t="inlineStr">
        <is>
          <t>Performance</t>
        </is>
      </c>
      <c r="E888" s="16" t="inlineStr">
        <is>
          <t>Conflict on Environment variable: 10 changes each side</t>
        </is>
      </c>
      <c r="F888" s="16" t="inlineStr">
        <is>
          <t>Linked workspace; two devices/sessions.</t>
        </is>
      </c>
      <c r="G888" s="16" t="inlineStr">
        <is>
          <t>1. A makes 10 edits; B makes 10 disjoint edits.
2. B pulls.</t>
        </is>
      </c>
      <c r="H888" s="16" t="inlineStr">
        <is>
          <t>bucket=Environment variable; shape=Bulk edits</t>
        </is>
      </c>
      <c r="I888" s="16" t="inlineStr">
        <is>
          <t>All 20 merged; no false positives in conflict modal.</t>
        </is>
      </c>
      <c r="J888" s="16" t="inlineStr"/>
      <c r="K888" s="16" t="inlineStr">
        <is>
          <t>Not Run</t>
        </is>
      </c>
      <c r="L888" s="16" t="inlineStr">
        <is>
          <t>Medium</t>
        </is>
      </c>
      <c r="M888" s="16" t="inlineStr"/>
      <c r="N888" s="16" t="inlineStr"/>
      <c r="O888" s="16" t="inlineStr"/>
    </row>
    <row r="889" ht="72" customHeight="1">
      <c r="A889" s="16" t="inlineStr">
        <is>
          <t>TC-GC-0051</t>
        </is>
      </c>
      <c r="B889" s="16" t="inlineStr">
        <is>
          <t>Git Conflict Matrix</t>
        </is>
      </c>
      <c r="C889" s="16" t="inlineStr">
        <is>
          <t>Active environment - Edit vs Edit same field</t>
        </is>
      </c>
      <c r="D889" s="16" t="inlineStr">
        <is>
          <t>Negative</t>
        </is>
      </c>
      <c r="E889" s="16" t="inlineStr">
        <is>
          <t>Conflict on Active environment: Both edit same field differently</t>
        </is>
      </c>
      <c r="F889" s="16" t="inlineStr">
        <is>
          <t>Linked workspace; two devices/sessions.</t>
        </is>
      </c>
      <c r="G889" s="16" t="inlineStr">
        <is>
          <t>1. A edits field F to 'a'.
2. B edits same F to 'b'.
3. B pulls.</t>
        </is>
      </c>
      <c r="H889" s="16" t="inlineStr">
        <is>
          <t>bucket=Active environment; shape=Edit vs Edit same field</t>
        </is>
      </c>
      <c r="I889" s="16" t="inlineStr">
        <is>
          <t>Conflict modal lists field F with both values; user picks resolution.</t>
        </is>
      </c>
      <c r="J889" s="16" t="inlineStr"/>
      <c r="K889" s="16" t="inlineStr">
        <is>
          <t>Not Run</t>
        </is>
      </c>
      <c r="L889" s="16" t="inlineStr">
        <is>
          <t>High</t>
        </is>
      </c>
      <c r="M889" s="16" t="inlineStr"/>
      <c r="N889" s="16" t="inlineStr"/>
      <c r="O889" s="16" t="inlineStr"/>
    </row>
    <row r="890" ht="72" customHeight="1">
      <c r="A890" s="16" t="inlineStr">
        <is>
          <t>TC-GC-0052</t>
        </is>
      </c>
      <c r="B890" s="16" t="inlineStr">
        <is>
          <t>Git Conflict Matrix</t>
        </is>
      </c>
      <c r="C890" s="16" t="inlineStr">
        <is>
          <t>Active environment - Edit vs Edit different fields</t>
        </is>
      </c>
      <c r="D890" s="16" t="inlineStr">
        <is>
          <t>Functional</t>
        </is>
      </c>
      <c r="E890" s="16" t="inlineStr">
        <is>
          <t>Conflict on Active environment: Disjoint edits auto-merge</t>
        </is>
      </c>
      <c r="F890" s="16" t="inlineStr">
        <is>
          <t>Linked workspace; two devices/sessions.</t>
        </is>
      </c>
      <c r="G890" s="16" t="inlineStr">
        <is>
          <t>1. A edits field F1; B edits F2.
2. B pulls.</t>
        </is>
      </c>
      <c r="H890" s="16" t="inlineStr">
        <is>
          <t>bucket=Active environment; shape=Edit vs Edit different fields</t>
        </is>
      </c>
      <c r="I890" s="16" t="inlineStr">
        <is>
          <t>Auto-merged; no conflict modal; final state has both edits.</t>
        </is>
      </c>
      <c r="J890" s="16" t="inlineStr"/>
      <c r="K890" s="16" t="inlineStr">
        <is>
          <t>Not Run</t>
        </is>
      </c>
      <c r="L890" s="16" t="inlineStr">
        <is>
          <t>High</t>
        </is>
      </c>
      <c r="M890" s="16" t="inlineStr"/>
      <c r="N890" s="16" t="inlineStr"/>
      <c r="O890" s="16" t="inlineStr"/>
    </row>
    <row r="891" ht="72" customHeight="1">
      <c r="A891" s="16" t="inlineStr">
        <is>
          <t>TC-GC-0053</t>
        </is>
      </c>
      <c r="B891" s="16" t="inlineStr">
        <is>
          <t>Git Conflict Matrix</t>
        </is>
      </c>
      <c r="C891" s="16" t="inlineStr">
        <is>
          <t>Active environment - Edit vs Delete</t>
        </is>
      </c>
      <c r="D891" s="16" t="inlineStr">
        <is>
          <t>Negative</t>
        </is>
      </c>
      <c r="E891" s="16" t="inlineStr">
        <is>
          <t>Conflict on Active environment: One edits, other deletes</t>
        </is>
      </c>
      <c r="F891" s="16" t="inlineStr">
        <is>
          <t>Linked workspace; two devices/sessions.</t>
        </is>
      </c>
      <c r="G891" s="16" t="inlineStr">
        <is>
          <t>1. A edits entity X.
2. B deletes X.
3. B pulls.</t>
        </is>
      </c>
      <c r="H891" s="16" t="inlineStr">
        <is>
          <t>bucket=Active environment; shape=Edit vs Delete</t>
        </is>
      </c>
      <c r="I891" s="16" t="inlineStr">
        <is>
          <t>Conflict: keep edit (resurrect) vs accept delete; explicit choice.</t>
        </is>
      </c>
      <c r="J891" s="16" t="inlineStr"/>
      <c r="K891" s="16" t="inlineStr">
        <is>
          <t>Not Run</t>
        </is>
      </c>
      <c r="L891" s="16" t="inlineStr">
        <is>
          <t>High</t>
        </is>
      </c>
      <c r="M891" s="16" t="inlineStr"/>
      <c r="N891" s="16" t="inlineStr"/>
      <c r="O891" s="16" t="inlineStr"/>
    </row>
    <row r="892" ht="72" customHeight="1">
      <c r="A892" s="16" t="inlineStr">
        <is>
          <t>TC-GC-0054</t>
        </is>
      </c>
      <c r="B892" s="16" t="inlineStr">
        <is>
          <t>Git Conflict Matrix</t>
        </is>
      </c>
      <c r="C892" s="16" t="inlineStr">
        <is>
          <t>Active environment - Delete vs Edit</t>
        </is>
      </c>
      <c r="D892" s="16" t="inlineStr">
        <is>
          <t>Negative</t>
        </is>
      </c>
      <c r="E892" s="16" t="inlineStr">
        <is>
          <t>Conflict on Active environment: Mirror of above</t>
        </is>
      </c>
      <c r="F892" s="16" t="inlineStr">
        <is>
          <t>Linked workspace; two devices/sessions.</t>
        </is>
      </c>
      <c r="G892" s="16" t="inlineStr">
        <is>
          <t>1. A deletes X.
2. B edits X.
3. B pulls.</t>
        </is>
      </c>
      <c r="H892" s="16" t="inlineStr">
        <is>
          <t>bucket=Active environment; shape=Delete vs Edit</t>
        </is>
      </c>
      <c r="I892" s="16" t="inlineStr">
        <is>
          <t>Same: keep edit or accept delete.</t>
        </is>
      </c>
      <c r="J892" s="16" t="inlineStr"/>
      <c r="K892" s="16" t="inlineStr">
        <is>
          <t>Not Run</t>
        </is>
      </c>
      <c r="L892" s="16" t="inlineStr">
        <is>
          <t>High</t>
        </is>
      </c>
      <c r="M892" s="16" t="inlineStr"/>
      <c r="N892" s="16" t="inlineStr"/>
      <c r="O892" s="16" t="inlineStr"/>
    </row>
    <row r="893" ht="72" customHeight="1">
      <c r="A893" s="16" t="inlineStr">
        <is>
          <t>TC-GC-0055</t>
        </is>
      </c>
      <c r="B893" s="16" t="inlineStr">
        <is>
          <t>Git Conflict Matrix</t>
        </is>
      </c>
      <c r="C893" s="16" t="inlineStr">
        <is>
          <t>Active environment - Delete vs Delete</t>
        </is>
      </c>
      <c r="D893" s="16" t="inlineStr">
        <is>
          <t>Functional</t>
        </is>
      </c>
      <c r="E893" s="16" t="inlineStr">
        <is>
          <t>Conflict on Active environment: Both delete - no conflict</t>
        </is>
      </c>
      <c r="F893" s="16" t="inlineStr">
        <is>
          <t>Linked workspace; two devices/sessions.</t>
        </is>
      </c>
      <c r="G893" s="16" t="inlineStr">
        <is>
          <t>1. Both delete X.
2. B pulls.</t>
        </is>
      </c>
      <c r="H893" s="16" t="inlineStr">
        <is>
          <t>bucket=Active environment; shape=Delete vs Delete</t>
        </is>
      </c>
      <c r="I893" s="16" t="inlineStr">
        <is>
          <t>Auto-merged; X gone in both.</t>
        </is>
      </c>
      <c r="J893" s="16" t="inlineStr"/>
      <c r="K893" s="16" t="inlineStr">
        <is>
          <t>Not Run</t>
        </is>
      </c>
      <c r="L893" s="16" t="inlineStr">
        <is>
          <t>Medium</t>
        </is>
      </c>
      <c r="M893" s="16" t="inlineStr"/>
      <c r="N893" s="16" t="inlineStr"/>
      <c r="O893" s="16" t="inlineStr"/>
    </row>
    <row r="894" ht="72" customHeight="1">
      <c r="A894" s="16" t="inlineStr">
        <is>
          <t>TC-GC-0056</t>
        </is>
      </c>
      <c r="B894" s="16" t="inlineStr">
        <is>
          <t>Git Conflict Matrix</t>
        </is>
      </c>
      <c r="C894" s="16" t="inlineStr">
        <is>
          <t>Active environment - Rename vs Rename</t>
        </is>
      </c>
      <c r="D894" s="16" t="inlineStr">
        <is>
          <t>Negative</t>
        </is>
      </c>
      <c r="E894" s="16" t="inlineStr">
        <is>
          <t>Conflict on Active environment: Both rename same entity</t>
        </is>
      </c>
      <c r="F894" s="16" t="inlineStr">
        <is>
          <t>Linked workspace; two devices/sessions.</t>
        </is>
      </c>
      <c r="G894" s="16" t="inlineStr">
        <is>
          <t>1. A renames X to Y; B renames X to Z.
2. B pulls.</t>
        </is>
      </c>
      <c r="H894" s="16" t="inlineStr">
        <is>
          <t>bucket=Active environment; shape=Rename vs Rename</t>
        </is>
      </c>
      <c r="I894" s="16" t="inlineStr">
        <is>
          <t>Conflict; user picks new name.</t>
        </is>
      </c>
      <c r="J894" s="16" t="inlineStr"/>
      <c r="K894" s="16" t="inlineStr">
        <is>
          <t>Not Run</t>
        </is>
      </c>
      <c r="L894" s="16" t="inlineStr">
        <is>
          <t>Medium</t>
        </is>
      </c>
      <c r="M894" s="16" t="inlineStr"/>
      <c r="N894" s="16" t="inlineStr"/>
      <c r="O894" s="16" t="inlineStr"/>
    </row>
    <row r="895" ht="72" customHeight="1">
      <c r="A895" s="16" t="inlineStr">
        <is>
          <t>TC-GC-0057</t>
        </is>
      </c>
      <c r="B895" s="16" t="inlineStr">
        <is>
          <t>Git Conflict Matrix</t>
        </is>
      </c>
      <c r="C895" s="16" t="inlineStr">
        <is>
          <t>Active environment - Bulk edits</t>
        </is>
      </c>
      <c r="D895" s="16" t="inlineStr">
        <is>
          <t>Performance</t>
        </is>
      </c>
      <c r="E895" s="16" t="inlineStr">
        <is>
          <t>Conflict on Active environment: 10 changes each side</t>
        </is>
      </c>
      <c r="F895" s="16" t="inlineStr">
        <is>
          <t>Linked workspace; two devices/sessions.</t>
        </is>
      </c>
      <c r="G895" s="16" t="inlineStr">
        <is>
          <t>1. A makes 10 edits; B makes 10 disjoint edits.
2. B pulls.</t>
        </is>
      </c>
      <c r="H895" s="16" t="inlineStr">
        <is>
          <t>bucket=Active environment; shape=Bulk edits</t>
        </is>
      </c>
      <c r="I895" s="16" t="inlineStr">
        <is>
          <t>All 20 merged; no false positives in conflict modal.</t>
        </is>
      </c>
      <c r="J895" s="16" t="inlineStr"/>
      <c r="K895" s="16" t="inlineStr">
        <is>
          <t>Not Run</t>
        </is>
      </c>
      <c r="L895" s="16" t="inlineStr">
        <is>
          <t>Medium</t>
        </is>
      </c>
      <c r="M895" s="16" t="inlineStr"/>
      <c r="N895" s="16" t="inlineStr"/>
      <c r="O895" s="16" t="inlineStr"/>
    </row>
    <row r="896" ht="72" customHeight="1">
      <c r="A896" s="16" t="inlineStr">
        <is>
          <t>TC-GC-0058</t>
        </is>
      </c>
      <c r="B896" s="16" t="inlineStr">
        <is>
          <t>Git Conflict Matrix</t>
        </is>
      </c>
      <c r="C896" s="16" t="inlineStr">
        <is>
          <t>Environment priority - Edit vs Edit same field</t>
        </is>
      </c>
      <c r="D896" s="16" t="inlineStr">
        <is>
          <t>Negative</t>
        </is>
      </c>
      <c r="E896" s="16" t="inlineStr">
        <is>
          <t>Conflict on Environment priority: Both edit same field differently</t>
        </is>
      </c>
      <c r="F896" s="16" t="inlineStr">
        <is>
          <t>Linked workspace; two devices/sessions.</t>
        </is>
      </c>
      <c r="G896" s="16" t="inlineStr">
        <is>
          <t>1. A edits field F to 'a'.
2. B edits same F to 'b'.
3. B pulls.</t>
        </is>
      </c>
      <c r="H896" s="16" t="inlineStr">
        <is>
          <t>bucket=Environment priority; shape=Edit vs Edit same field</t>
        </is>
      </c>
      <c r="I896" s="16" t="inlineStr">
        <is>
          <t>Conflict modal lists field F with both values; user picks resolution.</t>
        </is>
      </c>
      <c r="J896" s="16" t="inlineStr"/>
      <c r="K896" s="16" t="inlineStr">
        <is>
          <t>Not Run</t>
        </is>
      </c>
      <c r="L896" s="16" t="inlineStr">
        <is>
          <t>High</t>
        </is>
      </c>
      <c r="M896" s="16" t="inlineStr"/>
      <c r="N896" s="16" t="inlineStr"/>
      <c r="O896" s="16" t="inlineStr"/>
    </row>
    <row r="897" ht="72" customHeight="1">
      <c r="A897" s="16" t="inlineStr">
        <is>
          <t>TC-GC-0059</t>
        </is>
      </c>
      <c r="B897" s="16" t="inlineStr">
        <is>
          <t>Git Conflict Matrix</t>
        </is>
      </c>
      <c r="C897" s="16" t="inlineStr">
        <is>
          <t>Environment priority - Edit vs Edit different fields</t>
        </is>
      </c>
      <c r="D897" s="16" t="inlineStr">
        <is>
          <t>Functional</t>
        </is>
      </c>
      <c r="E897" s="16" t="inlineStr">
        <is>
          <t>Conflict on Environment priority: Disjoint edits auto-merge</t>
        </is>
      </c>
      <c r="F897" s="16" t="inlineStr">
        <is>
          <t>Linked workspace; two devices/sessions.</t>
        </is>
      </c>
      <c r="G897" s="16" t="inlineStr">
        <is>
          <t>1. A edits field F1; B edits F2.
2. B pulls.</t>
        </is>
      </c>
      <c r="H897" s="16" t="inlineStr">
        <is>
          <t>bucket=Environment priority; shape=Edit vs Edit different fields</t>
        </is>
      </c>
      <c r="I897" s="16" t="inlineStr">
        <is>
          <t>Auto-merged; no conflict modal; final state has both edits.</t>
        </is>
      </c>
      <c r="J897" s="16" t="inlineStr"/>
      <c r="K897" s="16" t="inlineStr">
        <is>
          <t>Not Run</t>
        </is>
      </c>
      <c r="L897" s="16" t="inlineStr">
        <is>
          <t>High</t>
        </is>
      </c>
      <c r="M897" s="16" t="inlineStr"/>
      <c r="N897" s="16" t="inlineStr"/>
      <c r="O897" s="16" t="inlineStr"/>
    </row>
    <row r="898" ht="72" customHeight="1">
      <c r="A898" s="16" t="inlineStr">
        <is>
          <t>TC-GC-0060</t>
        </is>
      </c>
      <c r="B898" s="16" t="inlineStr">
        <is>
          <t>Git Conflict Matrix</t>
        </is>
      </c>
      <c r="C898" s="16" t="inlineStr">
        <is>
          <t>Environment priority - Edit vs Delete</t>
        </is>
      </c>
      <c r="D898" s="16" t="inlineStr">
        <is>
          <t>Negative</t>
        </is>
      </c>
      <c r="E898" s="16" t="inlineStr">
        <is>
          <t>Conflict on Environment priority: One edits, other deletes</t>
        </is>
      </c>
      <c r="F898" s="16" t="inlineStr">
        <is>
          <t>Linked workspace; two devices/sessions.</t>
        </is>
      </c>
      <c r="G898" s="16" t="inlineStr">
        <is>
          <t>1. A edits entity X.
2. B deletes X.
3. B pulls.</t>
        </is>
      </c>
      <c r="H898" s="16" t="inlineStr">
        <is>
          <t>bucket=Environment priority; shape=Edit vs Delete</t>
        </is>
      </c>
      <c r="I898" s="16" t="inlineStr">
        <is>
          <t>Conflict: keep edit (resurrect) vs accept delete; explicit choice.</t>
        </is>
      </c>
      <c r="J898" s="16" t="inlineStr"/>
      <c r="K898" s="16" t="inlineStr">
        <is>
          <t>Not Run</t>
        </is>
      </c>
      <c r="L898" s="16" t="inlineStr">
        <is>
          <t>High</t>
        </is>
      </c>
      <c r="M898" s="16" t="inlineStr"/>
      <c r="N898" s="16" t="inlineStr"/>
      <c r="O898" s="16" t="inlineStr"/>
    </row>
    <row r="899" ht="72" customHeight="1">
      <c r="A899" s="16" t="inlineStr">
        <is>
          <t>TC-GC-0061</t>
        </is>
      </c>
      <c r="B899" s="16" t="inlineStr">
        <is>
          <t>Git Conflict Matrix</t>
        </is>
      </c>
      <c r="C899" s="16" t="inlineStr">
        <is>
          <t>Environment priority - Delete vs Edit</t>
        </is>
      </c>
      <c r="D899" s="16" t="inlineStr">
        <is>
          <t>Negative</t>
        </is>
      </c>
      <c r="E899" s="16" t="inlineStr">
        <is>
          <t>Conflict on Environment priority: Mirror of above</t>
        </is>
      </c>
      <c r="F899" s="16" t="inlineStr">
        <is>
          <t>Linked workspace; two devices/sessions.</t>
        </is>
      </c>
      <c r="G899" s="16" t="inlineStr">
        <is>
          <t>1. A deletes X.
2. B edits X.
3. B pulls.</t>
        </is>
      </c>
      <c r="H899" s="16" t="inlineStr">
        <is>
          <t>bucket=Environment priority; shape=Delete vs Edit</t>
        </is>
      </c>
      <c r="I899" s="16" t="inlineStr">
        <is>
          <t>Same: keep edit or accept delete.</t>
        </is>
      </c>
      <c r="J899" s="16" t="inlineStr"/>
      <c r="K899" s="16" t="inlineStr">
        <is>
          <t>Not Run</t>
        </is>
      </c>
      <c r="L899" s="16" t="inlineStr">
        <is>
          <t>High</t>
        </is>
      </c>
      <c r="M899" s="16" t="inlineStr"/>
      <c r="N899" s="16" t="inlineStr"/>
      <c r="O899" s="16" t="inlineStr"/>
    </row>
    <row r="900" ht="72" customHeight="1">
      <c r="A900" s="16" t="inlineStr">
        <is>
          <t>TC-GC-0062</t>
        </is>
      </c>
      <c r="B900" s="16" t="inlineStr">
        <is>
          <t>Git Conflict Matrix</t>
        </is>
      </c>
      <c r="C900" s="16" t="inlineStr">
        <is>
          <t>Environment priority - Delete vs Delete</t>
        </is>
      </c>
      <c r="D900" s="16" t="inlineStr">
        <is>
          <t>Functional</t>
        </is>
      </c>
      <c r="E900" s="16" t="inlineStr">
        <is>
          <t>Conflict on Environment priority: Both delete - no conflict</t>
        </is>
      </c>
      <c r="F900" s="16" t="inlineStr">
        <is>
          <t>Linked workspace; two devices/sessions.</t>
        </is>
      </c>
      <c r="G900" s="16" t="inlineStr">
        <is>
          <t>1. Both delete X.
2. B pulls.</t>
        </is>
      </c>
      <c r="H900" s="16" t="inlineStr">
        <is>
          <t>bucket=Environment priority; shape=Delete vs Delete</t>
        </is>
      </c>
      <c r="I900" s="16" t="inlineStr">
        <is>
          <t>Auto-merged; X gone in both.</t>
        </is>
      </c>
      <c r="J900" s="16" t="inlineStr"/>
      <c r="K900" s="16" t="inlineStr">
        <is>
          <t>Not Run</t>
        </is>
      </c>
      <c r="L900" s="16" t="inlineStr">
        <is>
          <t>Medium</t>
        </is>
      </c>
      <c r="M900" s="16" t="inlineStr"/>
      <c r="N900" s="16" t="inlineStr"/>
      <c r="O900" s="16" t="inlineStr"/>
    </row>
    <row r="901" ht="72" customHeight="1">
      <c r="A901" s="16" t="inlineStr">
        <is>
          <t>TC-GC-0063</t>
        </is>
      </c>
      <c r="B901" s="16" t="inlineStr">
        <is>
          <t>Git Conflict Matrix</t>
        </is>
      </c>
      <c r="C901" s="16" t="inlineStr">
        <is>
          <t>Environment priority - Rename vs Rename</t>
        </is>
      </c>
      <c r="D901" s="16" t="inlineStr">
        <is>
          <t>Negative</t>
        </is>
      </c>
      <c r="E901" s="16" t="inlineStr">
        <is>
          <t>Conflict on Environment priority: Both rename same entity</t>
        </is>
      </c>
      <c r="F901" s="16" t="inlineStr">
        <is>
          <t>Linked workspace; two devices/sessions.</t>
        </is>
      </c>
      <c r="G901" s="16" t="inlineStr">
        <is>
          <t>1. A renames X to Y; B renames X to Z.
2. B pulls.</t>
        </is>
      </c>
      <c r="H901" s="16" t="inlineStr">
        <is>
          <t>bucket=Environment priority; shape=Rename vs Rename</t>
        </is>
      </c>
      <c r="I901" s="16" t="inlineStr">
        <is>
          <t>Conflict; user picks new name.</t>
        </is>
      </c>
      <c r="J901" s="16" t="inlineStr"/>
      <c r="K901" s="16" t="inlineStr">
        <is>
          <t>Not Run</t>
        </is>
      </c>
      <c r="L901" s="16" t="inlineStr">
        <is>
          <t>Medium</t>
        </is>
      </c>
      <c r="M901" s="16" t="inlineStr"/>
      <c r="N901" s="16" t="inlineStr"/>
      <c r="O901" s="16" t="inlineStr"/>
    </row>
    <row r="902" ht="72" customHeight="1">
      <c r="A902" s="16" t="inlineStr">
        <is>
          <t>TC-GC-0064</t>
        </is>
      </c>
      <c r="B902" s="16" t="inlineStr">
        <is>
          <t>Git Conflict Matrix</t>
        </is>
      </c>
      <c r="C902" s="16" t="inlineStr">
        <is>
          <t>Environment priority - Bulk edits</t>
        </is>
      </c>
      <c r="D902" s="16" t="inlineStr">
        <is>
          <t>Performance</t>
        </is>
      </c>
      <c r="E902" s="16" t="inlineStr">
        <is>
          <t>Conflict on Environment priority: 10 changes each side</t>
        </is>
      </c>
      <c r="F902" s="16" t="inlineStr">
        <is>
          <t>Linked workspace; two devices/sessions.</t>
        </is>
      </c>
      <c r="G902" s="16" t="inlineStr">
        <is>
          <t>1. A makes 10 edits; B makes 10 disjoint edits.
2. B pulls.</t>
        </is>
      </c>
      <c r="H902" s="16" t="inlineStr">
        <is>
          <t>bucket=Environment priority; shape=Bulk edits</t>
        </is>
      </c>
      <c r="I902" s="16" t="inlineStr">
        <is>
          <t>All 20 merged; no false positives in conflict modal.</t>
        </is>
      </c>
      <c r="J902" s="16" t="inlineStr"/>
      <c r="K902" s="16" t="inlineStr">
        <is>
          <t>Not Run</t>
        </is>
      </c>
      <c r="L902" s="16" t="inlineStr">
        <is>
          <t>Medium</t>
        </is>
      </c>
      <c r="M902" s="16" t="inlineStr"/>
      <c r="N902" s="16" t="inlineStr"/>
      <c r="O902" s="16" t="inlineStr"/>
    </row>
    <row r="903" ht="72" customHeight="1">
      <c r="A903" s="16" t="inlineStr">
        <is>
          <t>TC-GC-0065</t>
        </is>
      </c>
      <c r="B903" s="16" t="inlineStr">
        <is>
          <t>Git Conflict Matrix</t>
        </is>
      </c>
      <c r="C903" s="16" t="inlineStr">
        <is>
          <t>Execution plan - Add vs Add same id</t>
        </is>
      </c>
      <c r="D903" s="16" t="inlineStr">
        <is>
          <t>Negative</t>
        </is>
      </c>
      <c r="E903" s="16" t="inlineStr">
        <is>
          <t>Conflict on Execution plan: Add same entity on two devices</t>
        </is>
      </c>
      <c r="F903" s="16" t="inlineStr">
        <is>
          <t>Linked workspace; two devices/sessions.</t>
        </is>
      </c>
      <c r="G903" s="16" t="inlineStr">
        <is>
          <t>1. Device A creates entity X with id I.
2. Device B creates same id I (rare; typically only if id collision).
3. B pulls A's commit.</t>
        </is>
      </c>
      <c r="H903" s="16" t="inlineStr">
        <is>
          <t>bucket=Execution plan; shape=Add vs Add same id</t>
        </is>
      </c>
      <c r="I903" s="16" t="inlineStr">
        <is>
          <t>Detected as conflict; user chooses theirs/mine/manual.</t>
        </is>
      </c>
      <c r="J903" s="16" t="inlineStr"/>
      <c r="K903" s="16" t="inlineStr">
        <is>
          <t>Not Run</t>
        </is>
      </c>
      <c r="L903" s="16" t="inlineStr">
        <is>
          <t>Medium</t>
        </is>
      </c>
      <c r="M903" s="16" t="inlineStr"/>
      <c r="N903" s="16" t="inlineStr"/>
      <c r="O903" s="16" t="inlineStr"/>
    </row>
    <row r="904" ht="72" customHeight="1">
      <c r="A904" s="16" t="inlineStr">
        <is>
          <t>TC-GC-0066</t>
        </is>
      </c>
      <c r="B904" s="16" t="inlineStr">
        <is>
          <t>Git Conflict Matrix</t>
        </is>
      </c>
      <c r="C904" s="16" t="inlineStr">
        <is>
          <t>Execution plan - Edit vs Edit same field</t>
        </is>
      </c>
      <c r="D904" s="16" t="inlineStr">
        <is>
          <t>Negative</t>
        </is>
      </c>
      <c r="E904" s="16" t="inlineStr">
        <is>
          <t>Conflict on Execution plan: Both edit same field differently</t>
        </is>
      </c>
      <c r="F904" s="16" t="inlineStr">
        <is>
          <t>Linked workspace; two devices/sessions.</t>
        </is>
      </c>
      <c r="G904" s="16" t="inlineStr">
        <is>
          <t>1. A edits field F to 'a'.
2. B edits same F to 'b'.
3. B pulls.</t>
        </is>
      </c>
      <c r="H904" s="16" t="inlineStr">
        <is>
          <t>bucket=Execution plan; shape=Edit vs Edit same field</t>
        </is>
      </c>
      <c r="I904" s="16" t="inlineStr">
        <is>
          <t>Conflict modal lists field F with both values; user picks resolution.</t>
        </is>
      </c>
      <c r="J904" s="16" t="inlineStr"/>
      <c r="K904" s="16" t="inlineStr">
        <is>
          <t>Not Run</t>
        </is>
      </c>
      <c r="L904" s="16" t="inlineStr">
        <is>
          <t>High</t>
        </is>
      </c>
      <c r="M904" s="16" t="inlineStr"/>
      <c r="N904" s="16" t="inlineStr"/>
      <c r="O904" s="16" t="inlineStr"/>
    </row>
    <row r="905" ht="72" customHeight="1">
      <c r="A905" s="16" t="inlineStr">
        <is>
          <t>TC-GC-0067</t>
        </is>
      </c>
      <c r="B905" s="16" t="inlineStr">
        <is>
          <t>Git Conflict Matrix</t>
        </is>
      </c>
      <c r="C905" s="16" t="inlineStr">
        <is>
          <t>Execution plan - Edit vs Edit different fields</t>
        </is>
      </c>
      <c r="D905" s="16" t="inlineStr">
        <is>
          <t>Functional</t>
        </is>
      </c>
      <c r="E905" s="16" t="inlineStr">
        <is>
          <t>Conflict on Execution plan: Disjoint edits auto-merge</t>
        </is>
      </c>
      <c r="F905" s="16" t="inlineStr">
        <is>
          <t>Linked workspace; two devices/sessions.</t>
        </is>
      </c>
      <c r="G905" s="16" t="inlineStr">
        <is>
          <t>1. A edits field F1; B edits F2.
2. B pulls.</t>
        </is>
      </c>
      <c r="H905" s="16" t="inlineStr">
        <is>
          <t>bucket=Execution plan; shape=Edit vs Edit different fields</t>
        </is>
      </c>
      <c r="I905" s="16" t="inlineStr">
        <is>
          <t>Auto-merged; no conflict modal; final state has both edits.</t>
        </is>
      </c>
      <c r="J905" s="16" t="inlineStr"/>
      <c r="K905" s="16" t="inlineStr">
        <is>
          <t>Not Run</t>
        </is>
      </c>
      <c r="L905" s="16" t="inlineStr">
        <is>
          <t>High</t>
        </is>
      </c>
      <c r="M905" s="16" t="inlineStr"/>
      <c r="N905" s="16" t="inlineStr"/>
      <c r="O905" s="16" t="inlineStr"/>
    </row>
    <row r="906" ht="72" customHeight="1">
      <c r="A906" s="16" t="inlineStr">
        <is>
          <t>TC-GC-0068</t>
        </is>
      </c>
      <c r="B906" s="16" t="inlineStr">
        <is>
          <t>Git Conflict Matrix</t>
        </is>
      </c>
      <c r="C906" s="16" t="inlineStr">
        <is>
          <t>Execution plan - Edit vs Delete</t>
        </is>
      </c>
      <c r="D906" s="16" t="inlineStr">
        <is>
          <t>Negative</t>
        </is>
      </c>
      <c r="E906" s="16" t="inlineStr">
        <is>
          <t>Conflict on Execution plan: One edits, other deletes</t>
        </is>
      </c>
      <c r="F906" s="16" t="inlineStr">
        <is>
          <t>Linked workspace; two devices/sessions.</t>
        </is>
      </c>
      <c r="G906" s="16" t="inlineStr">
        <is>
          <t>1. A edits entity X.
2. B deletes X.
3. B pulls.</t>
        </is>
      </c>
      <c r="H906" s="16" t="inlineStr">
        <is>
          <t>bucket=Execution plan; shape=Edit vs Delete</t>
        </is>
      </c>
      <c r="I906" s="16" t="inlineStr">
        <is>
          <t>Conflict: keep edit (resurrect) vs accept delete; explicit choice.</t>
        </is>
      </c>
      <c r="J906" s="16" t="inlineStr"/>
      <c r="K906" s="16" t="inlineStr">
        <is>
          <t>Not Run</t>
        </is>
      </c>
      <c r="L906" s="16" t="inlineStr">
        <is>
          <t>High</t>
        </is>
      </c>
      <c r="M906" s="16" t="inlineStr"/>
      <c r="N906" s="16" t="inlineStr"/>
      <c r="O906" s="16" t="inlineStr"/>
    </row>
    <row r="907" ht="72" customHeight="1">
      <c r="A907" s="16" t="inlineStr">
        <is>
          <t>TC-GC-0069</t>
        </is>
      </c>
      <c r="B907" s="16" t="inlineStr">
        <is>
          <t>Git Conflict Matrix</t>
        </is>
      </c>
      <c r="C907" s="16" t="inlineStr">
        <is>
          <t>Execution plan - Delete vs Edit</t>
        </is>
      </c>
      <c r="D907" s="16" t="inlineStr">
        <is>
          <t>Negative</t>
        </is>
      </c>
      <c r="E907" s="16" t="inlineStr">
        <is>
          <t>Conflict on Execution plan: Mirror of above</t>
        </is>
      </c>
      <c r="F907" s="16" t="inlineStr">
        <is>
          <t>Linked workspace; two devices/sessions.</t>
        </is>
      </c>
      <c r="G907" s="16" t="inlineStr">
        <is>
          <t>1. A deletes X.
2. B edits X.
3. B pulls.</t>
        </is>
      </c>
      <c r="H907" s="16" t="inlineStr">
        <is>
          <t>bucket=Execution plan; shape=Delete vs Edit</t>
        </is>
      </c>
      <c r="I907" s="16" t="inlineStr">
        <is>
          <t>Same: keep edit or accept delete.</t>
        </is>
      </c>
      <c r="J907" s="16" t="inlineStr"/>
      <c r="K907" s="16" t="inlineStr">
        <is>
          <t>Not Run</t>
        </is>
      </c>
      <c r="L907" s="16" t="inlineStr">
        <is>
          <t>High</t>
        </is>
      </c>
      <c r="M907" s="16" t="inlineStr"/>
      <c r="N907" s="16" t="inlineStr"/>
      <c r="O907" s="16" t="inlineStr"/>
    </row>
    <row r="908" ht="72" customHeight="1">
      <c r="A908" s="16" t="inlineStr">
        <is>
          <t>TC-GC-0070</t>
        </is>
      </c>
      <c r="B908" s="16" t="inlineStr">
        <is>
          <t>Git Conflict Matrix</t>
        </is>
      </c>
      <c r="C908" s="16" t="inlineStr">
        <is>
          <t>Execution plan - Delete vs Delete</t>
        </is>
      </c>
      <c r="D908" s="16" t="inlineStr">
        <is>
          <t>Functional</t>
        </is>
      </c>
      <c r="E908" s="16" t="inlineStr">
        <is>
          <t>Conflict on Execution plan: Both delete - no conflict</t>
        </is>
      </c>
      <c r="F908" s="16" t="inlineStr">
        <is>
          <t>Linked workspace; two devices/sessions.</t>
        </is>
      </c>
      <c r="G908" s="16" t="inlineStr">
        <is>
          <t>1. Both delete X.
2. B pulls.</t>
        </is>
      </c>
      <c r="H908" s="16" t="inlineStr">
        <is>
          <t>bucket=Execution plan; shape=Delete vs Delete</t>
        </is>
      </c>
      <c r="I908" s="16" t="inlineStr">
        <is>
          <t>Auto-merged; X gone in both.</t>
        </is>
      </c>
      <c r="J908" s="16" t="inlineStr"/>
      <c r="K908" s="16" t="inlineStr">
        <is>
          <t>Not Run</t>
        </is>
      </c>
      <c r="L908" s="16" t="inlineStr">
        <is>
          <t>Medium</t>
        </is>
      </c>
      <c r="M908" s="16" t="inlineStr"/>
      <c r="N908" s="16" t="inlineStr"/>
      <c r="O908" s="16" t="inlineStr"/>
    </row>
    <row r="909" ht="72" customHeight="1">
      <c r="A909" s="16" t="inlineStr">
        <is>
          <t>TC-GC-0071</t>
        </is>
      </c>
      <c r="B909" s="16" t="inlineStr">
        <is>
          <t>Git Conflict Matrix</t>
        </is>
      </c>
      <c r="C909" s="16" t="inlineStr">
        <is>
          <t>Execution plan - Reorder vs Reorder</t>
        </is>
      </c>
      <c r="D909" s="16" t="inlineStr">
        <is>
          <t>Negative</t>
        </is>
      </c>
      <c r="E909" s="16" t="inlineStr">
        <is>
          <t>Conflict on Execution plan: Order conflicts</t>
        </is>
      </c>
      <c r="F909" s="16" t="inlineStr">
        <is>
          <t>Linked workspace; two devices/sessions.</t>
        </is>
      </c>
      <c r="G909" s="16" t="inlineStr">
        <is>
          <t>1. A reorders A,B,C to C,B,A.
2. B reorders to B,A,C.
3. B pulls.</t>
        </is>
      </c>
      <c r="H909" s="16" t="inlineStr">
        <is>
          <t>bucket=Execution plan; shape=Reorder vs Reorder</t>
        </is>
      </c>
      <c r="I909" s="16" t="inlineStr">
        <is>
          <t>Conflict on order; user picks one ordering or merges manually.</t>
        </is>
      </c>
      <c r="J909" s="16" t="inlineStr"/>
      <c r="K909" s="16" t="inlineStr">
        <is>
          <t>Not Run</t>
        </is>
      </c>
      <c r="L909" s="16" t="inlineStr">
        <is>
          <t>Medium</t>
        </is>
      </c>
      <c r="M909" s="16" t="inlineStr"/>
      <c r="N909" s="16" t="inlineStr"/>
      <c r="O909" s="16" t="inlineStr"/>
    </row>
    <row r="910" ht="72" customHeight="1">
      <c r="A910" s="16" t="inlineStr">
        <is>
          <t>TC-GC-0072</t>
        </is>
      </c>
      <c r="B910" s="16" t="inlineStr">
        <is>
          <t>Git Conflict Matrix</t>
        </is>
      </c>
      <c r="C910" s="16" t="inlineStr">
        <is>
          <t>Execution plan - Rename vs Rename</t>
        </is>
      </c>
      <c r="D910" s="16" t="inlineStr">
        <is>
          <t>Negative</t>
        </is>
      </c>
      <c r="E910" s="16" t="inlineStr">
        <is>
          <t>Conflict on Execution plan: Both rename same entity</t>
        </is>
      </c>
      <c r="F910" s="16" t="inlineStr">
        <is>
          <t>Linked workspace; two devices/sessions.</t>
        </is>
      </c>
      <c r="G910" s="16" t="inlineStr">
        <is>
          <t>1. A renames X to Y; B renames X to Z.
2. B pulls.</t>
        </is>
      </c>
      <c r="H910" s="16" t="inlineStr">
        <is>
          <t>bucket=Execution plan; shape=Rename vs Rename</t>
        </is>
      </c>
      <c r="I910" s="16" t="inlineStr">
        <is>
          <t>Conflict; user picks new name.</t>
        </is>
      </c>
      <c r="J910" s="16" t="inlineStr"/>
      <c r="K910" s="16" t="inlineStr">
        <is>
          <t>Not Run</t>
        </is>
      </c>
      <c r="L910" s="16" t="inlineStr">
        <is>
          <t>Medium</t>
        </is>
      </c>
      <c r="M910" s="16" t="inlineStr"/>
      <c r="N910" s="16" t="inlineStr"/>
      <c r="O910" s="16" t="inlineStr"/>
    </row>
    <row r="911" ht="72" customHeight="1">
      <c r="A911" s="16" t="inlineStr">
        <is>
          <t>TC-GC-0073</t>
        </is>
      </c>
      <c r="B911" s="16" t="inlineStr">
        <is>
          <t>Git Conflict Matrix</t>
        </is>
      </c>
      <c r="C911" s="16" t="inlineStr">
        <is>
          <t>Execution plan - Add vs Reparent</t>
        </is>
      </c>
      <c r="D911" s="16" t="inlineStr">
        <is>
          <t>Edge Case</t>
        </is>
      </c>
      <c r="E911" s="16" t="inlineStr">
        <is>
          <t>Conflict on Execution plan: Tree conflict</t>
        </is>
      </c>
      <c r="F911" s="16" t="inlineStr">
        <is>
          <t>Linked workspace; two devices/sessions.</t>
        </is>
      </c>
      <c r="G911" s="16" t="inlineStr">
        <is>
          <t>1. A adds new request under folder F.
2. B moves F under a different parent.
3. B pulls.</t>
        </is>
      </c>
      <c r="H911" s="16" t="inlineStr">
        <is>
          <t>bucket=Execution plan; shape=Add vs Reparent</t>
        </is>
      </c>
      <c r="I911" s="16" t="inlineStr">
        <is>
          <t>Tree merge: new request follows F to its new parent.</t>
        </is>
      </c>
      <c r="J911" s="16" t="inlineStr"/>
      <c r="K911" s="16" t="inlineStr">
        <is>
          <t>Not Run</t>
        </is>
      </c>
      <c r="L911" s="16" t="inlineStr">
        <is>
          <t>Medium</t>
        </is>
      </c>
      <c r="M911" s="16" t="inlineStr"/>
      <c r="N911" s="16" t="inlineStr"/>
      <c r="O911" s="16" t="inlineStr"/>
    </row>
    <row r="912" ht="72" customHeight="1">
      <c r="A912" s="16" t="inlineStr">
        <is>
          <t>TC-GC-0074</t>
        </is>
      </c>
      <c r="B912" s="16" t="inlineStr">
        <is>
          <t>Git Conflict Matrix</t>
        </is>
      </c>
      <c r="C912" s="16" t="inlineStr">
        <is>
          <t>Execution plan - Bulk edits</t>
        </is>
      </c>
      <c r="D912" s="16" t="inlineStr">
        <is>
          <t>Performance</t>
        </is>
      </c>
      <c r="E912" s="16" t="inlineStr">
        <is>
          <t>Conflict on Execution plan: 10 changes each side</t>
        </is>
      </c>
      <c r="F912" s="16" t="inlineStr">
        <is>
          <t>Linked workspace; two devices/sessions.</t>
        </is>
      </c>
      <c r="G912" s="16" t="inlineStr">
        <is>
          <t>1. A makes 10 edits; B makes 10 disjoint edits.
2. B pulls.</t>
        </is>
      </c>
      <c r="H912" s="16" t="inlineStr">
        <is>
          <t>bucket=Execution plan; shape=Bulk edits</t>
        </is>
      </c>
      <c r="I912" s="16" t="inlineStr">
        <is>
          <t>All 20 merged; no false positives in conflict modal.</t>
        </is>
      </c>
      <c r="J912" s="16" t="inlineStr"/>
      <c r="K912" s="16" t="inlineStr">
        <is>
          <t>Not Run</t>
        </is>
      </c>
      <c r="L912" s="16" t="inlineStr">
        <is>
          <t>Medium</t>
        </is>
      </c>
      <c r="M912" s="16" t="inlineStr"/>
      <c r="N912" s="16" t="inlineStr"/>
      <c r="O912" s="16" t="inlineStr"/>
    </row>
    <row r="913" ht="72" customHeight="1">
      <c r="A913" s="16" t="inlineStr">
        <is>
          <t>TC-GC-0075</t>
        </is>
      </c>
      <c r="B913" s="16" t="inlineStr">
        <is>
          <t>Git Conflict Matrix</t>
        </is>
      </c>
      <c r="C913" s="16" t="inlineStr">
        <is>
          <t>Mock server - Add vs Add same id</t>
        </is>
      </c>
      <c r="D913" s="16" t="inlineStr">
        <is>
          <t>Negative</t>
        </is>
      </c>
      <c r="E913" s="16" t="inlineStr">
        <is>
          <t>Conflict on Mock server: Add same entity on two devices</t>
        </is>
      </c>
      <c r="F913" s="16" t="inlineStr">
        <is>
          <t>Linked workspace; two devices/sessions.</t>
        </is>
      </c>
      <c r="G913" s="16" t="inlineStr">
        <is>
          <t>1. Device A creates entity X with id I.
2. Device B creates same id I (rare; typically only if id collision).
3. B pulls A's commit.</t>
        </is>
      </c>
      <c r="H913" s="16" t="inlineStr">
        <is>
          <t>bucket=Mock server; shape=Add vs Add same id</t>
        </is>
      </c>
      <c r="I913" s="16" t="inlineStr">
        <is>
          <t>Detected as conflict; user chooses theirs/mine/manual.</t>
        </is>
      </c>
      <c r="J913" s="16" t="inlineStr"/>
      <c r="K913" s="16" t="inlineStr">
        <is>
          <t>Not Run</t>
        </is>
      </c>
      <c r="L913" s="16" t="inlineStr">
        <is>
          <t>Medium</t>
        </is>
      </c>
      <c r="M913" s="16" t="inlineStr"/>
      <c r="N913" s="16" t="inlineStr"/>
      <c r="O913" s="16" t="inlineStr"/>
    </row>
    <row r="914" ht="72" customHeight="1">
      <c r="A914" s="16" t="inlineStr">
        <is>
          <t>TC-GC-0076</t>
        </is>
      </c>
      <c r="B914" s="16" t="inlineStr">
        <is>
          <t>Git Conflict Matrix</t>
        </is>
      </c>
      <c r="C914" s="16" t="inlineStr">
        <is>
          <t>Mock server - Edit vs Edit same field</t>
        </is>
      </c>
      <c r="D914" s="16" t="inlineStr">
        <is>
          <t>Negative</t>
        </is>
      </c>
      <c r="E914" s="16" t="inlineStr">
        <is>
          <t>Conflict on Mock server: Both edit same field differently</t>
        </is>
      </c>
      <c r="F914" s="16" t="inlineStr">
        <is>
          <t>Linked workspace; two devices/sessions.</t>
        </is>
      </c>
      <c r="G914" s="16" t="inlineStr">
        <is>
          <t>1. A edits field F to 'a'.
2. B edits same F to 'b'.
3. B pulls.</t>
        </is>
      </c>
      <c r="H914" s="16" t="inlineStr">
        <is>
          <t>bucket=Mock server; shape=Edit vs Edit same field</t>
        </is>
      </c>
      <c r="I914" s="16" t="inlineStr">
        <is>
          <t>Conflict modal lists field F with both values; user picks resolution.</t>
        </is>
      </c>
      <c r="J914" s="16" t="inlineStr"/>
      <c r="K914" s="16" t="inlineStr">
        <is>
          <t>Not Run</t>
        </is>
      </c>
      <c r="L914" s="16" t="inlineStr">
        <is>
          <t>High</t>
        </is>
      </c>
      <c r="M914" s="16" t="inlineStr"/>
      <c r="N914" s="16" t="inlineStr"/>
      <c r="O914" s="16" t="inlineStr"/>
    </row>
    <row r="915" ht="72" customHeight="1">
      <c r="A915" s="16" t="inlineStr">
        <is>
          <t>TC-GC-0077</t>
        </is>
      </c>
      <c r="B915" s="16" t="inlineStr">
        <is>
          <t>Git Conflict Matrix</t>
        </is>
      </c>
      <c r="C915" s="16" t="inlineStr">
        <is>
          <t>Mock server - Edit vs Edit different fields</t>
        </is>
      </c>
      <c r="D915" s="16" t="inlineStr">
        <is>
          <t>Functional</t>
        </is>
      </c>
      <c r="E915" s="16" t="inlineStr">
        <is>
          <t>Conflict on Mock server: Disjoint edits auto-merge</t>
        </is>
      </c>
      <c r="F915" s="16" t="inlineStr">
        <is>
          <t>Linked workspace; two devices/sessions.</t>
        </is>
      </c>
      <c r="G915" s="16" t="inlineStr">
        <is>
          <t>1. A edits field F1; B edits F2.
2. B pulls.</t>
        </is>
      </c>
      <c r="H915" s="16" t="inlineStr">
        <is>
          <t>bucket=Mock server; shape=Edit vs Edit different fields</t>
        </is>
      </c>
      <c r="I915" s="16" t="inlineStr">
        <is>
          <t>Auto-merged; no conflict modal; final state has both edits.</t>
        </is>
      </c>
      <c r="J915" s="16" t="inlineStr"/>
      <c r="K915" s="16" t="inlineStr">
        <is>
          <t>Not Run</t>
        </is>
      </c>
      <c r="L915" s="16" t="inlineStr">
        <is>
          <t>High</t>
        </is>
      </c>
      <c r="M915" s="16" t="inlineStr"/>
      <c r="N915" s="16" t="inlineStr"/>
      <c r="O915" s="16" t="inlineStr"/>
    </row>
    <row r="916" ht="72" customHeight="1">
      <c r="A916" s="16" t="inlineStr">
        <is>
          <t>TC-GC-0078</t>
        </is>
      </c>
      <c r="B916" s="16" t="inlineStr">
        <is>
          <t>Git Conflict Matrix</t>
        </is>
      </c>
      <c r="C916" s="16" t="inlineStr">
        <is>
          <t>Mock server - Edit vs Delete</t>
        </is>
      </c>
      <c r="D916" s="16" t="inlineStr">
        <is>
          <t>Negative</t>
        </is>
      </c>
      <c r="E916" s="16" t="inlineStr">
        <is>
          <t>Conflict on Mock server: One edits, other deletes</t>
        </is>
      </c>
      <c r="F916" s="16" t="inlineStr">
        <is>
          <t>Linked workspace; two devices/sessions.</t>
        </is>
      </c>
      <c r="G916" s="16" t="inlineStr">
        <is>
          <t>1. A edits entity X.
2. B deletes X.
3. B pulls.</t>
        </is>
      </c>
      <c r="H916" s="16" t="inlineStr">
        <is>
          <t>bucket=Mock server; shape=Edit vs Delete</t>
        </is>
      </c>
      <c r="I916" s="16" t="inlineStr">
        <is>
          <t>Conflict: keep edit (resurrect) vs accept delete; explicit choice.</t>
        </is>
      </c>
      <c r="J916" s="16" t="inlineStr"/>
      <c r="K916" s="16" t="inlineStr">
        <is>
          <t>Not Run</t>
        </is>
      </c>
      <c r="L916" s="16" t="inlineStr">
        <is>
          <t>High</t>
        </is>
      </c>
      <c r="M916" s="16" t="inlineStr"/>
      <c r="N916" s="16" t="inlineStr"/>
      <c r="O916" s="16" t="inlineStr"/>
    </row>
    <row r="917" ht="72" customHeight="1">
      <c r="A917" s="16" t="inlineStr">
        <is>
          <t>TC-GC-0079</t>
        </is>
      </c>
      <c r="B917" s="16" t="inlineStr">
        <is>
          <t>Git Conflict Matrix</t>
        </is>
      </c>
      <c r="C917" s="16" t="inlineStr">
        <is>
          <t>Mock server - Delete vs Edit</t>
        </is>
      </c>
      <c r="D917" s="16" t="inlineStr">
        <is>
          <t>Negative</t>
        </is>
      </c>
      <c r="E917" s="16" t="inlineStr">
        <is>
          <t>Conflict on Mock server: Mirror of above</t>
        </is>
      </c>
      <c r="F917" s="16" t="inlineStr">
        <is>
          <t>Linked workspace; two devices/sessions.</t>
        </is>
      </c>
      <c r="G917" s="16" t="inlineStr">
        <is>
          <t>1. A deletes X.
2. B edits X.
3. B pulls.</t>
        </is>
      </c>
      <c r="H917" s="16" t="inlineStr">
        <is>
          <t>bucket=Mock server; shape=Delete vs Edit</t>
        </is>
      </c>
      <c r="I917" s="16" t="inlineStr">
        <is>
          <t>Same: keep edit or accept delete.</t>
        </is>
      </c>
      <c r="J917" s="16" t="inlineStr"/>
      <c r="K917" s="16" t="inlineStr">
        <is>
          <t>Not Run</t>
        </is>
      </c>
      <c r="L917" s="16" t="inlineStr">
        <is>
          <t>High</t>
        </is>
      </c>
      <c r="M917" s="16" t="inlineStr"/>
      <c r="N917" s="16" t="inlineStr"/>
      <c r="O917" s="16" t="inlineStr"/>
    </row>
    <row r="918" ht="72" customHeight="1">
      <c r="A918" s="16" t="inlineStr">
        <is>
          <t>TC-GC-0080</t>
        </is>
      </c>
      <c r="B918" s="16" t="inlineStr">
        <is>
          <t>Git Conflict Matrix</t>
        </is>
      </c>
      <c r="C918" s="16" t="inlineStr">
        <is>
          <t>Mock server - Delete vs Delete</t>
        </is>
      </c>
      <c r="D918" s="16" t="inlineStr">
        <is>
          <t>Functional</t>
        </is>
      </c>
      <c r="E918" s="16" t="inlineStr">
        <is>
          <t>Conflict on Mock server: Both delete - no conflict</t>
        </is>
      </c>
      <c r="F918" s="16" t="inlineStr">
        <is>
          <t>Linked workspace; two devices/sessions.</t>
        </is>
      </c>
      <c r="G918" s="16" t="inlineStr">
        <is>
          <t>1. Both delete X.
2. B pulls.</t>
        </is>
      </c>
      <c r="H918" s="16" t="inlineStr">
        <is>
          <t>bucket=Mock server; shape=Delete vs Delete</t>
        </is>
      </c>
      <c r="I918" s="16" t="inlineStr">
        <is>
          <t>Auto-merged; X gone in both.</t>
        </is>
      </c>
      <c r="J918" s="16" t="inlineStr"/>
      <c r="K918" s="16" t="inlineStr">
        <is>
          <t>Not Run</t>
        </is>
      </c>
      <c r="L918" s="16" t="inlineStr">
        <is>
          <t>Medium</t>
        </is>
      </c>
      <c r="M918" s="16" t="inlineStr"/>
      <c r="N918" s="16" t="inlineStr"/>
      <c r="O918" s="16" t="inlineStr"/>
    </row>
    <row r="919" ht="72" customHeight="1">
      <c r="A919" s="16" t="inlineStr">
        <is>
          <t>TC-GC-0081</t>
        </is>
      </c>
      <c r="B919" s="16" t="inlineStr">
        <is>
          <t>Git Conflict Matrix</t>
        </is>
      </c>
      <c r="C919" s="16" t="inlineStr">
        <is>
          <t>Mock server - Reorder vs Reorder</t>
        </is>
      </c>
      <c r="D919" s="16" t="inlineStr">
        <is>
          <t>Negative</t>
        </is>
      </c>
      <c r="E919" s="16" t="inlineStr">
        <is>
          <t>Conflict on Mock server: Order conflicts</t>
        </is>
      </c>
      <c r="F919" s="16" t="inlineStr">
        <is>
          <t>Linked workspace; two devices/sessions.</t>
        </is>
      </c>
      <c r="G919" s="16" t="inlineStr">
        <is>
          <t>1. A reorders A,B,C to C,B,A.
2. B reorders to B,A,C.
3. B pulls.</t>
        </is>
      </c>
      <c r="H919" s="16" t="inlineStr">
        <is>
          <t>bucket=Mock server; shape=Reorder vs Reorder</t>
        </is>
      </c>
      <c r="I919" s="16" t="inlineStr">
        <is>
          <t>Conflict on order; user picks one ordering or merges manually.</t>
        </is>
      </c>
      <c r="J919" s="16" t="inlineStr"/>
      <c r="K919" s="16" t="inlineStr">
        <is>
          <t>Not Run</t>
        </is>
      </c>
      <c r="L919" s="16" t="inlineStr">
        <is>
          <t>Medium</t>
        </is>
      </c>
      <c r="M919" s="16" t="inlineStr"/>
      <c r="N919" s="16" t="inlineStr"/>
      <c r="O919" s="16" t="inlineStr"/>
    </row>
    <row r="920" ht="72" customHeight="1">
      <c r="A920" s="16" t="inlineStr">
        <is>
          <t>TC-GC-0082</t>
        </is>
      </c>
      <c r="B920" s="16" t="inlineStr">
        <is>
          <t>Git Conflict Matrix</t>
        </is>
      </c>
      <c r="C920" s="16" t="inlineStr">
        <is>
          <t>Mock server - Rename vs Rename</t>
        </is>
      </c>
      <c r="D920" s="16" t="inlineStr">
        <is>
          <t>Negative</t>
        </is>
      </c>
      <c r="E920" s="16" t="inlineStr">
        <is>
          <t>Conflict on Mock server: Both rename same entity</t>
        </is>
      </c>
      <c r="F920" s="16" t="inlineStr">
        <is>
          <t>Linked workspace; two devices/sessions.</t>
        </is>
      </c>
      <c r="G920" s="16" t="inlineStr">
        <is>
          <t>1. A renames X to Y; B renames X to Z.
2. B pulls.</t>
        </is>
      </c>
      <c r="H920" s="16" t="inlineStr">
        <is>
          <t>bucket=Mock server; shape=Rename vs Rename</t>
        </is>
      </c>
      <c r="I920" s="16" t="inlineStr">
        <is>
          <t>Conflict; user picks new name.</t>
        </is>
      </c>
      <c r="J920" s="16" t="inlineStr"/>
      <c r="K920" s="16" t="inlineStr">
        <is>
          <t>Not Run</t>
        </is>
      </c>
      <c r="L920" s="16" t="inlineStr">
        <is>
          <t>Medium</t>
        </is>
      </c>
      <c r="M920" s="16" t="inlineStr"/>
      <c r="N920" s="16" t="inlineStr"/>
      <c r="O920" s="16" t="inlineStr"/>
    </row>
    <row r="921" ht="72" customHeight="1">
      <c r="A921" s="16" t="inlineStr">
        <is>
          <t>TC-GC-0083</t>
        </is>
      </c>
      <c r="B921" s="16" t="inlineStr">
        <is>
          <t>Git Conflict Matrix</t>
        </is>
      </c>
      <c r="C921" s="16" t="inlineStr">
        <is>
          <t>Mock server - Add vs Reparent</t>
        </is>
      </c>
      <c r="D921" s="16" t="inlineStr">
        <is>
          <t>Edge Case</t>
        </is>
      </c>
      <c r="E921" s="16" t="inlineStr">
        <is>
          <t>Conflict on Mock server: Tree conflict</t>
        </is>
      </c>
      <c r="F921" s="16" t="inlineStr">
        <is>
          <t>Linked workspace; two devices/sessions.</t>
        </is>
      </c>
      <c r="G921" s="16" t="inlineStr">
        <is>
          <t>1. A adds new request under folder F.
2. B moves F under a different parent.
3. B pulls.</t>
        </is>
      </c>
      <c r="H921" s="16" t="inlineStr">
        <is>
          <t>bucket=Mock server; shape=Add vs Reparent</t>
        </is>
      </c>
      <c r="I921" s="16" t="inlineStr">
        <is>
          <t>Tree merge: new request follows F to its new parent.</t>
        </is>
      </c>
      <c r="J921" s="16" t="inlineStr"/>
      <c r="K921" s="16" t="inlineStr">
        <is>
          <t>Not Run</t>
        </is>
      </c>
      <c r="L921" s="16" t="inlineStr">
        <is>
          <t>Medium</t>
        </is>
      </c>
      <c r="M921" s="16" t="inlineStr"/>
      <c r="N921" s="16" t="inlineStr"/>
      <c r="O921" s="16" t="inlineStr"/>
    </row>
    <row r="922" ht="72" customHeight="1">
      <c r="A922" s="16" t="inlineStr">
        <is>
          <t>TC-GC-0084</t>
        </is>
      </c>
      <c r="B922" s="16" t="inlineStr">
        <is>
          <t>Git Conflict Matrix</t>
        </is>
      </c>
      <c r="C922" s="16" t="inlineStr">
        <is>
          <t>Mock server - Bulk edits</t>
        </is>
      </c>
      <c r="D922" s="16" t="inlineStr">
        <is>
          <t>Performance</t>
        </is>
      </c>
      <c r="E922" s="16" t="inlineStr">
        <is>
          <t>Conflict on Mock server: 10 changes each side</t>
        </is>
      </c>
      <c r="F922" s="16" t="inlineStr">
        <is>
          <t>Linked workspace; two devices/sessions.</t>
        </is>
      </c>
      <c r="G922" s="16" t="inlineStr">
        <is>
          <t>1. A makes 10 edits; B makes 10 disjoint edits.
2. B pulls.</t>
        </is>
      </c>
      <c r="H922" s="16" t="inlineStr">
        <is>
          <t>bucket=Mock server; shape=Bulk edits</t>
        </is>
      </c>
      <c r="I922" s="16" t="inlineStr">
        <is>
          <t>All 20 merged; no false positives in conflict modal.</t>
        </is>
      </c>
      <c r="J922" s="16" t="inlineStr"/>
      <c r="K922" s="16" t="inlineStr">
        <is>
          <t>Not Run</t>
        </is>
      </c>
      <c r="L922" s="16" t="inlineStr">
        <is>
          <t>Medium</t>
        </is>
      </c>
      <c r="M922" s="16" t="inlineStr"/>
      <c r="N922" s="16" t="inlineStr"/>
      <c r="O922" s="16" t="inlineStr"/>
    </row>
    <row r="923" ht="72" customHeight="1">
      <c r="A923" s="16" t="inlineStr">
        <is>
          <t>TC-GC-0085</t>
        </is>
      </c>
      <c r="B923" s="16" t="inlineStr">
        <is>
          <t>Git Conflict Matrix</t>
        </is>
      </c>
      <c r="C923" s="16" t="inlineStr">
        <is>
          <t>Mock endpoint - Add vs Add same id</t>
        </is>
      </c>
      <c r="D923" s="16" t="inlineStr">
        <is>
          <t>Negative</t>
        </is>
      </c>
      <c r="E923" s="16" t="inlineStr">
        <is>
          <t>Conflict on Mock endpoint: Add same entity on two devices</t>
        </is>
      </c>
      <c r="F923" s="16" t="inlineStr">
        <is>
          <t>Linked workspace; two devices/sessions.</t>
        </is>
      </c>
      <c r="G923" s="16" t="inlineStr">
        <is>
          <t>1. Device A creates entity X with id I.
2. Device B creates same id I (rare; typically only if id collision).
3. B pulls A's commit.</t>
        </is>
      </c>
      <c r="H923" s="16" t="inlineStr">
        <is>
          <t>bucket=Mock endpoint; shape=Add vs Add same id</t>
        </is>
      </c>
      <c r="I923" s="16" t="inlineStr">
        <is>
          <t>Detected as conflict; user chooses theirs/mine/manual.</t>
        </is>
      </c>
      <c r="J923" s="16" t="inlineStr"/>
      <c r="K923" s="16" t="inlineStr">
        <is>
          <t>Not Run</t>
        </is>
      </c>
      <c r="L923" s="16" t="inlineStr">
        <is>
          <t>Medium</t>
        </is>
      </c>
      <c r="M923" s="16" t="inlineStr"/>
      <c r="N923" s="16" t="inlineStr"/>
      <c r="O923" s="16" t="inlineStr"/>
    </row>
    <row r="924" ht="72" customHeight="1">
      <c r="A924" s="16" t="inlineStr">
        <is>
          <t>TC-GC-0086</t>
        </is>
      </c>
      <c r="B924" s="16" t="inlineStr">
        <is>
          <t>Git Conflict Matrix</t>
        </is>
      </c>
      <c r="C924" s="16" t="inlineStr">
        <is>
          <t>Mock endpoint - Edit vs Edit same field</t>
        </is>
      </c>
      <c r="D924" s="16" t="inlineStr">
        <is>
          <t>Negative</t>
        </is>
      </c>
      <c r="E924" s="16" t="inlineStr">
        <is>
          <t>Conflict on Mock endpoint: Both edit same field differently</t>
        </is>
      </c>
      <c r="F924" s="16" t="inlineStr">
        <is>
          <t>Linked workspace; two devices/sessions.</t>
        </is>
      </c>
      <c r="G924" s="16" t="inlineStr">
        <is>
          <t>1. A edits field F to 'a'.
2. B edits same F to 'b'.
3. B pulls.</t>
        </is>
      </c>
      <c r="H924" s="16" t="inlineStr">
        <is>
          <t>bucket=Mock endpoint; shape=Edit vs Edit same field</t>
        </is>
      </c>
      <c r="I924" s="16" t="inlineStr">
        <is>
          <t>Conflict modal lists field F with both values; user picks resolution.</t>
        </is>
      </c>
      <c r="J924" s="16" t="inlineStr"/>
      <c r="K924" s="16" t="inlineStr">
        <is>
          <t>Not Run</t>
        </is>
      </c>
      <c r="L924" s="16" t="inlineStr">
        <is>
          <t>High</t>
        </is>
      </c>
      <c r="M924" s="16" t="inlineStr"/>
      <c r="N924" s="16" t="inlineStr"/>
      <c r="O924" s="16" t="inlineStr"/>
    </row>
    <row r="925" ht="72" customHeight="1">
      <c r="A925" s="16" t="inlineStr">
        <is>
          <t>TC-GC-0087</t>
        </is>
      </c>
      <c r="B925" s="16" t="inlineStr">
        <is>
          <t>Git Conflict Matrix</t>
        </is>
      </c>
      <c r="C925" s="16" t="inlineStr">
        <is>
          <t>Mock endpoint - Edit vs Edit different fields</t>
        </is>
      </c>
      <c r="D925" s="16" t="inlineStr">
        <is>
          <t>Functional</t>
        </is>
      </c>
      <c r="E925" s="16" t="inlineStr">
        <is>
          <t>Conflict on Mock endpoint: Disjoint edits auto-merge</t>
        </is>
      </c>
      <c r="F925" s="16" t="inlineStr">
        <is>
          <t>Linked workspace; two devices/sessions.</t>
        </is>
      </c>
      <c r="G925" s="16" t="inlineStr">
        <is>
          <t>1. A edits field F1; B edits F2.
2. B pulls.</t>
        </is>
      </c>
      <c r="H925" s="16" t="inlineStr">
        <is>
          <t>bucket=Mock endpoint; shape=Edit vs Edit different fields</t>
        </is>
      </c>
      <c r="I925" s="16" t="inlineStr">
        <is>
          <t>Auto-merged; no conflict modal; final state has both edits.</t>
        </is>
      </c>
      <c r="J925" s="16" t="inlineStr"/>
      <c r="K925" s="16" t="inlineStr">
        <is>
          <t>Not Run</t>
        </is>
      </c>
      <c r="L925" s="16" t="inlineStr">
        <is>
          <t>High</t>
        </is>
      </c>
      <c r="M925" s="16" t="inlineStr"/>
      <c r="N925" s="16" t="inlineStr"/>
      <c r="O925" s="16" t="inlineStr"/>
    </row>
    <row r="926" ht="72" customHeight="1">
      <c r="A926" s="16" t="inlineStr">
        <is>
          <t>TC-GC-0088</t>
        </is>
      </c>
      <c r="B926" s="16" t="inlineStr">
        <is>
          <t>Git Conflict Matrix</t>
        </is>
      </c>
      <c r="C926" s="16" t="inlineStr">
        <is>
          <t>Mock endpoint - Edit vs Delete</t>
        </is>
      </c>
      <c r="D926" s="16" t="inlineStr">
        <is>
          <t>Negative</t>
        </is>
      </c>
      <c r="E926" s="16" t="inlineStr">
        <is>
          <t>Conflict on Mock endpoint: One edits, other deletes</t>
        </is>
      </c>
      <c r="F926" s="16" t="inlineStr">
        <is>
          <t>Linked workspace; two devices/sessions.</t>
        </is>
      </c>
      <c r="G926" s="16" t="inlineStr">
        <is>
          <t>1. A edits entity X.
2. B deletes X.
3. B pulls.</t>
        </is>
      </c>
      <c r="H926" s="16" t="inlineStr">
        <is>
          <t>bucket=Mock endpoint; shape=Edit vs Delete</t>
        </is>
      </c>
      <c r="I926" s="16" t="inlineStr">
        <is>
          <t>Conflict: keep edit (resurrect) vs accept delete; explicit choice.</t>
        </is>
      </c>
      <c r="J926" s="16" t="inlineStr"/>
      <c r="K926" s="16" t="inlineStr">
        <is>
          <t>Not Run</t>
        </is>
      </c>
      <c r="L926" s="16" t="inlineStr">
        <is>
          <t>High</t>
        </is>
      </c>
      <c r="M926" s="16" t="inlineStr"/>
      <c r="N926" s="16" t="inlineStr"/>
      <c r="O926" s="16" t="inlineStr"/>
    </row>
    <row r="927" ht="72" customHeight="1">
      <c r="A927" s="16" t="inlineStr">
        <is>
          <t>TC-GC-0089</t>
        </is>
      </c>
      <c r="B927" s="16" t="inlineStr">
        <is>
          <t>Git Conflict Matrix</t>
        </is>
      </c>
      <c r="C927" s="16" t="inlineStr">
        <is>
          <t>Mock endpoint - Delete vs Edit</t>
        </is>
      </c>
      <c r="D927" s="16" t="inlineStr">
        <is>
          <t>Negative</t>
        </is>
      </c>
      <c r="E927" s="16" t="inlineStr">
        <is>
          <t>Conflict on Mock endpoint: Mirror of above</t>
        </is>
      </c>
      <c r="F927" s="16" t="inlineStr">
        <is>
          <t>Linked workspace; two devices/sessions.</t>
        </is>
      </c>
      <c r="G927" s="16" t="inlineStr">
        <is>
          <t>1. A deletes X.
2. B edits X.
3. B pulls.</t>
        </is>
      </c>
      <c r="H927" s="16" t="inlineStr">
        <is>
          <t>bucket=Mock endpoint; shape=Delete vs Edit</t>
        </is>
      </c>
      <c r="I927" s="16" t="inlineStr">
        <is>
          <t>Same: keep edit or accept delete.</t>
        </is>
      </c>
      <c r="J927" s="16" t="inlineStr"/>
      <c r="K927" s="16" t="inlineStr">
        <is>
          <t>Not Run</t>
        </is>
      </c>
      <c r="L927" s="16" t="inlineStr">
        <is>
          <t>High</t>
        </is>
      </c>
      <c r="M927" s="16" t="inlineStr"/>
      <c r="N927" s="16" t="inlineStr"/>
      <c r="O927" s="16" t="inlineStr"/>
    </row>
    <row r="928" ht="72" customHeight="1">
      <c r="A928" s="16" t="inlineStr">
        <is>
          <t>TC-GC-0090</t>
        </is>
      </c>
      <c r="B928" s="16" t="inlineStr">
        <is>
          <t>Git Conflict Matrix</t>
        </is>
      </c>
      <c r="C928" s="16" t="inlineStr">
        <is>
          <t>Mock endpoint - Delete vs Delete</t>
        </is>
      </c>
      <c r="D928" s="16" t="inlineStr">
        <is>
          <t>Functional</t>
        </is>
      </c>
      <c r="E928" s="16" t="inlineStr">
        <is>
          <t>Conflict on Mock endpoint: Both delete - no conflict</t>
        </is>
      </c>
      <c r="F928" s="16" t="inlineStr">
        <is>
          <t>Linked workspace; two devices/sessions.</t>
        </is>
      </c>
      <c r="G928" s="16" t="inlineStr">
        <is>
          <t>1. Both delete X.
2. B pulls.</t>
        </is>
      </c>
      <c r="H928" s="16" t="inlineStr">
        <is>
          <t>bucket=Mock endpoint; shape=Delete vs Delete</t>
        </is>
      </c>
      <c r="I928" s="16" t="inlineStr">
        <is>
          <t>Auto-merged; X gone in both.</t>
        </is>
      </c>
      <c r="J928" s="16" t="inlineStr"/>
      <c r="K928" s="16" t="inlineStr">
        <is>
          <t>Not Run</t>
        </is>
      </c>
      <c r="L928" s="16" t="inlineStr">
        <is>
          <t>Medium</t>
        </is>
      </c>
      <c r="M928" s="16" t="inlineStr"/>
      <c r="N928" s="16" t="inlineStr"/>
      <c r="O928" s="16" t="inlineStr"/>
    </row>
    <row r="929" ht="72" customHeight="1">
      <c r="A929" s="16" t="inlineStr">
        <is>
          <t>TC-GC-0091</t>
        </is>
      </c>
      <c r="B929" s="16" t="inlineStr">
        <is>
          <t>Git Conflict Matrix</t>
        </is>
      </c>
      <c r="C929" s="16" t="inlineStr">
        <is>
          <t>Mock endpoint - Reorder vs Reorder</t>
        </is>
      </c>
      <c r="D929" s="16" t="inlineStr">
        <is>
          <t>Negative</t>
        </is>
      </c>
      <c r="E929" s="16" t="inlineStr">
        <is>
          <t>Conflict on Mock endpoint: Order conflicts</t>
        </is>
      </c>
      <c r="F929" s="16" t="inlineStr">
        <is>
          <t>Linked workspace; two devices/sessions.</t>
        </is>
      </c>
      <c r="G929" s="16" t="inlineStr">
        <is>
          <t>1. A reorders A,B,C to C,B,A.
2. B reorders to B,A,C.
3. B pulls.</t>
        </is>
      </c>
      <c r="H929" s="16" t="inlineStr">
        <is>
          <t>bucket=Mock endpoint; shape=Reorder vs Reorder</t>
        </is>
      </c>
      <c r="I929" s="16" t="inlineStr">
        <is>
          <t>Conflict on order; user picks one ordering or merges manually.</t>
        </is>
      </c>
      <c r="J929" s="16" t="inlineStr"/>
      <c r="K929" s="16" t="inlineStr">
        <is>
          <t>Not Run</t>
        </is>
      </c>
      <c r="L929" s="16" t="inlineStr">
        <is>
          <t>Medium</t>
        </is>
      </c>
      <c r="M929" s="16" t="inlineStr"/>
      <c r="N929" s="16" t="inlineStr"/>
      <c r="O929" s="16" t="inlineStr"/>
    </row>
    <row r="930" ht="72" customHeight="1">
      <c r="A930" s="16" t="inlineStr">
        <is>
          <t>TC-GC-0092</t>
        </is>
      </c>
      <c r="B930" s="16" t="inlineStr">
        <is>
          <t>Git Conflict Matrix</t>
        </is>
      </c>
      <c r="C930" s="16" t="inlineStr">
        <is>
          <t>Mock endpoint - Rename vs Rename</t>
        </is>
      </c>
      <c r="D930" s="16" t="inlineStr">
        <is>
          <t>Negative</t>
        </is>
      </c>
      <c r="E930" s="16" t="inlineStr">
        <is>
          <t>Conflict on Mock endpoint: Both rename same entity</t>
        </is>
      </c>
      <c r="F930" s="16" t="inlineStr">
        <is>
          <t>Linked workspace; two devices/sessions.</t>
        </is>
      </c>
      <c r="G930" s="16" t="inlineStr">
        <is>
          <t>1. A renames X to Y; B renames X to Z.
2. B pulls.</t>
        </is>
      </c>
      <c r="H930" s="16" t="inlineStr">
        <is>
          <t>bucket=Mock endpoint; shape=Rename vs Rename</t>
        </is>
      </c>
      <c r="I930" s="16" t="inlineStr">
        <is>
          <t>Conflict; user picks new name.</t>
        </is>
      </c>
      <c r="J930" s="16" t="inlineStr"/>
      <c r="K930" s="16" t="inlineStr">
        <is>
          <t>Not Run</t>
        </is>
      </c>
      <c r="L930" s="16" t="inlineStr">
        <is>
          <t>Medium</t>
        </is>
      </c>
      <c r="M930" s="16" t="inlineStr"/>
      <c r="N930" s="16" t="inlineStr"/>
      <c r="O930" s="16" t="inlineStr"/>
    </row>
    <row r="931" ht="72" customHeight="1">
      <c r="A931" s="16" t="inlineStr">
        <is>
          <t>TC-GC-0093</t>
        </is>
      </c>
      <c r="B931" s="16" t="inlineStr">
        <is>
          <t>Git Conflict Matrix</t>
        </is>
      </c>
      <c r="C931" s="16" t="inlineStr">
        <is>
          <t>Mock endpoint - Add vs Reparent</t>
        </is>
      </c>
      <c r="D931" s="16" t="inlineStr">
        <is>
          <t>Edge Case</t>
        </is>
      </c>
      <c r="E931" s="16" t="inlineStr">
        <is>
          <t>Conflict on Mock endpoint: Tree conflict</t>
        </is>
      </c>
      <c r="F931" s="16" t="inlineStr">
        <is>
          <t>Linked workspace; two devices/sessions.</t>
        </is>
      </c>
      <c r="G931" s="16" t="inlineStr">
        <is>
          <t>1. A adds new request under folder F.
2. B moves F under a different parent.
3. B pulls.</t>
        </is>
      </c>
      <c r="H931" s="16" t="inlineStr">
        <is>
          <t>bucket=Mock endpoint; shape=Add vs Reparent</t>
        </is>
      </c>
      <c r="I931" s="16" t="inlineStr">
        <is>
          <t>Tree merge: new request follows F to its new parent.</t>
        </is>
      </c>
      <c r="J931" s="16" t="inlineStr"/>
      <c r="K931" s="16" t="inlineStr">
        <is>
          <t>Not Run</t>
        </is>
      </c>
      <c r="L931" s="16" t="inlineStr">
        <is>
          <t>Medium</t>
        </is>
      </c>
      <c r="M931" s="16" t="inlineStr"/>
      <c r="N931" s="16" t="inlineStr"/>
      <c r="O931" s="16" t="inlineStr"/>
    </row>
    <row r="932" ht="72" customHeight="1">
      <c r="A932" s="16" t="inlineStr">
        <is>
          <t>TC-GC-0094</t>
        </is>
      </c>
      <c r="B932" s="16" t="inlineStr">
        <is>
          <t>Git Conflict Matrix</t>
        </is>
      </c>
      <c r="C932" s="16" t="inlineStr">
        <is>
          <t>Mock endpoint - Bulk edits</t>
        </is>
      </c>
      <c r="D932" s="16" t="inlineStr">
        <is>
          <t>Performance</t>
        </is>
      </c>
      <c r="E932" s="16" t="inlineStr">
        <is>
          <t>Conflict on Mock endpoint: 10 changes each side</t>
        </is>
      </c>
      <c r="F932" s="16" t="inlineStr">
        <is>
          <t>Linked workspace; two devices/sessions.</t>
        </is>
      </c>
      <c r="G932" s="16" t="inlineStr">
        <is>
          <t>1. A makes 10 edits; B makes 10 disjoint edits.
2. B pulls.</t>
        </is>
      </c>
      <c r="H932" s="16" t="inlineStr">
        <is>
          <t>bucket=Mock endpoint; shape=Bulk edits</t>
        </is>
      </c>
      <c r="I932" s="16" t="inlineStr">
        <is>
          <t>All 20 merged; no false positives in conflict modal.</t>
        </is>
      </c>
      <c r="J932" s="16" t="inlineStr"/>
      <c r="K932" s="16" t="inlineStr">
        <is>
          <t>Not Run</t>
        </is>
      </c>
      <c r="L932" s="16" t="inlineStr">
        <is>
          <t>Medium</t>
        </is>
      </c>
      <c r="M932" s="16" t="inlineStr"/>
      <c r="N932" s="16" t="inlineStr"/>
      <c r="O932" s="16" t="inlineStr"/>
    </row>
    <row r="933" ht="72" customHeight="1">
      <c r="A933" s="16" t="inlineStr">
        <is>
          <t>TC-GC-0095</t>
        </is>
      </c>
      <c r="B933" s="16" t="inlineStr">
        <is>
          <t>Git Conflict Matrix</t>
        </is>
      </c>
      <c r="C933" s="16" t="inlineStr">
        <is>
          <t>Mock response - Add vs Add same id</t>
        </is>
      </c>
      <c r="D933" s="16" t="inlineStr">
        <is>
          <t>Negative</t>
        </is>
      </c>
      <c r="E933" s="16" t="inlineStr">
        <is>
          <t>Conflict on Mock response: Add same entity on two devices</t>
        </is>
      </c>
      <c r="F933" s="16" t="inlineStr">
        <is>
          <t>Linked workspace; two devices/sessions.</t>
        </is>
      </c>
      <c r="G933" s="16" t="inlineStr">
        <is>
          <t>1. Device A creates entity X with id I.
2. Device B creates same id I (rare; typically only if id collision).
3. B pulls A's commit.</t>
        </is>
      </c>
      <c r="H933" s="16" t="inlineStr">
        <is>
          <t>bucket=Mock response; shape=Add vs Add same id</t>
        </is>
      </c>
      <c r="I933" s="16" t="inlineStr">
        <is>
          <t>Detected as conflict; user chooses theirs/mine/manual.</t>
        </is>
      </c>
      <c r="J933" s="16" t="inlineStr"/>
      <c r="K933" s="16" t="inlineStr">
        <is>
          <t>Not Run</t>
        </is>
      </c>
      <c r="L933" s="16" t="inlineStr">
        <is>
          <t>Medium</t>
        </is>
      </c>
      <c r="M933" s="16" t="inlineStr"/>
      <c r="N933" s="16" t="inlineStr"/>
      <c r="O933" s="16" t="inlineStr"/>
    </row>
    <row r="934" ht="72" customHeight="1">
      <c r="A934" s="16" t="inlineStr">
        <is>
          <t>TC-GC-0096</t>
        </is>
      </c>
      <c r="B934" s="16" t="inlineStr">
        <is>
          <t>Git Conflict Matrix</t>
        </is>
      </c>
      <c r="C934" s="16" t="inlineStr">
        <is>
          <t>Mock response - Edit vs Edit same field</t>
        </is>
      </c>
      <c r="D934" s="16" t="inlineStr">
        <is>
          <t>Negative</t>
        </is>
      </c>
      <c r="E934" s="16" t="inlineStr">
        <is>
          <t>Conflict on Mock response: Both edit same field differently</t>
        </is>
      </c>
      <c r="F934" s="16" t="inlineStr">
        <is>
          <t>Linked workspace; two devices/sessions.</t>
        </is>
      </c>
      <c r="G934" s="16" t="inlineStr">
        <is>
          <t>1. A edits field F to 'a'.
2. B edits same F to 'b'.
3. B pulls.</t>
        </is>
      </c>
      <c r="H934" s="16" t="inlineStr">
        <is>
          <t>bucket=Mock response; shape=Edit vs Edit same field</t>
        </is>
      </c>
      <c r="I934" s="16" t="inlineStr">
        <is>
          <t>Conflict modal lists field F with both values; user picks resolution.</t>
        </is>
      </c>
      <c r="J934" s="16" t="inlineStr"/>
      <c r="K934" s="16" t="inlineStr">
        <is>
          <t>Not Run</t>
        </is>
      </c>
      <c r="L934" s="16" t="inlineStr">
        <is>
          <t>High</t>
        </is>
      </c>
      <c r="M934" s="16" t="inlineStr"/>
      <c r="N934" s="16" t="inlineStr"/>
      <c r="O934" s="16" t="inlineStr"/>
    </row>
    <row r="935" ht="72" customHeight="1">
      <c r="A935" s="16" t="inlineStr">
        <is>
          <t>TC-GC-0097</t>
        </is>
      </c>
      <c r="B935" s="16" t="inlineStr">
        <is>
          <t>Git Conflict Matrix</t>
        </is>
      </c>
      <c r="C935" s="16" t="inlineStr">
        <is>
          <t>Mock response - Edit vs Edit different fields</t>
        </is>
      </c>
      <c r="D935" s="16" t="inlineStr">
        <is>
          <t>Functional</t>
        </is>
      </c>
      <c r="E935" s="16" t="inlineStr">
        <is>
          <t>Conflict on Mock response: Disjoint edits auto-merge</t>
        </is>
      </c>
      <c r="F935" s="16" t="inlineStr">
        <is>
          <t>Linked workspace; two devices/sessions.</t>
        </is>
      </c>
      <c r="G935" s="16" t="inlineStr">
        <is>
          <t>1. A edits field F1; B edits F2.
2. B pulls.</t>
        </is>
      </c>
      <c r="H935" s="16" t="inlineStr">
        <is>
          <t>bucket=Mock response; shape=Edit vs Edit different fields</t>
        </is>
      </c>
      <c r="I935" s="16" t="inlineStr">
        <is>
          <t>Auto-merged; no conflict modal; final state has both edits.</t>
        </is>
      </c>
      <c r="J935" s="16" t="inlineStr"/>
      <c r="K935" s="16" t="inlineStr">
        <is>
          <t>Not Run</t>
        </is>
      </c>
      <c r="L935" s="16" t="inlineStr">
        <is>
          <t>High</t>
        </is>
      </c>
      <c r="M935" s="16" t="inlineStr"/>
      <c r="N935" s="16" t="inlineStr"/>
      <c r="O935" s="16" t="inlineStr"/>
    </row>
    <row r="936" ht="72" customHeight="1">
      <c r="A936" s="16" t="inlineStr">
        <is>
          <t>TC-GC-0098</t>
        </is>
      </c>
      <c r="B936" s="16" t="inlineStr">
        <is>
          <t>Git Conflict Matrix</t>
        </is>
      </c>
      <c r="C936" s="16" t="inlineStr">
        <is>
          <t>Mock response - Edit vs Delete</t>
        </is>
      </c>
      <c r="D936" s="16" t="inlineStr">
        <is>
          <t>Negative</t>
        </is>
      </c>
      <c r="E936" s="16" t="inlineStr">
        <is>
          <t>Conflict on Mock response: One edits, other deletes</t>
        </is>
      </c>
      <c r="F936" s="16" t="inlineStr">
        <is>
          <t>Linked workspace; two devices/sessions.</t>
        </is>
      </c>
      <c r="G936" s="16" t="inlineStr">
        <is>
          <t>1. A edits entity X.
2. B deletes X.
3. B pulls.</t>
        </is>
      </c>
      <c r="H936" s="16" t="inlineStr">
        <is>
          <t>bucket=Mock response; shape=Edit vs Delete</t>
        </is>
      </c>
      <c r="I936" s="16" t="inlineStr">
        <is>
          <t>Conflict: keep edit (resurrect) vs accept delete; explicit choice.</t>
        </is>
      </c>
      <c r="J936" s="16" t="inlineStr"/>
      <c r="K936" s="16" t="inlineStr">
        <is>
          <t>Not Run</t>
        </is>
      </c>
      <c r="L936" s="16" t="inlineStr">
        <is>
          <t>High</t>
        </is>
      </c>
      <c r="M936" s="16" t="inlineStr"/>
      <c r="N936" s="16" t="inlineStr"/>
      <c r="O936" s="16" t="inlineStr"/>
    </row>
    <row r="937" ht="72" customHeight="1">
      <c r="A937" s="16" t="inlineStr">
        <is>
          <t>TC-GC-0099</t>
        </is>
      </c>
      <c r="B937" s="16" t="inlineStr">
        <is>
          <t>Git Conflict Matrix</t>
        </is>
      </c>
      <c r="C937" s="16" t="inlineStr">
        <is>
          <t>Mock response - Delete vs Edit</t>
        </is>
      </c>
      <c r="D937" s="16" t="inlineStr">
        <is>
          <t>Negative</t>
        </is>
      </c>
      <c r="E937" s="16" t="inlineStr">
        <is>
          <t>Conflict on Mock response: Mirror of above</t>
        </is>
      </c>
      <c r="F937" s="16" t="inlineStr">
        <is>
          <t>Linked workspace; two devices/sessions.</t>
        </is>
      </c>
      <c r="G937" s="16" t="inlineStr">
        <is>
          <t>1. A deletes X.
2. B edits X.
3. B pulls.</t>
        </is>
      </c>
      <c r="H937" s="16" t="inlineStr">
        <is>
          <t>bucket=Mock response; shape=Delete vs Edit</t>
        </is>
      </c>
      <c r="I937" s="16" t="inlineStr">
        <is>
          <t>Same: keep edit or accept delete.</t>
        </is>
      </c>
      <c r="J937" s="16" t="inlineStr"/>
      <c r="K937" s="16" t="inlineStr">
        <is>
          <t>Not Run</t>
        </is>
      </c>
      <c r="L937" s="16" t="inlineStr">
        <is>
          <t>High</t>
        </is>
      </c>
      <c r="M937" s="16" t="inlineStr"/>
      <c r="N937" s="16" t="inlineStr"/>
      <c r="O937" s="16" t="inlineStr"/>
    </row>
    <row r="938" ht="72" customHeight="1">
      <c r="A938" s="16" t="inlineStr">
        <is>
          <t>TC-GC-0100</t>
        </is>
      </c>
      <c r="B938" s="16" t="inlineStr">
        <is>
          <t>Git Conflict Matrix</t>
        </is>
      </c>
      <c r="C938" s="16" t="inlineStr">
        <is>
          <t>Mock response - Delete vs Delete</t>
        </is>
      </c>
      <c r="D938" s="16" t="inlineStr">
        <is>
          <t>Functional</t>
        </is>
      </c>
      <c r="E938" s="16" t="inlineStr">
        <is>
          <t>Conflict on Mock response: Both delete - no conflict</t>
        </is>
      </c>
      <c r="F938" s="16" t="inlineStr">
        <is>
          <t>Linked workspace; two devices/sessions.</t>
        </is>
      </c>
      <c r="G938" s="16" t="inlineStr">
        <is>
          <t>1. Both delete X.
2. B pulls.</t>
        </is>
      </c>
      <c r="H938" s="16" t="inlineStr">
        <is>
          <t>bucket=Mock response; shape=Delete vs Delete</t>
        </is>
      </c>
      <c r="I938" s="16" t="inlineStr">
        <is>
          <t>Auto-merged; X gone in both.</t>
        </is>
      </c>
      <c r="J938" s="16" t="inlineStr"/>
      <c r="K938" s="16" t="inlineStr">
        <is>
          <t>Not Run</t>
        </is>
      </c>
      <c r="L938" s="16" t="inlineStr">
        <is>
          <t>Medium</t>
        </is>
      </c>
      <c r="M938" s="16" t="inlineStr"/>
      <c r="N938" s="16" t="inlineStr"/>
      <c r="O938" s="16" t="inlineStr"/>
    </row>
    <row r="939" ht="72" customHeight="1">
      <c r="A939" s="16" t="inlineStr">
        <is>
          <t>TC-GC-0101</t>
        </is>
      </c>
      <c r="B939" s="16" t="inlineStr">
        <is>
          <t>Git Conflict Matrix</t>
        </is>
      </c>
      <c r="C939" s="16" t="inlineStr">
        <is>
          <t>Mock response - Reorder vs Reorder</t>
        </is>
      </c>
      <c r="D939" s="16" t="inlineStr">
        <is>
          <t>Negative</t>
        </is>
      </c>
      <c r="E939" s="16" t="inlineStr">
        <is>
          <t>Conflict on Mock response: Order conflicts</t>
        </is>
      </c>
      <c r="F939" s="16" t="inlineStr">
        <is>
          <t>Linked workspace; two devices/sessions.</t>
        </is>
      </c>
      <c r="G939" s="16" t="inlineStr">
        <is>
          <t>1. A reorders A,B,C to C,B,A.
2. B reorders to B,A,C.
3. B pulls.</t>
        </is>
      </c>
      <c r="H939" s="16" t="inlineStr">
        <is>
          <t>bucket=Mock response; shape=Reorder vs Reorder</t>
        </is>
      </c>
      <c r="I939" s="16" t="inlineStr">
        <is>
          <t>Conflict on order; user picks one ordering or merges manually.</t>
        </is>
      </c>
      <c r="J939" s="16" t="inlineStr"/>
      <c r="K939" s="16" t="inlineStr">
        <is>
          <t>Not Run</t>
        </is>
      </c>
      <c r="L939" s="16" t="inlineStr">
        <is>
          <t>Medium</t>
        </is>
      </c>
      <c r="M939" s="16" t="inlineStr"/>
      <c r="N939" s="16" t="inlineStr"/>
      <c r="O939" s="16" t="inlineStr"/>
    </row>
    <row r="940" ht="72" customHeight="1">
      <c r="A940" s="16" t="inlineStr">
        <is>
          <t>TC-GC-0102</t>
        </is>
      </c>
      <c r="B940" s="16" t="inlineStr">
        <is>
          <t>Git Conflict Matrix</t>
        </is>
      </c>
      <c r="C940" s="16" t="inlineStr">
        <is>
          <t>Mock response - Rename vs Rename</t>
        </is>
      </c>
      <c r="D940" s="16" t="inlineStr">
        <is>
          <t>Negative</t>
        </is>
      </c>
      <c r="E940" s="16" t="inlineStr">
        <is>
          <t>Conflict on Mock response: Both rename same entity</t>
        </is>
      </c>
      <c r="F940" s="16" t="inlineStr">
        <is>
          <t>Linked workspace; two devices/sessions.</t>
        </is>
      </c>
      <c r="G940" s="16" t="inlineStr">
        <is>
          <t>1. A renames X to Y; B renames X to Z.
2. B pulls.</t>
        </is>
      </c>
      <c r="H940" s="16" t="inlineStr">
        <is>
          <t>bucket=Mock response; shape=Rename vs Rename</t>
        </is>
      </c>
      <c r="I940" s="16" t="inlineStr">
        <is>
          <t>Conflict; user picks new name.</t>
        </is>
      </c>
      <c r="J940" s="16" t="inlineStr"/>
      <c r="K940" s="16" t="inlineStr">
        <is>
          <t>Not Run</t>
        </is>
      </c>
      <c r="L940" s="16" t="inlineStr">
        <is>
          <t>Medium</t>
        </is>
      </c>
      <c r="M940" s="16" t="inlineStr"/>
      <c r="N940" s="16" t="inlineStr"/>
      <c r="O940" s="16" t="inlineStr"/>
    </row>
    <row r="941" ht="72" customHeight="1">
      <c r="A941" s="16" t="inlineStr">
        <is>
          <t>TC-GC-0103</t>
        </is>
      </c>
      <c r="B941" s="16" t="inlineStr">
        <is>
          <t>Git Conflict Matrix</t>
        </is>
      </c>
      <c r="C941" s="16" t="inlineStr">
        <is>
          <t>Mock response - Add vs Reparent</t>
        </is>
      </c>
      <c r="D941" s="16" t="inlineStr">
        <is>
          <t>Edge Case</t>
        </is>
      </c>
      <c r="E941" s="16" t="inlineStr">
        <is>
          <t>Conflict on Mock response: Tree conflict</t>
        </is>
      </c>
      <c r="F941" s="16" t="inlineStr">
        <is>
          <t>Linked workspace; two devices/sessions.</t>
        </is>
      </c>
      <c r="G941" s="16" t="inlineStr">
        <is>
          <t>1. A adds new request under folder F.
2. B moves F under a different parent.
3. B pulls.</t>
        </is>
      </c>
      <c r="H941" s="16" t="inlineStr">
        <is>
          <t>bucket=Mock response; shape=Add vs Reparent</t>
        </is>
      </c>
      <c r="I941" s="16" t="inlineStr">
        <is>
          <t>Tree merge: new request follows F to its new parent.</t>
        </is>
      </c>
      <c r="J941" s="16" t="inlineStr"/>
      <c r="K941" s="16" t="inlineStr">
        <is>
          <t>Not Run</t>
        </is>
      </c>
      <c r="L941" s="16" t="inlineStr">
        <is>
          <t>Medium</t>
        </is>
      </c>
      <c r="M941" s="16" t="inlineStr"/>
      <c r="N941" s="16" t="inlineStr"/>
      <c r="O941" s="16" t="inlineStr"/>
    </row>
    <row r="942" ht="72" customHeight="1">
      <c r="A942" s="16" t="inlineStr">
        <is>
          <t>TC-GC-0104</t>
        </is>
      </c>
      <c r="B942" s="16" t="inlineStr">
        <is>
          <t>Git Conflict Matrix</t>
        </is>
      </c>
      <c r="C942" s="16" t="inlineStr">
        <is>
          <t>Mock response - Bulk edits</t>
        </is>
      </c>
      <c r="D942" s="16" t="inlineStr">
        <is>
          <t>Performance</t>
        </is>
      </c>
      <c r="E942" s="16" t="inlineStr">
        <is>
          <t>Conflict on Mock response: 10 changes each side</t>
        </is>
      </c>
      <c r="F942" s="16" t="inlineStr">
        <is>
          <t>Linked workspace; two devices/sessions.</t>
        </is>
      </c>
      <c r="G942" s="16" t="inlineStr">
        <is>
          <t>1. A makes 10 edits; B makes 10 disjoint edits.
2. B pulls.</t>
        </is>
      </c>
      <c r="H942" s="16" t="inlineStr">
        <is>
          <t>bucket=Mock response; shape=Bulk edits</t>
        </is>
      </c>
      <c r="I942" s="16" t="inlineStr">
        <is>
          <t>All 20 merged; no false positives in conflict modal.</t>
        </is>
      </c>
      <c r="J942" s="16" t="inlineStr"/>
      <c r="K942" s="16" t="inlineStr">
        <is>
          <t>Not Run</t>
        </is>
      </c>
      <c r="L942" s="16" t="inlineStr">
        <is>
          <t>Medium</t>
        </is>
      </c>
      <c r="M942" s="16" t="inlineStr"/>
      <c r="N942" s="16" t="inlineStr"/>
      <c r="O942" s="16" t="inlineStr"/>
    </row>
    <row r="943" ht="72" customHeight="1">
      <c r="A943" s="16" t="inlineStr">
        <is>
          <t>TC-GC-0105</t>
        </is>
      </c>
      <c r="B943" s="16" t="inlineStr">
        <is>
          <t>Git Conflict Matrix</t>
        </is>
      </c>
      <c r="C943" s="16" t="inlineStr">
        <is>
          <t>Linked workspace - Add vs Add same id</t>
        </is>
      </c>
      <c r="D943" s="16" t="inlineStr">
        <is>
          <t>Negative</t>
        </is>
      </c>
      <c r="E943" s="16" t="inlineStr">
        <is>
          <t>Conflict on Linked workspace: Add same entity on two devices</t>
        </is>
      </c>
      <c r="F943" s="16" t="inlineStr">
        <is>
          <t>Linked workspace; two devices/sessions.</t>
        </is>
      </c>
      <c r="G943" s="16" t="inlineStr">
        <is>
          <t>1. Device A creates entity X with id I.
2. Device B creates same id I (rare; typically only if id collision).
3. B pulls A's commit.</t>
        </is>
      </c>
      <c r="H943" s="16" t="inlineStr">
        <is>
          <t>bucket=Linked workspace; shape=Add vs Add same id</t>
        </is>
      </c>
      <c r="I943" s="16" t="inlineStr">
        <is>
          <t>Detected as conflict; user chooses theirs/mine/manual.</t>
        </is>
      </c>
      <c r="J943" s="16" t="inlineStr"/>
      <c r="K943" s="16" t="inlineStr">
        <is>
          <t>Not Run</t>
        </is>
      </c>
      <c r="L943" s="16" t="inlineStr">
        <is>
          <t>Medium</t>
        </is>
      </c>
      <c r="M943" s="16" t="inlineStr"/>
      <c r="N943" s="16" t="inlineStr"/>
      <c r="O943" s="16" t="inlineStr"/>
    </row>
    <row r="944" ht="72" customHeight="1">
      <c r="A944" s="16" t="inlineStr">
        <is>
          <t>TC-GC-0106</t>
        </is>
      </c>
      <c r="B944" s="16" t="inlineStr">
        <is>
          <t>Git Conflict Matrix</t>
        </is>
      </c>
      <c r="C944" s="16" t="inlineStr">
        <is>
          <t>Linked workspace - Edit vs Edit same field</t>
        </is>
      </c>
      <c r="D944" s="16" t="inlineStr">
        <is>
          <t>Negative</t>
        </is>
      </c>
      <c r="E944" s="16" t="inlineStr">
        <is>
          <t>Conflict on Linked workspace: Both edit same field differently</t>
        </is>
      </c>
      <c r="F944" s="16" t="inlineStr">
        <is>
          <t>Linked workspace; two devices/sessions.</t>
        </is>
      </c>
      <c r="G944" s="16" t="inlineStr">
        <is>
          <t>1. A edits field F to 'a'.
2. B edits same F to 'b'.
3. B pulls.</t>
        </is>
      </c>
      <c r="H944" s="16" t="inlineStr">
        <is>
          <t>bucket=Linked workspace; shape=Edit vs Edit same field</t>
        </is>
      </c>
      <c r="I944" s="16" t="inlineStr">
        <is>
          <t>Conflict modal lists field F with both values; user picks resolution.</t>
        </is>
      </c>
      <c r="J944" s="16" t="inlineStr"/>
      <c r="K944" s="16" t="inlineStr">
        <is>
          <t>Not Run</t>
        </is>
      </c>
      <c r="L944" s="16" t="inlineStr">
        <is>
          <t>High</t>
        </is>
      </c>
      <c r="M944" s="16" t="inlineStr"/>
      <c r="N944" s="16" t="inlineStr"/>
      <c r="O944" s="16" t="inlineStr"/>
    </row>
    <row r="945" ht="72" customHeight="1">
      <c r="A945" s="16" t="inlineStr">
        <is>
          <t>TC-GC-0107</t>
        </is>
      </c>
      <c r="B945" s="16" t="inlineStr">
        <is>
          <t>Git Conflict Matrix</t>
        </is>
      </c>
      <c r="C945" s="16" t="inlineStr">
        <is>
          <t>Linked workspace - Edit vs Edit different fields</t>
        </is>
      </c>
      <c r="D945" s="16" t="inlineStr">
        <is>
          <t>Functional</t>
        </is>
      </c>
      <c r="E945" s="16" t="inlineStr">
        <is>
          <t>Conflict on Linked workspace: Disjoint edits auto-merge</t>
        </is>
      </c>
      <c r="F945" s="16" t="inlineStr">
        <is>
          <t>Linked workspace; two devices/sessions.</t>
        </is>
      </c>
      <c r="G945" s="16" t="inlineStr">
        <is>
          <t>1. A edits field F1; B edits F2.
2. B pulls.</t>
        </is>
      </c>
      <c r="H945" s="16" t="inlineStr">
        <is>
          <t>bucket=Linked workspace; shape=Edit vs Edit different fields</t>
        </is>
      </c>
      <c r="I945" s="16" t="inlineStr">
        <is>
          <t>Auto-merged; no conflict modal; final state has both edits.</t>
        </is>
      </c>
      <c r="J945" s="16" t="inlineStr"/>
      <c r="K945" s="16" t="inlineStr">
        <is>
          <t>Not Run</t>
        </is>
      </c>
      <c r="L945" s="16" t="inlineStr">
        <is>
          <t>High</t>
        </is>
      </c>
      <c r="M945" s="16" t="inlineStr"/>
      <c r="N945" s="16" t="inlineStr"/>
      <c r="O945" s="16" t="inlineStr"/>
    </row>
    <row r="946" ht="72" customHeight="1">
      <c r="A946" s="16" t="inlineStr">
        <is>
          <t>TC-GC-0108</t>
        </is>
      </c>
      <c r="B946" s="16" t="inlineStr">
        <is>
          <t>Git Conflict Matrix</t>
        </is>
      </c>
      <c r="C946" s="16" t="inlineStr">
        <is>
          <t>Linked workspace - Edit vs Delete</t>
        </is>
      </c>
      <c r="D946" s="16" t="inlineStr">
        <is>
          <t>Negative</t>
        </is>
      </c>
      <c r="E946" s="16" t="inlineStr">
        <is>
          <t>Conflict on Linked workspace: One edits, other deletes</t>
        </is>
      </c>
      <c r="F946" s="16" t="inlineStr">
        <is>
          <t>Linked workspace; two devices/sessions.</t>
        </is>
      </c>
      <c r="G946" s="16" t="inlineStr">
        <is>
          <t>1. A edits entity X.
2. B deletes X.
3. B pulls.</t>
        </is>
      </c>
      <c r="H946" s="16" t="inlineStr">
        <is>
          <t>bucket=Linked workspace; shape=Edit vs Delete</t>
        </is>
      </c>
      <c r="I946" s="16" t="inlineStr">
        <is>
          <t>Conflict: keep edit (resurrect) vs accept delete; explicit choice.</t>
        </is>
      </c>
      <c r="J946" s="16" t="inlineStr"/>
      <c r="K946" s="16" t="inlineStr">
        <is>
          <t>Not Run</t>
        </is>
      </c>
      <c r="L946" s="16" t="inlineStr">
        <is>
          <t>High</t>
        </is>
      </c>
      <c r="M946" s="16" t="inlineStr"/>
      <c r="N946" s="16" t="inlineStr"/>
      <c r="O946" s="16" t="inlineStr"/>
    </row>
    <row r="947" ht="72" customHeight="1">
      <c r="A947" s="16" t="inlineStr">
        <is>
          <t>TC-GC-0109</t>
        </is>
      </c>
      <c r="B947" s="16" t="inlineStr">
        <is>
          <t>Git Conflict Matrix</t>
        </is>
      </c>
      <c r="C947" s="16" t="inlineStr">
        <is>
          <t>Linked workspace - Delete vs Edit</t>
        </is>
      </c>
      <c r="D947" s="16" t="inlineStr">
        <is>
          <t>Negative</t>
        </is>
      </c>
      <c r="E947" s="16" t="inlineStr">
        <is>
          <t>Conflict on Linked workspace: Mirror of above</t>
        </is>
      </c>
      <c r="F947" s="16" t="inlineStr">
        <is>
          <t>Linked workspace; two devices/sessions.</t>
        </is>
      </c>
      <c r="G947" s="16" t="inlineStr">
        <is>
          <t>1. A deletes X.
2. B edits X.
3. B pulls.</t>
        </is>
      </c>
      <c r="H947" s="16" t="inlineStr">
        <is>
          <t>bucket=Linked workspace; shape=Delete vs Edit</t>
        </is>
      </c>
      <c r="I947" s="16" t="inlineStr">
        <is>
          <t>Same: keep edit or accept delete.</t>
        </is>
      </c>
      <c r="J947" s="16" t="inlineStr"/>
      <c r="K947" s="16" t="inlineStr">
        <is>
          <t>Not Run</t>
        </is>
      </c>
      <c r="L947" s="16" t="inlineStr">
        <is>
          <t>High</t>
        </is>
      </c>
      <c r="M947" s="16" t="inlineStr"/>
      <c r="N947" s="16" t="inlineStr"/>
      <c r="O947" s="16" t="inlineStr"/>
    </row>
    <row r="948" ht="72" customHeight="1">
      <c r="A948" s="16" t="inlineStr">
        <is>
          <t>TC-GC-0110</t>
        </is>
      </c>
      <c r="B948" s="16" t="inlineStr">
        <is>
          <t>Git Conflict Matrix</t>
        </is>
      </c>
      <c r="C948" s="16" t="inlineStr">
        <is>
          <t>Linked workspace - Delete vs Delete</t>
        </is>
      </c>
      <c r="D948" s="16" t="inlineStr">
        <is>
          <t>Functional</t>
        </is>
      </c>
      <c r="E948" s="16" t="inlineStr">
        <is>
          <t>Conflict on Linked workspace: Both delete - no conflict</t>
        </is>
      </c>
      <c r="F948" s="16" t="inlineStr">
        <is>
          <t>Linked workspace; two devices/sessions.</t>
        </is>
      </c>
      <c r="G948" s="16" t="inlineStr">
        <is>
          <t>1. Both delete X.
2. B pulls.</t>
        </is>
      </c>
      <c r="H948" s="16" t="inlineStr">
        <is>
          <t>bucket=Linked workspace; shape=Delete vs Delete</t>
        </is>
      </c>
      <c r="I948" s="16" t="inlineStr">
        <is>
          <t>Auto-merged; X gone in both.</t>
        </is>
      </c>
      <c r="J948" s="16" t="inlineStr"/>
      <c r="K948" s="16" t="inlineStr">
        <is>
          <t>Not Run</t>
        </is>
      </c>
      <c r="L948" s="16" t="inlineStr">
        <is>
          <t>Medium</t>
        </is>
      </c>
      <c r="M948" s="16" t="inlineStr"/>
      <c r="N948" s="16" t="inlineStr"/>
      <c r="O948" s="16" t="inlineStr"/>
    </row>
    <row r="949" ht="72" customHeight="1">
      <c r="A949" s="16" t="inlineStr">
        <is>
          <t>TC-GC-0111</t>
        </is>
      </c>
      <c r="B949" s="16" t="inlineStr">
        <is>
          <t>Git Conflict Matrix</t>
        </is>
      </c>
      <c r="C949" s="16" t="inlineStr">
        <is>
          <t>Linked workspace - Reorder vs Reorder</t>
        </is>
      </c>
      <c r="D949" s="16" t="inlineStr">
        <is>
          <t>Negative</t>
        </is>
      </c>
      <c r="E949" s="16" t="inlineStr">
        <is>
          <t>Conflict on Linked workspace: Order conflicts</t>
        </is>
      </c>
      <c r="F949" s="16" t="inlineStr">
        <is>
          <t>Linked workspace; two devices/sessions.</t>
        </is>
      </c>
      <c r="G949" s="16" t="inlineStr">
        <is>
          <t>1. A reorders A,B,C to C,B,A.
2. B reorders to B,A,C.
3. B pulls.</t>
        </is>
      </c>
      <c r="H949" s="16" t="inlineStr">
        <is>
          <t>bucket=Linked workspace; shape=Reorder vs Reorder</t>
        </is>
      </c>
      <c r="I949" s="16" t="inlineStr">
        <is>
          <t>Conflict on order; user picks one ordering or merges manually.</t>
        </is>
      </c>
      <c r="J949" s="16" t="inlineStr"/>
      <c r="K949" s="16" t="inlineStr">
        <is>
          <t>Not Run</t>
        </is>
      </c>
      <c r="L949" s="16" t="inlineStr">
        <is>
          <t>Medium</t>
        </is>
      </c>
      <c r="M949" s="16" t="inlineStr"/>
      <c r="N949" s="16" t="inlineStr"/>
      <c r="O949" s="16" t="inlineStr"/>
    </row>
    <row r="950" ht="72" customHeight="1">
      <c r="A950" s="16" t="inlineStr">
        <is>
          <t>TC-GC-0112</t>
        </is>
      </c>
      <c r="B950" s="16" t="inlineStr">
        <is>
          <t>Git Conflict Matrix</t>
        </is>
      </c>
      <c r="C950" s="16" t="inlineStr">
        <is>
          <t>Linked workspace - Rename vs Rename</t>
        </is>
      </c>
      <c r="D950" s="16" t="inlineStr">
        <is>
          <t>Negative</t>
        </is>
      </c>
      <c r="E950" s="16" t="inlineStr">
        <is>
          <t>Conflict on Linked workspace: Both rename same entity</t>
        </is>
      </c>
      <c r="F950" s="16" t="inlineStr">
        <is>
          <t>Linked workspace; two devices/sessions.</t>
        </is>
      </c>
      <c r="G950" s="16" t="inlineStr">
        <is>
          <t>1. A renames X to Y; B renames X to Z.
2. B pulls.</t>
        </is>
      </c>
      <c r="H950" s="16" t="inlineStr">
        <is>
          <t>bucket=Linked workspace; shape=Rename vs Rename</t>
        </is>
      </c>
      <c r="I950" s="16" t="inlineStr">
        <is>
          <t>Conflict; user picks new name.</t>
        </is>
      </c>
      <c r="J950" s="16" t="inlineStr"/>
      <c r="K950" s="16" t="inlineStr">
        <is>
          <t>Not Run</t>
        </is>
      </c>
      <c r="L950" s="16" t="inlineStr">
        <is>
          <t>Medium</t>
        </is>
      </c>
      <c r="M950" s="16" t="inlineStr"/>
      <c r="N950" s="16" t="inlineStr"/>
      <c r="O950" s="16" t="inlineStr"/>
    </row>
    <row r="951" ht="72" customHeight="1">
      <c r="A951" s="16" t="inlineStr">
        <is>
          <t>TC-GC-0113</t>
        </is>
      </c>
      <c r="B951" s="16" t="inlineStr">
        <is>
          <t>Git Conflict Matrix</t>
        </is>
      </c>
      <c r="C951" s="16" t="inlineStr">
        <is>
          <t>Linked workspace - Add vs Reparent</t>
        </is>
      </c>
      <c r="D951" s="16" t="inlineStr">
        <is>
          <t>Edge Case</t>
        </is>
      </c>
      <c r="E951" s="16" t="inlineStr">
        <is>
          <t>Conflict on Linked workspace: Tree conflict</t>
        </is>
      </c>
      <c r="F951" s="16" t="inlineStr">
        <is>
          <t>Linked workspace; two devices/sessions.</t>
        </is>
      </c>
      <c r="G951" s="16" t="inlineStr">
        <is>
          <t>1. A adds new request under folder F.
2. B moves F under a different parent.
3. B pulls.</t>
        </is>
      </c>
      <c r="H951" s="16" t="inlineStr">
        <is>
          <t>bucket=Linked workspace; shape=Add vs Reparent</t>
        </is>
      </c>
      <c r="I951" s="16" t="inlineStr">
        <is>
          <t>Tree merge: new request follows F to its new parent.</t>
        </is>
      </c>
      <c r="J951" s="16" t="inlineStr"/>
      <c r="K951" s="16" t="inlineStr">
        <is>
          <t>Not Run</t>
        </is>
      </c>
      <c r="L951" s="16" t="inlineStr">
        <is>
          <t>Medium</t>
        </is>
      </c>
      <c r="M951" s="16" t="inlineStr"/>
      <c r="N951" s="16" t="inlineStr"/>
      <c r="O951" s="16" t="inlineStr"/>
    </row>
    <row r="952" ht="72" customHeight="1">
      <c r="A952" s="16" t="inlineStr">
        <is>
          <t>TC-GC-0114</t>
        </is>
      </c>
      <c r="B952" s="16" t="inlineStr">
        <is>
          <t>Git Conflict Matrix</t>
        </is>
      </c>
      <c r="C952" s="16" t="inlineStr">
        <is>
          <t>Linked workspace - Bulk edits</t>
        </is>
      </c>
      <c r="D952" s="16" t="inlineStr">
        <is>
          <t>Performance</t>
        </is>
      </c>
      <c r="E952" s="16" t="inlineStr">
        <is>
          <t>Conflict on Linked workspace: 10 changes each side</t>
        </is>
      </c>
      <c r="F952" s="16" t="inlineStr">
        <is>
          <t>Linked workspace; two devices/sessions.</t>
        </is>
      </c>
      <c r="G952" s="16" t="inlineStr">
        <is>
          <t>1. A makes 10 edits; B makes 10 disjoint edits.
2. B pulls.</t>
        </is>
      </c>
      <c r="H952" s="16" t="inlineStr">
        <is>
          <t>bucket=Linked workspace; shape=Bulk edits</t>
        </is>
      </c>
      <c r="I952" s="16" t="inlineStr">
        <is>
          <t>All 20 merged; no false positives in conflict modal.</t>
        </is>
      </c>
      <c r="J952" s="16" t="inlineStr"/>
      <c r="K952" s="16" t="inlineStr">
        <is>
          <t>Not Run</t>
        </is>
      </c>
      <c r="L952" s="16" t="inlineStr">
        <is>
          <t>Medium</t>
        </is>
      </c>
      <c r="M952" s="16" t="inlineStr"/>
      <c r="N952" s="16" t="inlineStr"/>
      <c r="O952" s="16" t="inlineStr"/>
    </row>
    <row r="953" ht="72" customHeight="1">
      <c r="A953" s="16" t="inlineStr">
        <is>
          <t>TC-GC-0115</t>
        </is>
      </c>
      <c r="B953" s="16" t="inlineStr">
        <is>
          <t>Git Conflict Matrix</t>
        </is>
      </c>
      <c r="C953" s="16" t="inlineStr">
        <is>
          <t>Linked request override - Add vs Add same id</t>
        </is>
      </c>
      <c r="D953" s="16" t="inlineStr">
        <is>
          <t>Negative</t>
        </is>
      </c>
      <c r="E953" s="16" t="inlineStr">
        <is>
          <t>Conflict on Linked request override: Add same entity on two devices</t>
        </is>
      </c>
      <c r="F953" s="16" t="inlineStr">
        <is>
          <t>Linked workspace; two devices/sessions.</t>
        </is>
      </c>
      <c r="G953" s="16" t="inlineStr">
        <is>
          <t>1. Device A creates entity X with id I.
2. Device B creates same id I (rare; typically only if id collision).
3. B pulls A's commit.</t>
        </is>
      </c>
      <c r="H953" s="16" t="inlineStr">
        <is>
          <t>bucket=Linked request override; shape=Add vs Add same id</t>
        </is>
      </c>
      <c r="I953" s="16" t="inlineStr">
        <is>
          <t>Detected as conflict; user chooses theirs/mine/manual.</t>
        </is>
      </c>
      <c r="J953" s="16" t="inlineStr"/>
      <c r="K953" s="16" t="inlineStr">
        <is>
          <t>Not Run</t>
        </is>
      </c>
      <c r="L953" s="16" t="inlineStr">
        <is>
          <t>Medium</t>
        </is>
      </c>
      <c r="M953" s="16" t="inlineStr"/>
      <c r="N953" s="16" t="inlineStr"/>
      <c r="O953" s="16" t="inlineStr"/>
    </row>
    <row r="954" ht="72" customHeight="1">
      <c r="A954" s="16" t="inlineStr">
        <is>
          <t>TC-GC-0116</t>
        </is>
      </c>
      <c r="B954" s="16" t="inlineStr">
        <is>
          <t>Git Conflict Matrix</t>
        </is>
      </c>
      <c r="C954" s="16" t="inlineStr">
        <is>
          <t>Linked request override - Edit vs Edit same field</t>
        </is>
      </c>
      <c r="D954" s="16" t="inlineStr">
        <is>
          <t>Negative</t>
        </is>
      </c>
      <c r="E954" s="16" t="inlineStr">
        <is>
          <t>Conflict on Linked request override: Both edit same field differently</t>
        </is>
      </c>
      <c r="F954" s="16" t="inlineStr">
        <is>
          <t>Linked workspace; two devices/sessions.</t>
        </is>
      </c>
      <c r="G954" s="16" t="inlineStr">
        <is>
          <t>1. A edits field F to 'a'.
2. B edits same F to 'b'.
3. B pulls.</t>
        </is>
      </c>
      <c r="H954" s="16" t="inlineStr">
        <is>
          <t>bucket=Linked request override; shape=Edit vs Edit same field</t>
        </is>
      </c>
      <c r="I954" s="16" t="inlineStr">
        <is>
          <t>Conflict modal lists field F with both values; user picks resolution.</t>
        </is>
      </c>
      <c r="J954" s="16" t="inlineStr"/>
      <c r="K954" s="16" t="inlineStr">
        <is>
          <t>Not Run</t>
        </is>
      </c>
      <c r="L954" s="16" t="inlineStr">
        <is>
          <t>High</t>
        </is>
      </c>
      <c r="M954" s="16" t="inlineStr"/>
      <c r="N954" s="16" t="inlineStr"/>
      <c r="O954" s="16" t="inlineStr"/>
    </row>
    <row r="955" ht="72" customHeight="1">
      <c r="A955" s="16" t="inlineStr">
        <is>
          <t>TC-GC-0117</t>
        </is>
      </c>
      <c r="B955" s="16" t="inlineStr">
        <is>
          <t>Git Conflict Matrix</t>
        </is>
      </c>
      <c r="C955" s="16" t="inlineStr">
        <is>
          <t>Linked request override - Edit vs Edit different fields</t>
        </is>
      </c>
      <c r="D955" s="16" t="inlineStr">
        <is>
          <t>Functional</t>
        </is>
      </c>
      <c r="E955" s="16" t="inlineStr">
        <is>
          <t>Conflict on Linked request override: Disjoint edits auto-merge</t>
        </is>
      </c>
      <c r="F955" s="16" t="inlineStr">
        <is>
          <t>Linked workspace; two devices/sessions.</t>
        </is>
      </c>
      <c r="G955" s="16" t="inlineStr">
        <is>
          <t>1. A edits field F1; B edits F2.
2. B pulls.</t>
        </is>
      </c>
      <c r="H955" s="16" t="inlineStr">
        <is>
          <t>bucket=Linked request override; shape=Edit vs Edit different fields</t>
        </is>
      </c>
      <c r="I955" s="16" t="inlineStr">
        <is>
          <t>Auto-merged; no conflict modal; final state has both edits.</t>
        </is>
      </c>
      <c r="J955" s="16" t="inlineStr"/>
      <c r="K955" s="16" t="inlineStr">
        <is>
          <t>Not Run</t>
        </is>
      </c>
      <c r="L955" s="16" t="inlineStr">
        <is>
          <t>High</t>
        </is>
      </c>
      <c r="M955" s="16" t="inlineStr"/>
      <c r="N955" s="16" t="inlineStr"/>
      <c r="O955" s="16" t="inlineStr"/>
    </row>
    <row r="956" ht="72" customHeight="1">
      <c r="A956" s="16" t="inlineStr">
        <is>
          <t>TC-GC-0118</t>
        </is>
      </c>
      <c r="B956" s="16" t="inlineStr">
        <is>
          <t>Git Conflict Matrix</t>
        </is>
      </c>
      <c r="C956" s="16" t="inlineStr">
        <is>
          <t>Linked request override - Edit vs Delete</t>
        </is>
      </c>
      <c r="D956" s="16" t="inlineStr">
        <is>
          <t>Negative</t>
        </is>
      </c>
      <c r="E956" s="16" t="inlineStr">
        <is>
          <t>Conflict on Linked request override: One edits, other deletes</t>
        </is>
      </c>
      <c r="F956" s="16" t="inlineStr">
        <is>
          <t>Linked workspace; two devices/sessions.</t>
        </is>
      </c>
      <c r="G956" s="16" t="inlineStr">
        <is>
          <t>1. A edits entity X.
2. B deletes X.
3. B pulls.</t>
        </is>
      </c>
      <c r="H956" s="16" t="inlineStr">
        <is>
          <t>bucket=Linked request override; shape=Edit vs Delete</t>
        </is>
      </c>
      <c r="I956" s="16" t="inlineStr">
        <is>
          <t>Conflict: keep edit (resurrect) vs accept delete; explicit choice.</t>
        </is>
      </c>
      <c r="J956" s="16" t="inlineStr"/>
      <c r="K956" s="16" t="inlineStr">
        <is>
          <t>Not Run</t>
        </is>
      </c>
      <c r="L956" s="16" t="inlineStr">
        <is>
          <t>High</t>
        </is>
      </c>
      <c r="M956" s="16" t="inlineStr"/>
      <c r="N956" s="16" t="inlineStr"/>
      <c r="O956" s="16" t="inlineStr"/>
    </row>
    <row r="957" ht="72" customHeight="1">
      <c r="A957" s="16" t="inlineStr">
        <is>
          <t>TC-GC-0119</t>
        </is>
      </c>
      <c r="B957" s="16" t="inlineStr">
        <is>
          <t>Git Conflict Matrix</t>
        </is>
      </c>
      <c r="C957" s="16" t="inlineStr">
        <is>
          <t>Linked request override - Delete vs Edit</t>
        </is>
      </c>
      <c r="D957" s="16" t="inlineStr">
        <is>
          <t>Negative</t>
        </is>
      </c>
      <c r="E957" s="16" t="inlineStr">
        <is>
          <t>Conflict on Linked request override: Mirror of above</t>
        </is>
      </c>
      <c r="F957" s="16" t="inlineStr">
        <is>
          <t>Linked workspace; two devices/sessions.</t>
        </is>
      </c>
      <c r="G957" s="16" t="inlineStr">
        <is>
          <t>1. A deletes X.
2. B edits X.
3. B pulls.</t>
        </is>
      </c>
      <c r="H957" s="16" t="inlineStr">
        <is>
          <t>bucket=Linked request override; shape=Delete vs Edit</t>
        </is>
      </c>
      <c r="I957" s="16" t="inlineStr">
        <is>
          <t>Same: keep edit or accept delete.</t>
        </is>
      </c>
      <c r="J957" s="16" t="inlineStr"/>
      <c r="K957" s="16" t="inlineStr">
        <is>
          <t>Not Run</t>
        </is>
      </c>
      <c r="L957" s="16" t="inlineStr">
        <is>
          <t>High</t>
        </is>
      </c>
      <c r="M957" s="16" t="inlineStr"/>
      <c r="N957" s="16" t="inlineStr"/>
      <c r="O957" s="16" t="inlineStr"/>
    </row>
    <row r="958" ht="72" customHeight="1">
      <c r="A958" s="16" t="inlineStr">
        <is>
          <t>TC-GC-0120</t>
        </is>
      </c>
      <c r="B958" s="16" t="inlineStr">
        <is>
          <t>Git Conflict Matrix</t>
        </is>
      </c>
      <c r="C958" s="16" t="inlineStr">
        <is>
          <t>Linked request override - Delete vs Delete</t>
        </is>
      </c>
      <c r="D958" s="16" t="inlineStr">
        <is>
          <t>Functional</t>
        </is>
      </c>
      <c r="E958" s="16" t="inlineStr">
        <is>
          <t>Conflict on Linked request override: Both delete - no conflict</t>
        </is>
      </c>
      <c r="F958" s="16" t="inlineStr">
        <is>
          <t>Linked workspace; two devices/sessions.</t>
        </is>
      </c>
      <c r="G958" s="16" t="inlineStr">
        <is>
          <t>1. Both delete X.
2. B pulls.</t>
        </is>
      </c>
      <c r="H958" s="16" t="inlineStr">
        <is>
          <t>bucket=Linked request override; shape=Delete vs Delete</t>
        </is>
      </c>
      <c r="I958" s="16" t="inlineStr">
        <is>
          <t>Auto-merged; X gone in both.</t>
        </is>
      </c>
      <c r="J958" s="16" t="inlineStr"/>
      <c r="K958" s="16" t="inlineStr">
        <is>
          <t>Not Run</t>
        </is>
      </c>
      <c r="L958" s="16" t="inlineStr">
        <is>
          <t>Medium</t>
        </is>
      </c>
      <c r="M958" s="16" t="inlineStr"/>
      <c r="N958" s="16" t="inlineStr"/>
      <c r="O958" s="16" t="inlineStr"/>
    </row>
    <row r="959" ht="72" customHeight="1">
      <c r="A959" s="16" t="inlineStr">
        <is>
          <t>TC-GC-0121</t>
        </is>
      </c>
      <c r="B959" s="16" t="inlineStr">
        <is>
          <t>Git Conflict Matrix</t>
        </is>
      </c>
      <c r="C959" s="16" t="inlineStr">
        <is>
          <t>Linked request override - Reorder vs Reorder</t>
        </is>
      </c>
      <c r="D959" s="16" t="inlineStr">
        <is>
          <t>Negative</t>
        </is>
      </c>
      <c r="E959" s="16" t="inlineStr">
        <is>
          <t>Conflict on Linked request override: Order conflicts</t>
        </is>
      </c>
      <c r="F959" s="16" t="inlineStr">
        <is>
          <t>Linked workspace; two devices/sessions.</t>
        </is>
      </c>
      <c r="G959" s="16" t="inlineStr">
        <is>
          <t>1. A reorders A,B,C to C,B,A.
2. B reorders to B,A,C.
3. B pulls.</t>
        </is>
      </c>
      <c r="H959" s="16" t="inlineStr">
        <is>
          <t>bucket=Linked request override; shape=Reorder vs Reorder</t>
        </is>
      </c>
      <c r="I959" s="16" t="inlineStr">
        <is>
          <t>Conflict on order; user picks one ordering or merges manually.</t>
        </is>
      </c>
      <c r="J959" s="16" t="inlineStr"/>
      <c r="K959" s="16" t="inlineStr">
        <is>
          <t>Not Run</t>
        </is>
      </c>
      <c r="L959" s="16" t="inlineStr">
        <is>
          <t>Medium</t>
        </is>
      </c>
      <c r="M959" s="16" t="inlineStr"/>
      <c r="N959" s="16" t="inlineStr"/>
      <c r="O959" s="16" t="inlineStr"/>
    </row>
    <row r="960" ht="72" customHeight="1">
      <c r="A960" s="16" t="inlineStr">
        <is>
          <t>TC-GC-0122</t>
        </is>
      </c>
      <c r="B960" s="16" t="inlineStr">
        <is>
          <t>Git Conflict Matrix</t>
        </is>
      </c>
      <c r="C960" s="16" t="inlineStr">
        <is>
          <t>Linked request override - Rename vs Rename</t>
        </is>
      </c>
      <c r="D960" s="16" t="inlineStr">
        <is>
          <t>Negative</t>
        </is>
      </c>
      <c r="E960" s="16" t="inlineStr">
        <is>
          <t>Conflict on Linked request override: Both rename same entity</t>
        </is>
      </c>
      <c r="F960" s="16" t="inlineStr">
        <is>
          <t>Linked workspace; two devices/sessions.</t>
        </is>
      </c>
      <c r="G960" s="16" t="inlineStr">
        <is>
          <t>1. A renames X to Y; B renames X to Z.
2. B pulls.</t>
        </is>
      </c>
      <c r="H960" s="16" t="inlineStr">
        <is>
          <t>bucket=Linked request override; shape=Rename vs Rename</t>
        </is>
      </c>
      <c r="I960" s="16" t="inlineStr">
        <is>
          <t>Conflict; user picks new name.</t>
        </is>
      </c>
      <c r="J960" s="16" t="inlineStr"/>
      <c r="K960" s="16" t="inlineStr">
        <is>
          <t>Not Run</t>
        </is>
      </c>
      <c r="L960" s="16" t="inlineStr">
        <is>
          <t>Medium</t>
        </is>
      </c>
      <c r="M960" s="16" t="inlineStr"/>
      <c r="N960" s="16" t="inlineStr"/>
      <c r="O960" s="16" t="inlineStr"/>
    </row>
    <row r="961" ht="72" customHeight="1">
      <c r="A961" s="16" t="inlineStr">
        <is>
          <t>TC-GC-0123</t>
        </is>
      </c>
      <c r="B961" s="16" t="inlineStr">
        <is>
          <t>Git Conflict Matrix</t>
        </is>
      </c>
      <c r="C961" s="16" t="inlineStr">
        <is>
          <t>Linked request override - Add vs Reparent</t>
        </is>
      </c>
      <c r="D961" s="16" t="inlineStr">
        <is>
          <t>Edge Case</t>
        </is>
      </c>
      <c r="E961" s="16" t="inlineStr">
        <is>
          <t>Conflict on Linked request override: Tree conflict</t>
        </is>
      </c>
      <c r="F961" s="16" t="inlineStr">
        <is>
          <t>Linked workspace; two devices/sessions.</t>
        </is>
      </c>
      <c r="G961" s="16" t="inlineStr">
        <is>
          <t>1. A adds new request under folder F.
2. B moves F under a different parent.
3. B pulls.</t>
        </is>
      </c>
      <c r="H961" s="16" t="inlineStr">
        <is>
          <t>bucket=Linked request override; shape=Add vs Reparent</t>
        </is>
      </c>
      <c r="I961" s="16" t="inlineStr">
        <is>
          <t>Tree merge: new request follows F to its new parent.</t>
        </is>
      </c>
      <c r="J961" s="16" t="inlineStr"/>
      <c r="K961" s="16" t="inlineStr">
        <is>
          <t>Not Run</t>
        </is>
      </c>
      <c r="L961" s="16" t="inlineStr">
        <is>
          <t>Medium</t>
        </is>
      </c>
      <c r="M961" s="16" t="inlineStr"/>
      <c r="N961" s="16" t="inlineStr"/>
      <c r="O961" s="16" t="inlineStr"/>
    </row>
    <row r="962" ht="72" customHeight="1">
      <c r="A962" s="16" t="inlineStr">
        <is>
          <t>TC-GC-0124</t>
        </is>
      </c>
      <c r="B962" s="16" t="inlineStr">
        <is>
          <t>Git Conflict Matrix</t>
        </is>
      </c>
      <c r="C962" s="16" t="inlineStr">
        <is>
          <t>Linked request override - Bulk edits</t>
        </is>
      </c>
      <c r="D962" s="16" t="inlineStr">
        <is>
          <t>Performance</t>
        </is>
      </c>
      <c r="E962" s="16" t="inlineStr">
        <is>
          <t>Conflict on Linked request override: 10 changes each side</t>
        </is>
      </c>
      <c r="F962" s="16" t="inlineStr">
        <is>
          <t>Linked workspace; two devices/sessions.</t>
        </is>
      </c>
      <c r="G962" s="16" t="inlineStr">
        <is>
          <t>1. A makes 10 edits; B makes 10 disjoint edits.
2. B pulls.</t>
        </is>
      </c>
      <c r="H962" s="16" t="inlineStr">
        <is>
          <t>bucket=Linked request override; shape=Bulk edits</t>
        </is>
      </c>
      <c r="I962" s="16" t="inlineStr">
        <is>
          <t>All 20 merged; no false positives in conflict modal.</t>
        </is>
      </c>
      <c r="J962" s="16" t="inlineStr"/>
      <c r="K962" s="16" t="inlineStr">
        <is>
          <t>Not Run</t>
        </is>
      </c>
      <c r="L962" s="16" t="inlineStr">
        <is>
          <t>Medium</t>
        </is>
      </c>
      <c r="M962" s="16" t="inlineStr"/>
      <c r="N962" s="16" t="inlineStr"/>
      <c r="O962" s="16" t="inlineStr"/>
    </row>
    <row r="963" ht="72" customHeight="1">
      <c r="A963" s="16" t="inlineStr">
        <is>
          <t>TC-GC-0125</t>
        </is>
      </c>
      <c r="B963" s="16" t="inlineStr">
        <is>
          <t>Git Conflict Matrix</t>
        </is>
      </c>
      <c r="C963" s="16" t="inlineStr">
        <is>
          <t>Linked env var override - Add vs Add same id</t>
        </is>
      </c>
      <c r="D963" s="16" t="inlineStr">
        <is>
          <t>Negative</t>
        </is>
      </c>
      <c r="E963" s="16" t="inlineStr">
        <is>
          <t>Conflict on Linked env var override: Add same entity on two devices</t>
        </is>
      </c>
      <c r="F963" s="16" t="inlineStr">
        <is>
          <t>Linked workspace; two devices/sessions.</t>
        </is>
      </c>
      <c r="G963" s="16" t="inlineStr">
        <is>
          <t>1. Device A creates entity X with id I.
2. Device B creates same id I (rare; typically only if id collision).
3. B pulls A's commit.</t>
        </is>
      </c>
      <c r="H963" s="16" t="inlineStr">
        <is>
          <t>bucket=Linked env var override; shape=Add vs Add same id</t>
        </is>
      </c>
      <c r="I963" s="16" t="inlineStr">
        <is>
          <t>Detected as conflict; user chooses theirs/mine/manual.</t>
        </is>
      </c>
      <c r="J963" s="16" t="inlineStr"/>
      <c r="K963" s="16" t="inlineStr">
        <is>
          <t>Not Run</t>
        </is>
      </c>
      <c r="L963" s="16" t="inlineStr">
        <is>
          <t>Medium</t>
        </is>
      </c>
      <c r="M963" s="16" t="inlineStr"/>
      <c r="N963" s="16" t="inlineStr"/>
      <c r="O963" s="16" t="inlineStr"/>
    </row>
    <row r="964" ht="72" customHeight="1">
      <c r="A964" s="16" t="inlineStr">
        <is>
          <t>TC-GC-0126</t>
        </is>
      </c>
      <c r="B964" s="16" t="inlineStr">
        <is>
          <t>Git Conflict Matrix</t>
        </is>
      </c>
      <c r="C964" s="16" t="inlineStr">
        <is>
          <t>Linked env var override - Edit vs Edit same field</t>
        </is>
      </c>
      <c r="D964" s="16" t="inlineStr">
        <is>
          <t>Negative</t>
        </is>
      </c>
      <c r="E964" s="16" t="inlineStr">
        <is>
          <t>Conflict on Linked env var override: Both edit same field differently</t>
        </is>
      </c>
      <c r="F964" s="16" t="inlineStr">
        <is>
          <t>Linked workspace; two devices/sessions.</t>
        </is>
      </c>
      <c r="G964" s="16" t="inlineStr">
        <is>
          <t>1. A edits field F to 'a'.
2. B edits same F to 'b'.
3. B pulls.</t>
        </is>
      </c>
      <c r="H964" s="16" t="inlineStr">
        <is>
          <t>bucket=Linked env var override; shape=Edit vs Edit same field</t>
        </is>
      </c>
      <c r="I964" s="16" t="inlineStr">
        <is>
          <t>Conflict modal lists field F with both values; user picks resolution.</t>
        </is>
      </c>
      <c r="J964" s="16" t="inlineStr"/>
      <c r="K964" s="16" t="inlineStr">
        <is>
          <t>Not Run</t>
        </is>
      </c>
      <c r="L964" s="16" t="inlineStr">
        <is>
          <t>High</t>
        </is>
      </c>
      <c r="M964" s="16" t="inlineStr"/>
      <c r="N964" s="16" t="inlineStr"/>
      <c r="O964" s="16" t="inlineStr"/>
    </row>
    <row r="965" ht="72" customHeight="1">
      <c r="A965" s="16" t="inlineStr">
        <is>
          <t>TC-GC-0127</t>
        </is>
      </c>
      <c r="B965" s="16" t="inlineStr">
        <is>
          <t>Git Conflict Matrix</t>
        </is>
      </c>
      <c r="C965" s="16" t="inlineStr">
        <is>
          <t>Linked env var override - Edit vs Edit different fields</t>
        </is>
      </c>
      <c r="D965" s="16" t="inlineStr">
        <is>
          <t>Functional</t>
        </is>
      </c>
      <c r="E965" s="16" t="inlineStr">
        <is>
          <t>Conflict on Linked env var override: Disjoint edits auto-merge</t>
        </is>
      </c>
      <c r="F965" s="16" t="inlineStr">
        <is>
          <t>Linked workspace; two devices/sessions.</t>
        </is>
      </c>
      <c r="G965" s="16" t="inlineStr">
        <is>
          <t>1. A edits field F1; B edits F2.
2. B pulls.</t>
        </is>
      </c>
      <c r="H965" s="16" t="inlineStr">
        <is>
          <t>bucket=Linked env var override; shape=Edit vs Edit different fields</t>
        </is>
      </c>
      <c r="I965" s="16" t="inlineStr">
        <is>
          <t>Auto-merged; no conflict modal; final state has both edits.</t>
        </is>
      </c>
      <c r="J965" s="16" t="inlineStr"/>
      <c r="K965" s="16" t="inlineStr">
        <is>
          <t>Not Run</t>
        </is>
      </c>
      <c r="L965" s="16" t="inlineStr">
        <is>
          <t>High</t>
        </is>
      </c>
      <c r="M965" s="16" t="inlineStr"/>
      <c r="N965" s="16" t="inlineStr"/>
      <c r="O965" s="16" t="inlineStr"/>
    </row>
    <row r="966" ht="72" customHeight="1">
      <c r="A966" s="16" t="inlineStr">
        <is>
          <t>TC-GC-0128</t>
        </is>
      </c>
      <c r="B966" s="16" t="inlineStr">
        <is>
          <t>Git Conflict Matrix</t>
        </is>
      </c>
      <c r="C966" s="16" t="inlineStr">
        <is>
          <t>Linked env var override - Edit vs Delete</t>
        </is>
      </c>
      <c r="D966" s="16" t="inlineStr">
        <is>
          <t>Negative</t>
        </is>
      </c>
      <c r="E966" s="16" t="inlineStr">
        <is>
          <t>Conflict on Linked env var override: One edits, other deletes</t>
        </is>
      </c>
      <c r="F966" s="16" t="inlineStr">
        <is>
          <t>Linked workspace; two devices/sessions.</t>
        </is>
      </c>
      <c r="G966" s="16" t="inlineStr">
        <is>
          <t>1. A edits entity X.
2. B deletes X.
3. B pulls.</t>
        </is>
      </c>
      <c r="H966" s="16" t="inlineStr">
        <is>
          <t>bucket=Linked env var override; shape=Edit vs Delete</t>
        </is>
      </c>
      <c r="I966" s="16" t="inlineStr">
        <is>
          <t>Conflict: keep edit (resurrect) vs accept delete; explicit choice.</t>
        </is>
      </c>
      <c r="J966" s="16" t="inlineStr"/>
      <c r="K966" s="16" t="inlineStr">
        <is>
          <t>Not Run</t>
        </is>
      </c>
      <c r="L966" s="16" t="inlineStr">
        <is>
          <t>High</t>
        </is>
      </c>
      <c r="M966" s="16" t="inlineStr"/>
      <c r="N966" s="16" t="inlineStr"/>
      <c r="O966" s="16" t="inlineStr"/>
    </row>
    <row r="967" ht="72" customHeight="1">
      <c r="A967" s="16" t="inlineStr">
        <is>
          <t>TC-GC-0129</t>
        </is>
      </c>
      <c r="B967" s="16" t="inlineStr">
        <is>
          <t>Git Conflict Matrix</t>
        </is>
      </c>
      <c r="C967" s="16" t="inlineStr">
        <is>
          <t>Linked env var override - Delete vs Edit</t>
        </is>
      </c>
      <c r="D967" s="16" t="inlineStr">
        <is>
          <t>Negative</t>
        </is>
      </c>
      <c r="E967" s="16" t="inlineStr">
        <is>
          <t>Conflict on Linked env var override: Mirror of above</t>
        </is>
      </c>
      <c r="F967" s="16" t="inlineStr">
        <is>
          <t>Linked workspace; two devices/sessions.</t>
        </is>
      </c>
      <c r="G967" s="16" t="inlineStr">
        <is>
          <t>1. A deletes X.
2. B edits X.
3. B pulls.</t>
        </is>
      </c>
      <c r="H967" s="16" t="inlineStr">
        <is>
          <t>bucket=Linked env var override; shape=Delete vs Edit</t>
        </is>
      </c>
      <c r="I967" s="16" t="inlineStr">
        <is>
          <t>Same: keep edit or accept delete.</t>
        </is>
      </c>
      <c r="J967" s="16" t="inlineStr"/>
      <c r="K967" s="16" t="inlineStr">
        <is>
          <t>Not Run</t>
        </is>
      </c>
      <c r="L967" s="16" t="inlineStr">
        <is>
          <t>High</t>
        </is>
      </c>
      <c r="M967" s="16" t="inlineStr"/>
      <c r="N967" s="16" t="inlineStr"/>
      <c r="O967" s="16" t="inlineStr"/>
    </row>
    <row r="968" ht="72" customHeight="1">
      <c r="A968" s="16" t="inlineStr">
        <is>
          <t>TC-GC-0130</t>
        </is>
      </c>
      <c r="B968" s="16" t="inlineStr">
        <is>
          <t>Git Conflict Matrix</t>
        </is>
      </c>
      <c r="C968" s="16" t="inlineStr">
        <is>
          <t>Linked env var override - Delete vs Delete</t>
        </is>
      </c>
      <c r="D968" s="16" t="inlineStr">
        <is>
          <t>Functional</t>
        </is>
      </c>
      <c r="E968" s="16" t="inlineStr">
        <is>
          <t>Conflict on Linked env var override: Both delete - no conflict</t>
        </is>
      </c>
      <c r="F968" s="16" t="inlineStr">
        <is>
          <t>Linked workspace; two devices/sessions.</t>
        </is>
      </c>
      <c r="G968" s="16" t="inlineStr">
        <is>
          <t>1. Both delete X.
2. B pulls.</t>
        </is>
      </c>
      <c r="H968" s="16" t="inlineStr">
        <is>
          <t>bucket=Linked env var override; shape=Delete vs Delete</t>
        </is>
      </c>
      <c r="I968" s="16" t="inlineStr">
        <is>
          <t>Auto-merged; X gone in both.</t>
        </is>
      </c>
      <c r="J968" s="16" t="inlineStr"/>
      <c r="K968" s="16" t="inlineStr">
        <is>
          <t>Not Run</t>
        </is>
      </c>
      <c r="L968" s="16" t="inlineStr">
        <is>
          <t>Medium</t>
        </is>
      </c>
      <c r="M968" s="16" t="inlineStr"/>
      <c r="N968" s="16" t="inlineStr"/>
      <c r="O968" s="16" t="inlineStr"/>
    </row>
    <row r="969" ht="72" customHeight="1">
      <c r="A969" s="16" t="inlineStr">
        <is>
          <t>TC-GC-0131</t>
        </is>
      </c>
      <c r="B969" s="16" t="inlineStr">
        <is>
          <t>Git Conflict Matrix</t>
        </is>
      </c>
      <c r="C969" s="16" t="inlineStr">
        <is>
          <t>Linked env var override - Reorder vs Reorder</t>
        </is>
      </c>
      <c r="D969" s="16" t="inlineStr">
        <is>
          <t>Negative</t>
        </is>
      </c>
      <c r="E969" s="16" t="inlineStr">
        <is>
          <t>Conflict on Linked env var override: Order conflicts</t>
        </is>
      </c>
      <c r="F969" s="16" t="inlineStr">
        <is>
          <t>Linked workspace; two devices/sessions.</t>
        </is>
      </c>
      <c r="G969" s="16" t="inlineStr">
        <is>
          <t>1. A reorders A,B,C to C,B,A.
2. B reorders to B,A,C.
3. B pulls.</t>
        </is>
      </c>
      <c r="H969" s="16" t="inlineStr">
        <is>
          <t>bucket=Linked env var override; shape=Reorder vs Reorder</t>
        </is>
      </c>
      <c r="I969" s="16" t="inlineStr">
        <is>
          <t>Conflict on order; user picks one ordering or merges manually.</t>
        </is>
      </c>
      <c r="J969" s="16" t="inlineStr"/>
      <c r="K969" s="16" t="inlineStr">
        <is>
          <t>Not Run</t>
        </is>
      </c>
      <c r="L969" s="16" t="inlineStr">
        <is>
          <t>Medium</t>
        </is>
      </c>
      <c r="M969" s="16" t="inlineStr"/>
      <c r="N969" s="16" t="inlineStr"/>
      <c r="O969" s="16" t="inlineStr"/>
    </row>
    <row r="970" ht="72" customHeight="1">
      <c r="A970" s="16" t="inlineStr">
        <is>
          <t>TC-GC-0132</t>
        </is>
      </c>
      <c r="B970" s="16" t="inlineStr">
        <is>
          <t>Git Conflict Matrix</t>
        </is>
      </c>
      <c r="C970" s="16" t="inlineStr">
        <is>
          <t>Linked env var override - Rename vs Rename</t>
        </is>
      </c>
      <c r="D970" s="16" t="inlineStr">
        <is>
          <t>Negative</t>
        </is>
      </c>
      <c r="E970" s="16" t="inlineStr">
        <is>
          <t>Conflict on Linked env var override: Both rename same entity</t>
        </is>
      </c>
      <c r="F970" s="16" t="inlineStr">
        <is>
          <t>Linked workspace; two devices/sessions.</t>
        </is>
      </c>
      <c r="G970" s="16" t="inlineStr">
        <is>
          <t>1. A renames X to Y; B renames X to Z.
2. B pulls.</t>
        </is>
      </c>
      <c r="H970" s="16" t="inlineStr">
        <is>
          <t>bucket=Linked env var override; shape=Rename vs Rename</t>
        </is>
      </c>
      <c r="I970" s="16" t="inlineStr">
        <is>
          <t>Conflict; user picks new name.</t>
        </is>
      </c>
      <c r="J970" s="16" t="inlineStr"/>
      <c r="K970" s="16" t="inlineStr">
        <is>
          <t>Not Run</t>
        </is>
      </c>
      <c r="L970" s="16" t="inlineStr">
        <is>
          <t>Medium</t>
        </is>
      </c>
      <c r="M970" s="16" t="inlineStr"/>
      <c r="N970" s="16" t="inlineStr"/>
      <c r="O970" s="16" t="inlineStr"/>
    </row>
    <row r="971" ht="72" customHeight="1">
      <c r="A971" s="16" t="inlineStr">
        <is>
          <t>TC-GC-0133</t>
        </is>
      </c>
      <c r="B971" s="16" t="inlineStr">
        <is>
          <t>Git Conflict Matrix</t>
        </is>
      </c>
      <c r="C971" s="16" t="inlineStr">
        <is>
          <t>Linked env var override - Add vs Reparent</t>
        </is>
      </c>
      <c r="D971" s="16" t="inlineStr">
        <is>
          <t>Edge Case</t>
        </is>
      </c>
      <c r="E971" s="16" t="inlineStr">
        <is>
          <t>Conflict on Linked env var override: Tree conflict</t>
        </is>
      </c>
      <c r="F971" s="16" t="inlineStr">
        <is>
          <t>Linked workspace; two devices/sessions.</t>
        </is>
      </c>
      <c r="G971" s="16" t="inlineStr">
        <is>
          <t>1. A adds new request under folder F.
2. B moves F under a different parent.
3. B pulls.</t>
        </is>
      </c>
      <c r="H971" s="16" t="inlineStr">
        <is>
          <t>bucket=Linked env var override; shape=Add vs Reparent</t>
        </is>
      </c>
      <c r="I971" s="16" t="inlineStr">
        <is>
          <t>Tree merge: new request follows F to its new parent.</t>
        </is>
      </c>
      <c r="J971" s="16" t="inlineStr"/>
      <c r="K971" s="16" t="inlineStr">
        <is>
          <t>Not Run</t>
        </is>
      </c>
      <c r="L971" s="16" t="inlineStr">
        <is>
          <t>Medium</t>
        </is>
      </c>
      <c r="M971" s="16" t="inlineStr"/>
      <c r="N971" s="16" t="inlineStr"/>
      <c r="O971" s="16" t="inlineStr"/>
    </row>
    <row r="972" ht="72" customHeight="1">
      <c r="A972" s="16" t="inlineStr">
        <is>
          <t>TC-GC-0134</t>
        </is>
      </c>
      <c r="B972" s="16" t="inlineStr">
        <is>
          <t>Git Conflict Matrix</t>
        </is>
      </c>
      <c r="C972" s="16" t="inlineStr">
        <is>
          <t>Linked env var override - Bulk edits</t>
        </is>
      </c>
      <c r="D972" s="16" t="inlineStr">
        <is>
          <t>Performance</t>
        </is>
      </c>
      <c r="E972" s="16" t="inlineStr">
        <is>
          <t>Conflict on Linked env var override: 10 changes each side</t>
        </is>
      </c>
      <c r="F972" s="16" t="inlineStr">
        <is>
          <t>Linked workspace; two devices/sessions.</t>
        </is>
      </c>
      <c r="G972" s="16" t="inlineStr">
        <is>
          <t>1. A makes 10 edits; B makes 10 disjoint edits.
2. B pulls.</t>
        </is>
      </c>
      <c r="H972" s="16" t="inlineStr">
        <is>
          <t>bucket=Linked env var override; shape=Bulk edits</t>
        </is>
      </c>
      <c r="I972" s="16" t="inlineStr">
        <is>
          <t>All 20 merged; no false positives in conflict modal.</t>
        </is>
      </c>
      <c r="J972" s="16" t="inlineStr"/>
      <c r="K972" s="16" t="inlineStr">
        <is>
          <t>Not Run</t>
        </is>
      </c>
      <c r="L972" s="16" t="inlineStr">
        <is>
          <t>Medium</t>
        </is>
      </c>
      <c r="M972" s="16" t="inlineStr"/>
      <c r="N972" s="16" t="inlineStr"/>
      <c r="O972" s="16" t="inlineStr"/>
    </row>
    <row r="973" ht="72" customHeight="1">
      <c r="A973" s="16" t="inlineStr">
        <is>
          <t>TC-GC-0135</t>
        </is>
      </c>
      <c r="B973" s="16" t="inlineStr">
        <is>
          <t>Git Conflict Matrix</t>
        </is>
      </c>
      <c r="C973" s="16" t="inlineStr">
        <is>
          <t>Global JSON Schema - Add vs Add same id</t>
        </is>
      </c>
      <c r="D973" s="16" t="inlineStr">
        <is>
          <t>Negative</t>
        </is>
      </c>
      <c r="E973" s="16" t="inlineStr">
        <is>
          <t>Conflict on Global JSON Schema: Add same entity on two devices</t>
        </is>
      </c>
      <c r="F973" s="16" t="inlineStr">
        <is>
          <t>Linked workspace; two devices/sessions.</t>
        </is>
      </c>
      <c r="G973" s="16" t="inlineStr">
        <is>
          <t>1. Device A creates entity X with id I.
2. Device B creates same id I (rare; typically only if id collision).
3. B pulls A's commit.</t>
        </is>
      </c>
      <c r="H973" s="16" t="inlineStr">
        <is>
          <t>bucket=Global JSON Schema; shape=Add vs Add same id</t>
        </is>
      </c>
      <c r="I973" s="16" t="inlineStr">
        <is>
          <t>Detected as conflict; user chooses theirs/mine/manual.</t>
        </is>
      </c>
      <c r="J973" s="16" t="inlineStr"/>
      <c r="K973" s="16" t="inlineStr">
        <is>
          <t>Not Run</t>
        </is>
      </c>
      <c r="L973" s="16" t="inlineStr">
        <is>
          <t>Medium</t>
        </is>
      </c>
      <c r="M973" s="16" t="inlineStr"/>
      <c r="N973" s="16" t="inlineStr"/>
      <c r="O973" s="16" t="inlineStr"/>
    </row>
    <row r="974" ht="72" customHeight="1">
      <c r="A974" s="16" t="inlineStr">
        <is>
          <t>TC-GC-0136</t>
        </is>
      </c>
      <c r="B974" s="16" t="inlineStr">
        <is>
          <t>Git Conflict Matrix</t>
        </is>
      </c>
      <c r="C974" s="16" t="inlineStr">
        <is>
          <t>Global JSON Schema - Edit vs Edit same field</t>
        </is>
      </c>
      <c r="D974" s="16" t="inlineStr">
        <is>
          <t>Negative</t>
        </is>
      </c>
      <c r="E974" s="16" t="inlineStr">
        <is>
          <t>Conflict on Global JSON Schema: Both edit same field differently</t>
        </is>
      </c>
      <c r="F974" s="16" t="inlineStr">
        <is>
          <t>Linked workspace; two devices/sessions.</t>
        </is>
      </c>
      <c r="G974" s="16" t="inlineStr">
        <is>
          <t>1. A edits field F to 'a'.
2. B edits same F to 'b'.
3. B pulls.</t>
        </is>
      </c>
      <c r="H974" s="16" t="inlineStr">
        <is>
          <t>bucket=Global JSON Schema; shape=Edit vs Edit same field</t>
        </is>
      </c>
      <c r="I974" s="16" t="inlineStr">
        <is>
          <t>Conflict modal lists field F with both values; user picks resolution.</t>
        </is>
      </c>
      <c r="J974" s="16" t="inlineStr"/>
      <c r="K974" s="16" t="inlineStr">
        <is>
          <t>Not Run</t>
        </is>
      </c>
      <c r="L974" s="16" t="inlineStr">
        <is>
          <t>High</t>
        </is>
      </c>
      <c r="M974" s="16" t="inlineStr"/>
      <c r="N974" s="16" t="inlineStr"/>
      <c r="O974" s="16" t="inlineStr"/>
    </row>
    <row r="975" ht="72" customHeight="1">
      <c r="A975" s="16" t="inlineStr">
        <is>
          <t>TC-GC-0137</t>
        </is>
      </c>
      <c r="B975" s="16" t="inlineStr">
        <is>
          <t>Git Conflict Matrix</t>
        </is>
      </c>
      <c r="C975" s="16" t="inlineStr">
        <is>
          <t>Global JSON Schema - Edit vs Edit different fields</t>
        </is>
      </c>
      <c r="D975" s="16" t="inlineStr">
        <is>
          <t>Functional</t>
        </is>
      </c>
      <c r="E975" s="16" t="inlineStr">
        <is>
          <t>Conflict on Global JSON Schema: Disjoint edits auto-merge</t>
        </is>
      </c>
      <c r="F975" s="16" t="inlineStr">
        <is>
          <t>Linked workspace; two devices/sessions.</t>
        </is>
      </c>
      <c r="G975" s="16" t="inlineStr">
        <is>
          <t>1. A edits field F1; B edits F2.
2. B pulls.</t>
        </is>
      </c>
      <c r="H975" s="16" t="inlineStr">
        <is>
          <t>bucket=Global JSON Schema; shape=Edit vs Edit different fields</t>
        </is>
      </c>
      <c r="I975" s="16" t="inlineStr">
        <is>
          <t>Auto-merged; no conflict modal; final state has both edits.</t>
        </is>
      </c>
      <c r="J975" s="16" t="inlineStr"/>
      <c r="K975" s="16" t="inlineStr">
        <is>
          <t>Not Run</t>
        </is>
      </c>
      <c r="L975" s="16" t="inlineStr">
        <is>
          <t>High</t>
        </is>
      </c>
      <c r="M975" s="16" t="inlineStr"/>
      <c r="N975" s="16" t="inlineStr"/>
      <c r="O975" s="16" t="inlineStr"/>
    </row>
    <row r="976" ht="72" customHeight="1">
      <c r="A976" s="16" t="inlineStr">
        <is>
          <t>TC-GC-0138</t>
        </is>
      </c>
      <c r="B976" s="16" t="inlineStr">
        <is>
          <t>Git Conflict Matrix</t>
        </is>
      </c>
      <c r="C976" s="16" t="inlineStr">
        <is>
          <t>Global JSON Schema - Edit vs Delete</t>
        </is>
      </c>
      <c r="D976" s="16" t="inlineStr">
        <is>
          <t>Negative</t>
        </is>
      </c>
      <c r="E976" s="16" t="inlineStr">
        <is>
          <t>Conflict on Global JSON Schema: One edits, other deletes</t>
        </is>
      </c>
      <c r="F976" s="16" t="inlineStr">
        <is>
          <t>Linked workspace; two devices/sessions.</t>
        </is>
      </c>
      <c r="G976" s="16" t="inlineStr">
        <is>
          <t>1. A edits entity X.
2. B deletes X.
3. B pulls.</t>
        </is>
      </c>
      <c r="H976" s="16" t="inlineStr">
        <is>
          <t>bucket=Global JSON Schema; shape=Edit vs Delete</t>
        </is>
      </c>
      <c r="I976" s="16" t="inlineStr">
        <is>
          <t>Conflict: keep edit (resurrect) vs accept delete; explicit choice.</t>
        </is>
      </c>
      <c r="J976" s="16" t="inlineStr"/>
      <c r="K976" s="16" t="inlineStr">
        <is>
          <t>Not Run</t>
        </is>
      </c>
      <c r="L976" s="16" t="inlineStr">
        <is>
          <t>High</t>
        </is>
      </c>
      <c r="M976" s="16" t="inlineStr"/>
      <c r="N976" s="16" t="inlineStr"/>
      <c r="O976" s="16" t="inlineStr"/>
    </row>
    <row r="977" ht="72" customHeight="1">
      <c r="A977" s="16" t="inlineStr">
        <is>
          <t>TC-GC-0139</t>
        </is>
      </c>
      <c r="B977" s="16" t="inlineStr">
        <is>
          <t>Git Conflict Matrix</t>
        </is>
      </c>
      <c r="C977" s="16" t="inlineStr">
        <is>
          <t>Global JSON Schema - Delete vs Edit</t>
        </is>
      </c>
      <c r="D977" s="16" t="inlineStr">
        <is>
          <t>Negative</t>
        </is>
      </c>
      <c r="E977" s="16" t="inlineStr">
        <is>
          <t>Conflict on Global JSON Schema: Mirror of above</t>
        </is>
      </c>
      <c r="F977" s="16" t="inlineStr">
        <is>
          <t>Linked workspace; two devices/sessions.</t>
        </is>
      </c>
      <c r="G977" s="16" t="inlineStr">
        <is>
          <t>1. A deletes X.
2. B edits X.
3. B pulls.</t>
        </is>
      </c>
      <c r="H977" s="16" t="inlineStr">
        <is>
          <t>bucket=Global JSON Schema; shape=Delete vs Edit</t>
        </is>
      </c>
      <c r="I977" s="16" t="inlineStr">
        <is>
          <t>Same: keep edit or accept delete.</t>
        </is>
      </c>
      <c r="J977" s="16" t="inlineStr"/>
      <c r="K977" s="16" t="inlineStr">
        <is>
          <t>Not Run</t>
        </is>
      </c>
      <c r="L977" s="16" t="inlineStr">
        <is>
          <t>High</t>
        </is>
      </c>
      <c r="M977" s="16" t="inlineStr"/>
      <c r="N977" s="16" t="inlineStr"/>
      <c r="O977" s="16" t="inlineStr"/>
    </row>
    <row r="978" ht="72" customHeight="1">
      <c r="A978" s="16" t="inlineStr">
        <is>
          <t>TC-GC-0140</t>
        </is>
      </c>
      <c r="B978" s="16" t="inlineStr">
        <is>
          <t>Git Conflict Matrix</t>
        </is>
      </c>
      <c r="C978" s="16" t="inlineStr">
        <is>
          <t>Global JSON Schema - Delete vs Delete</t>
        </is>
      </c>
      <c r="D978" s="16" t="inlineStr">
        <is>
          <t>Functional</t>
        </is>
      </c>
      <c r="E978" s="16" t="inlineStr">
        <is>
          <t>Conflict on Global JSON Schema: Both delete - no conflict</t>
        </is>
      </c>
      <c r="F978" s="16" t="inlineStr">
        <is>
          <t>Linked workspace; two devices/sessions.</t>
        </is>
      </c>
      <c r="G978" s="16" t="inlineStr">
        <is>
          <t>1. Both delete X.
2. B pulls.</t>
        </is>
      </c>
      <c r="H978" s="16" t="inlineStr">
        <is>
          <t>bucket=Global JSON Schema; shape=Delete vs Delete</t>
        </is>
      </c>
      <c r="I978" s="16" t="inlineStr">
        <is>
          <t>Auto-merged; X gone in both.</t>
        </is>
      </c>
      <c r="J978" s="16" t="inlineStr"/>
      <c r="K978" s="16" t="inlineStr">
        <is>
          <t>Not Run</t>
        </is>
      </c>
      <c r="L978" s="16" t="inlineStr">
        <is>
          <t>Medium</t>
        </is>
      </c>
      <c r="M978" s="16" t="inlineStr"/>
      <c r="N978" s="16" t="inlineStr"/>
      <c r="O978" s="16" t="inlineStr"/>
    </row>
    <row r="979" ht="72" customHeight="1">
      <c r="A979" s="16" t="inlineStr">
        <is>
          <t>TC-GC-0141</t>
        </is>
      </c>
      <c r="B979" s="16" t="inlineStr">
        <is>
          <t>Git Conflict Matrix</t>
        </is>
      </c>
      <c r="C979" s="16" t="inlineStr">
        <is>
          <t>Global JSON Schema - Reorder vs Reorder</t>
        </is>
      </c>
      <c r="D979" s="16" t="inlineStr">
        <is>
          <t>Negative</t>
        </is>
      </c>
      <c r="E979" s="16" t="inlineStr">
        <is>
          <t>Conflict on Global JSON Schema: Order conflicts</t>
        </is>
      </c>
      <c r="F979" s="16" t="inlineStr">
        <is>
          <t>Linked workspace; two devices/sessions.</t>
        </is>
      </c>
      <c r="G979" s="16" t="inlineStr">
        <is>
          <t>1. A reorders A,B,C to C,B,A.
2. B reorders to B,A,C.
3. B pulls.</t>
        </is>
      </c>
      <c r="H979" s="16" t="inlineStr">
        <is>
          <t>bucket=Global JSON Schema; shape=Reorder vs Reorder</t>
        </is>
      </c>
      <c r="I979" s="16" t="inlineStr">
        <is>
          <t>Conflict on order; user picks one ordering or merges manually.</t>
        </is>
      </c>
      <c r="J979" s="16" t="inlineStr"/>
      <c r="K979" s="16" t="inlineStr">
        <is>
          <t>Not Run</t>
        </is>
      </c>
      <c r="L979" s="16" t="inlineStr">
        <is>
          <t>Medium</t>
        </is>
      </c>
      <c r="M979" s="16" t="inlineStr"/>
      <c r="N979" s="16" t="inlineStr"/>
      <c r="O979" s="16" t="inlineStr"/>
    </row>
    <row r="980" ht="72" customHeight="1">
      <c r="A980" s="16" t="inlineStr">
        <is>
          <t>TC-GC-0142</t>
        </is>
      </c>
      <c r="B980" s="16" t="inlineStr">
        <is>
          <t>Git Conflict Matrix</t>
        </is>
      </c>
      <c r="C980" s="16" t="inlineStr">
        <is>
          <t>Global JSON Schema - Rename vs Rename</t>
        </is>
      </c>
      <c r="D980" s="16" t="inlineStr">
        <is>
          <t>Negative</t>
        </is>
      </c>
      <c r="E980" s="16" t="inlineStr">
        <is>
          <t>Conflict on Global JSON Schema: Both rename same entity</t>
        </is>
      </c>
      <c r="F980" s="16" t="inlineStr">
        <is>
          <t>Linked workspace; two devices/sessions.</t>
        </is>
      </c>
      <c r="G980" s="16" t="inlineStr">
        <is>
          <t>1. A renames X to Y; B renames X to Z.
2. B pulls.</t>
        </is>
      </c>
      <c r="H980" s="16" t="inlineStr">
        <is>
          <t>bucket=Global JSON Schema; shape=Rename vs Rename</t>
        </is>
      </c>
      <c r="I980" s="16" t="inlineStr">
        <is>
          <t>Conflict; user picks new name.</t>
        </is>
      </c>
      <c r="J980" s="16" t="inlineStr"/>
      <c r="K980" s="16" t="inlineStr">
        <is>
          <t>Not Run</t>
        </is>
      </c>
      <c r="L980" s="16" t="inlineStr">
        <is>
          <t>Medium</t>
        </is>
      </c>
      <c r="M980" s="16" t="inlineStr"/>
      <c r="N980" s="16" t="inlineStr"/>
      <c r="O980" s="16" t="inlineStr"/>
    </row>
    <row r="981" ht="72" customHeight="1">
      <c r="A981" s="16" t="inlineStr">
        <is>
          <t>TC-GC-0143</t>
        </is>
      </c>
      <c r="B981" s="16" t="inlineStr">
        <is>
          <t>Git Conflict Matrix</t>
        </is>
      </c>
      <c r="C981" s="16" t="inlineStr">
        <is>
          <t>Global JSON Schema - Add vs Reparent</t>
        </is>
      </c>
      <c r="D981" s="16" t="inlineStr">
        <is>
          <t>Edge Case</t>
        </is>
      </c>
      <c r="E981" s="16" t="inlineStr">
        <is>
          <t>Conflict on Global JSON Schema: Tree conflict</t>
        </is>
      </c>
      <c r="F981" s="16" t="inlineStr">
        <is>
          <t>Linked workspace; two devices/sessions.</t>
        </is>
      </c>
      <c r="G981" s="16" t="inlineStr">
        <is>
          <t>1. A adds new request under folder F.
2. B moves F under a different parent.
3. B pulls.</t>
        </is>
      </c>
      <c r="H981" s="16" t="inlineStr">
        <is>
          <t>bucket=Global JSON Schema; shape=Add vs Reparent</t>
        </is>
      </c>
      <c r="I981" s="16" t="inlineStr">
        <is>
          <t>Tree merge: new request follows F to its new parent.</t>
        </is>
      </c>
      <c r="J981" s="16" t="inlineStr"/>
      <c r="K981" s="16" t="inlineStr">
        <is>
          <t>Not Run</t>
        </is>
      </c>
      <c r="L981" s="16" t="inlineStr">
        <is>
          <t>Medium</t>
        </is>
      </c>
      <c r="M981" s="16" t="inlineStr"/>
      <c r="N981" s="16" t="inlineStr"/>
      <c r="O981" s="16" t="inlineStr"/>
    </row>
    <row r="982" ht="72" customHeight="1">
      <c r="A982" s="16" t="inlineStr">
        <is>
          <t>TC-GC-0144</t>
        </is>
      </c>
      <c r="B982" s="16" t="inlineStr">
        <is>
          <t>Git Conflict Matrix</t>
        </is>
      </c>
      <c r="C982" s="16" t="inlineStr">
        <is>
          <t>Global JSON Schema - Bulk edits</t>
        </is>
      </c>
      <c r="D982" s="16" t="inlineStr">
        <is>
          <t>Performance</t>
        </is>
      </c>
      <c r="E982" s="16" t="inlineStr">
        <is>
          <t>Conflict on Global JSON Schema: 10 changes each side</t>
        </is>
      </c>
      <c r="F982" s="16" t="inlineStr">
        <is>
          <t>Linked workspace; two devices/sessions.</t>
        </is>
      </c>
      <c r="G982" s="16" t="inlineStr">
        <is>
          <t>1. A makes 10 edits; B makes 10 disjoint edits.
2. B pulls.</t>
        </is>
      </c>
      <c r="H982" s="16" t="inlineStr">
        <is>
          <t>bucket=Global JSON Schema; shape=Bulk edits</t>
        </is>
      </c>
      <c r="I982" s="16" t="inlineStr">
        <is>
          <t>All 20 merged; no false positives in conflict modal.</t>
        </is>
      </c>
      <c r="J982" s="16" t="inlineStr"/>
      <c r="K982" s="16" t="inlineStr">
        <is>
          <t>Not Run</t>
        </is>
      </c>
      <c r="L982" s="16" t="inlineStr">
        <is>
          <t>Medium</t>
        </is>
      </c>
      <c r="M982" s="16" t="inlineStr"/>
      <c r="N982" s="16" t="inlineStr"/>
      <c r="O982" s="16" t="inlineStr"/>
    </row>
    <row r="983" ht="72" customHeight="1">
      <c r="A983" s="16" t="inlineStr">
        <is>
          <t>TC-GC-0145</t>
        </is>
      </c>
      <c r="B983" s="16" t="inlineStr">
        <is>
          <t>Git Conflict Matrix</t>
        </is>
      </c>
      <c r="C983" s="16" t="inlineStr">
        <is>
          <t>Global GraphQL doc - Add vs Add same id</t>
        </is>
      </c>
      <c r="D983" s="16" t="inlineStr">
        <is>
          <t>Negative</t>
        </is>
      </c>
      <c r="E983" s="16" t="inlineStr">
        <is>
          <t>Conflict on Global GraphQL doc: Add same entity on two devices</t>
        </is>
      </c>
      <c r="F983" s="16" t="inlineStr">
        <is>
          <t>Linked workspace; two devices/sessions.</t>
        </is>
      </c>
      <c r="G983" s="16" t="inlineStr">
        <is>
          <t>1. Device A creates entity X with id I.
2. Device B creates same id I (rare; typically only if id collision).
3. B pulls A's commit.</t>
        </is>
      </c>
      <c r="H983" s="16" t="inlineStr">
        <is>
          <t>bucket=Global GraphQL doc; shape=Add vs Add same id</t>
        </is>
      </c>
      <c r="I983" s="16" t="inlineStr">
        <is>
          <t>Detected as conflict; user chooses theirs/mine/manual.</t>
        </is>
      </c>
      <c r="J983" s="16" t="inlineStr"/>
      <c r="K983" s="16" t="inlineStr">
        <is>
          <t>Not Run</t>
        </is>
      </c>
      <c r="L983" s="16" t="inlineStr">
        <is>
          <t>Medium</t>
        </is>
      </c>
      <c r="M983" s="16" t="inlineStr"/>
      <c r="N983" s="16" t="inlineStr"/>
      <c r="O983" s="16" t="inlineStr"/>
    </row>
    <row r="984" ht="72" customHeight="1">
      <c r="A984" s="16" t="inlineStr">
        <is>
          <t>TC-GC-0146</t>
        </is>
      </c>
      <c r="B984" s="16" t="inlineStr">
        <is>
          <t>Git Conflict Matrix</t>
        </is>
      </c>
      <c r="C984" s="16" t="inlineStr">
        <is>
          <t>Global GraphQL doc - Edit vs Edit same field</t>
        </is>
      </c>
      <c r="D984" s="16" t="inlineStr">
        <is>
          <t>Negative</t>
        </is>
      </c>
      <c r="E984" s="16" t="inlineStr">
        <is>
          <t>Conflict on Global GraphQL doc: Both edit same field differently</t>
        </is>
      </c>
      <c r="F984" s="16" t="inlineStr">
        <is>
          <t>Linked workspace; two devices/sessions.</t>
        </is>
      </c>
      <c r="G984" s="16" t="inlineStr">
        <is>
          <t>1. A edits field F to 'a'.
2. B edits same F to 'b'.
3. B pulls.</t>
        </is>
      </c>
      <c r="H984" s="16" t="inlineStr">
        <is>
          <t>bucket=Global GraphQL doc; shape=Edit vs Edit same field</t>
        </is>
      </c>
      <c r="I984" s="16" t="inlineStr">
        <is>
          <t>Conflict modal lists field F with both values; user picks resolution.</t>
        </is>
      </c>
      <c r="J984" s="16" t="inlineStr"/>
      <c r="K984" s="16" t="inlineStr">
        <is>
          <t>Not Run</t>
        </is>
      </c>
      <c r="L984" s="16" t="inlineStr">
        <is>
          <t>High</t>
        </is>
      </c>
      <c r="M984" s="16" t="inlineStr"/>
      <c r="N984" s="16" t="inlineStr"/>
      <c r="O984" s="16" t="inlineStr"/>
    </row>
    <row r="985" ht="72" customHeight="1">
      <c r="A985" s="16" t="inlineStr">
        <is>
          <t>TC-GC-0147</t>
        </is>
      </c>
      <c r="B985" s="16" t="inlineStr">
        <is>
          <t>Git Conflict Matrix</t>
        </is>
      </c>
      <c r="C985" s="16" t="inlineStr">
        <is>
          <t>Global GraphQL doc - Edit vs Edit different fields</t>
        </is>
      </c>
      <c r="D985" s="16" t="inlineStr">
        <is>
          <t>Functional</t>
        </is>
      </c>
      <c r="E985" s="16" t="inlineStr">
        <is>
          <t>Conflict on Global GraphQL doc: Disjoint edits auto-merge</t>
        </is>
      </c>
      <c r="F985" s="16" t="inlineStr">
        <is>
          <t>Linked workspace; two devices/sessions.</t>
        </is>
      </c>
      <c r="G985" s="16" t="inlineStr">
        <is>
          <t>1. A edits field F1; B edits F2.
2. B pulls.</t>
        </is>
      </c>
      <c r="H985" s="16" t="inlineStr">
        <is>
          <t>bucket=Global GraphQL doc; shape=Edit vs Edit different fields</t>
        </is>
      </c>
      <c r="I985" s="16" t="inlineStr">
        <is>
          <t>Auto-merged; no conflict modal; final state has both edits.</t>
        </is>
      </c>
      <c r="J985" s="16" t="inlineStr"/>
      <c r="K985" s="16" t="inlineStr">
        <is>
          <t>Not Run</t>
        </is>
      </c>
      <c r="L985" s="16" t="inlineStr">
        <is>
          <t>High</t>
        </is>
      </c>
      <c r="M985" s="16" t="inlineStr"/>
      <c r="N985" s="16" t="inlineStr"/>
      <c r="O985" s="16" t="inlineStr"/>
    </row>
    <row r="986" ht="72" customHeight="1">
      <c r="A986" s="16" t="inlineStr">
        <is>
          <t>TC-GC-0148</t>
        </is>
      </c>
      <c r="B986" s="16" t="inlineStr">
        <is>
          <t>Git Conflict Matrix</t>
        </is>
      </c>
      <c r="C986" s="16" t="inlineStr">
        <is>
          <t>Global GraphQL doc - Edit vs Delete</t>
        </is>
      </c>
      <c r="D986" s="16" t="inlineStr">
        <is>
          <t>Negative</t>
        </is>
      </c>
      <c r="E986" s="16" t="inlineStr">
        <is>
          <t>Conflict on Global GraphQL doc: One edits, other deletes</t>
        </is>
      </c>
      <c r="F986" s="16" t="inlineStr">
        <is>
          <t>Linked workspace; two devices/sessions.</t>
        </is>
      </c>
      <c r="G986" s="16" t="inlineStr">
        <is>
          <t>1. A edits entity X.
2. B deletes X.
3. B pulls.</t>
        </is>
      </c>
      <c r="H986" s="16" t="inlineStr">
        <is>
          <t>bucket=Global GraphQL doc; shape=Edit vs Delete</t>
        </is>
      </c>
      <c r="I986" s="16" t="inlineStr">
        <is>
          <t>Conflict: keep edit (resurrect) vs accept delete; explicit choice.</t>
        </is>
      </c>
      <c r="J986" s="16" t="inlineStr"/>
      <c r="K986" s="16" t="inlineStr">
        <is>
          <t>Not Run</t>
        </is>
      </c>
      <c r="L986" s="16" t="inlineStr">
        <is>
          <t>High</t>
        </is>
      </c>
      <c r="M986" s="16" t="inlineStr"/>
      <c r="N986" s="16" t="inlineStr"/>
      <c r="O986" s="16" t="inlineStr"/>
    </row>
    <row r="987" ht="72" customHeight="1">
      <c r="A987" s="16" t="inlineStr">
        <is>
          <t>TC-GC-0149</t>
        </is>
      </c>
      <c r="B987" s="16" t="inlineStr">
        <is>
          <t>Git Conflict Matrix</t>
        </is>
      </c>
      <c r="C987" s="16" t="inlineStr">
        <is>
          <t>Global GraphQL doc - Delete vs Edit</t>
        </is>
      </c>
      <c r="D987" s="16" t="inlineStr">
        <is>
          <t>Negative</t>
        </is>
      </c>
      <c r="E987" s="16" t="inlineStr">
        <is>
          <t>Conflict on Global GraphQL doc: Mirror of above</t>
        </is>
      </c>
      <c r="F987" s="16" t="inlineStr">
        <is>
          <t>Linked workspace; two devices/sessions.</t>
        </is>
      </c>
      <c r="G987" s="16" t="inlineStr">
        <is>
          <t>1. A deletes X.
2. B edits X.
3. B pulls.</t>
        </is>
      </c>
      <c r="H987" s="16" t="inlineStr">
        <is>
          <t>bucket=Global GraphQL doc; shape=Delete vs Edit</t>
        </is>
      </c>
      <c r="I987" s="16" t="inlineStr">
        <is>
          <t>Same: keep edit or accept delete.</t>
        </is>
      </c>
      <c r="J987" s="16" t="inlineStr"/>
      <c r="K987" s="16" t="inlineStr">
        <is>
          <t>Not Run</t>
        </is>
      </c>
      <c r="L987" s="16" t="inlineStr">
        <is>
          <t>High</t>
        </is>
      </c>
      <c r="M987" s="16" t="inlineStr"/>
      <c r="N987" s="16" t="inlineStr"/>
      <c r="O987" s="16" t="inlineStr"/>
    </row>
    <row r="988" ht="72" customHeight="1">
      <c r="A988" s="16" t="inlineStr">
        <is>
          <t>TC-GC-0150</t>
        </is>
      </c>
      <c r="B988" s="16" t="inlineStr">
        <is>
          <t>Git Conflict Matrix</t>
        </is>
      </c>
      <c r="C988" s="16" t="inlineStr">
        <is>
          <t>Global GraphQL doc - Delete vs Delete</t>
        </is>
      </c>
      <c r="D988" s="16" t="inlineStr">
        <is>
          <t>Functional</t>
        </is>
      </c>
      <c r="E988" s="16" t="inlineStr">
        <is>
          <t>Conflict on Global GraphQL doc: Both delete - no conflict</t>
        </is>
      </c>
      <c r="F988" s="16" t="inlineStr">
        <is>
          <t>Linked workspace; two devices/sessions.</t>
        </is>
      </c>
      <c r="G988" s="16" t="inlineStr">
        <is>
          <t>1. Both delete X.
2. B pulls.</t>
        </is>
      </c>
      <c r="H988" s="16" t="inlineStr">
        <is>
          <t>bucket=Global GraphQL doc; shape=Delete vs Delete</t>
        </is>
      </c>
      <c r="I988" s="16" t="inlineStr">
        <is>
          <t>Auto-merged; X gone in both.</t>
        </is>
      </c>
      <c r="J988" s="16" t="inlineStr"/>
      <c r="K988" s="16" t="inlineStr">
        <is>
          <t>Not Run</t>
        </is>
      </c>
      <c r="L988" s="16" t="inlineStr">
        <is>
          <t>Medium</t>
        </is>
      </c>
      <c r="M988" s="16" t="inlineStr"/>
      <c r="N988" s="16" t="inlineStr"/>
      <c r="O988" s="16" t="inlineStr"/>
    </row>
    <row r="989" ht="72" customHeight="1">
      <c r="A989" s="16" t="inlineStr">
        <is>
          <t>TC-GC-0151</t>
        </is>
      </c>
      <c r="B989" s="16" t="inlineStr">
        <is>
          <t>Git Conflict Matrix</t>
        </is>
      </c>
      <c r="C989" s="16" t="inlineStr">
        <is>
          <t>Global GraphQL doc - Reorder vs Reorder</t>
        </is>
      </c>
      <c r="D989" s="16" t="inlineStr">
        <is>
          <t>Negative</t>
        </is>
      </c>
      <c r="E989" s="16" t="inlineStr">
        <is>
          <t>Conflict on Global GraphQL doc: Order conflicts</t>
        </is>
      </c>
      <c r="F989" s="16" t="inlineStr">
        <is>
          <t>Linked workspace; two devices/sessions.</t>
        </is>
      </c>
      <c r="G989" s="16" t="inlineStr">
        <is>
          <t>1. A reorders A,B,C to C,B,A.
2. B reorders to B,A,C.
3. B pulls.</t>
        </is>
      </c>
      <c r="H989" s="16" t="inlineStr">
        <is>
          <t>bucket=Global GraphQL doc; shape=Reorder vs Reorder</t>
        </is>
      </c>
      <c r="I989" s="16" t="inlineStr">
        <is>
          <t>Conflict on order; user picks one ordering or merges manually.</t>
        </is>
      </c>
      <c r="J989" s="16" t="inlineStr"/>
      <c r="K989" s="16" t="inlineStr">
        <is>
          <t>Not Run</t>
        </is>
      </c>
      <c r="L989" s="16" t="inlineStr">
        <is>
          <t>Medium</t>
        </is>
      </c>
      <c r="M989" s="16" t="inlineStr"/>
      <c r="N989" s="16" t="inlineStr"/>
      <c r="O989" s="16" t="inlineStr"/>
    </row>
    <row r="990" ht="72" customHeight="1">
      <c r="A990" s="16" t="inlineStr">
        <is>
          <t>TC-GC-0152</t>
        </is>
      </c>
      <c r="B990" s="16" t="inlineStr">
        <is>
          <t>Git Conflict Matrix</t>
        </is>
      </c>
      <c r="C990" s="16" t="inlineStr">
        <is>
          <t>Global GraphQL doc - Rename vs Rename</t>
        </is>
      </c>
      <c r="D990" s="16" t="inlineStr">
        <is>
          <t>Negative</t>
        </is>
      </c>
      <c r="E990" s="16" t="inlineStr">
        <is>
          <t>Conflict on Global GraphQL doc: Both rename same entity</t>
        </is>
      </c>
      <c r="F990" s="16" t="inlineStr">
        <is>
          <t>Linked workspace; two devices/sessions.</t>
        </is>
      </c>
      <c r="G990" s="16" t="inlineStr">
        <is>
          <t>1. A renames X to Y; B renames X to Z.
2. B pulls.</t>
        </is>
      </c>
      <c r="H990" s="16" t="inlineStr">
        <is>
          <t>bucket=Global GraphQL doc; shape=Rename vs Rename</t>
        </is>
      </c>
      <c r="I990" s="16" t="inlineStr">
        <is>
          <t>Conflict; user picks new name.</t>
        </is>
      </c>
      <c r="J990" s="16" t="inlineStr"/>
      <c r="K990" s="16" t="inlineStr">
        <is>
          <t>Not Run</t>
        </is>
      </c>
      <c r="L990" s="16" t="inlineStr">
        <is>
          <t>Medium</t>
        </is>
      </c>
      <c r="M990" s="16" t="inlineStr"/>
      <c r="N990" s="16" t="inlineStr"/>
      <c r="O990" s="16" t="inlineStr"/>
    </row>
    <row r="991" ht="72" customHeight="1">
      <c r="A991" s="16" t="inlineStr">
        <is>
          <t>TC-GC-0153</t>
        </is>
      </c>
      <c r="B991" s="16" t="inlineStr">
        <is>
          <t>Git Conflict Matrix</t>
        </is>
      </c>
      <c r="C991" s="16" t="inlineStr">
        <is>
          <t>Global GraphQL doc - Add vs Reparent</t>
        </is>
      </c>
      <c r="D991" s="16" t="inlineStr">
        <is>
          <t>Edge Case</t>
        </is>
      </c>
      <c r="E991" s="16" t="inlineStr">
        <is>
          <t>Conflict on Global GraphQL doc: Tree conflict</t>
        </is>
      </c>
      <c r="F991" s="16" t="inlineStr">
        <is>
          <t>Linked workspace; two devices/sessions.</t>
        </is>
      </c>
      <c r="G991" s="16" t="inlineStr">
        <is>
          <t>1. A adds new request under folder F.
2. B moves F under a different parent.
3. B pulls.</t>
        </is>
      </c>
      <c r="H991" s="16" t="inlineStr">
        <is>
          <t>bucket=Global GraphQL doc; shape=Add vs Reparent</t>
        </is>
      </c>
      <c r="I991" s="16" t="inlineStr">
        <is>
          <t>Tree merge: new request follows F to its new parent.</t>
        </is>
      </c>
      <c r="J991" s="16" t="inlineStr"/>
      <c r="K991" s="16" t="inlineStr">
        <is>
          <t>Not Run</t>
        </is>
      </c>
      <c r="L991" s="16" t="inlineStr">
        <is>
          <t>Medium</t>
        </is>
      </c>
      <c r="M991" s="16" t="inlineStr"/>
      <c r="N991" s="16" t="inlineStr"/>
      <c r="O991" s="16" t="inlineStr"/>
    </row>
    <row r="992" ht="72" customHeight="1">
      <c r="A992" s="16" t="inlineStr">
        <is>
          <t>TC-GC-0154</t>
        </is>
      </c>
      <c r="B992" s="16" t="inlineStr">
        <is>
          <t>Git Conflict Matrix</t>
        </is>
      </c>
      <c r="C992" s="16" t="inlineStr">
        <is>
          <t>Global GraphQL doc - Bulk edits</t>
        </is>
      </c>
      <c r="D992" s="16" t="inlineStr">
        <is>
          <t>Performance</t>
        </is>
      </c>
      <c r="E992" s="16" t="inlineStr">
        <is>
          <t>Conflict on Global GraphQL doc: 10 changes each side</t>
        </is>
      </c>
      <c r="F992" s="16" t="inlineStr">
        <is>
          <t>Linked workspace; two devices/sessions.</t>
        </is>
      </c>
      <c r="G992" s="16" t="inlineStr">
        <is>
          <t>1. A makes 10 edits; B makes 10 disjoint edits.
2. B pulls.</t>
        </is>
      </c>
      <c r="H992" s="16" t="inlineStr">
        <is>
          <t>bucket=Global GraphQL doc; shape=Bulk edits</t>
        </is>
      </c>
      <c r="I992" s="16" t="inlineStr">
        <is>
          <t>All 20 merged; no false positives in conflict modal.</t>
        </is>
      </c>
      <c r="J992" s="16" t="inlineStr"/>
      <c r="K992" s="16" t="inlineStr">
        <is>
          <t>Not Run</t>
        </is>
      </c>
      <c r="L992" s="16" t="inlineStr">
        <is>
          <t>Medium</t>
        </is>
      </c>
      <c r="M992" s="16" t="inlineStr"/>
      <c r="N992" s="16" t="inlineStr"/>
      <c r="O992" s="16" t="inlineStr"/>
    </row>
    <row r="993" ht="72" customHeight="1">
      <c r="A993" s="16" t="inlineStr">
        <is>
          <t>TC-GC-0155</t>
        </is>
      </c>
      <c r="B993" s="16" t="inlineStr">
        <is>
          <t>Git Conflict Matrix</t>
        </is>
      </c>
      <c r="C993" s="16" t="inlineStr">
        <is>
          <t>Secret key - Add vs Add same id</t>
        </is>
      </c>
      <c r="D993" s="16" t="inlineStr">
        <is>
          <t>Negative</t>
        </is>
      </c>
      <c r="E993" s="16" t="inlineStr">
        <is>
          <t>Conflict on Secret key: Add same entity on two devices</t>
        </is>
      </c>
      <c r="F993" s="16" t="inlineStr">
        <is>
          <t>Linked workspace; two devices/sessions.</t>
        </is>
      </c>
      <c r="G993" s="16" t="inlineStr">
        <is>
          <t>1. Device A creates entity X with id I.
2. Device B creates same id I (rare; typically only if id collision).
3. B pulls A's commit.</t>
        </is>
      </c>
      <c r="H993" s="16" t="inlineStr">
        <is>
          <t>bucket=Secret key; shape=Add vs Add same id</t>
        </is>
      </c>
      <c r="I993" s="16" t="inlineStr">
        <is>
          <t>Detected as conflict; user chooses theirs/mine/manual.</t>
        </is>
      </c>
      <c r="J993" s="16" t="inlineStr"/>
      <c r="K993" s="16" t="inlineStr">
        <is>
          <t>Not Run</t>
        </is>
      </c>
      <c r="L993" s="16" t="inlineStr">
        <is>
          <t>Medium</t>
        </is>
      </c>
      <c r="M993" s="16" t="inlineStr"/>
      <c r="N993" s="16" t="inlineStr"/>
      <c r="O993" s="16" t="inlineStr"/>
    </row>
    <row r="994" ht="72" customHeight="1">
      <c r="A994" s="16" t="inlineStr">
        <is>
          <t>TC-GC-0156</t>
        </is>
      </c>
      <c r="B994" s="16" t="inlineStr">
        <is>
          <t>Git Conflict Matrix</t>
        </is>
      </c>
      <c r="C994" s="16" t="inlineStr">
        <is>
          <t>Secret key - Edit vs Edit same field</t>
        </is>
      </c>
      <c r="D994" s="16" t="inlineStr">
        <is>
          <t>Negative</t>
        </is>
      </c>
      <c r="E994" s="16" t="inlineStr">
        <is>
          <t>Conflict on Secret key: Both edit same field differently</t>
        </is>
      </c>
      <c r="F994" s="16" t="inlineStr">
        <is>
          <t>Linked workspace; two devices/sessions.</t>
        </is>
      </c>
      <c r="G994" s="16" t="inlineStr">
        <is>
          <t>1. A edits field F to 'a'.
2. B edits same F to 'b'.
3. B pulls.</t>
        </is>
      </c>
      <c r="H994" s="16" t="inlineStr">
        <is>
          <t>bucket=Secret key; shape=Edit vs Edit same field</t>
        </is>
      </c>
      <c r="I994" s="16" t="inlineStr">
        <is>
          <t>Conflict modal lists field F with both values; user picks resolution.</t>
        </is>
      </c>
      <c r="J994" s="16" t="inlineStr"/>
      <c r="K994" s="16" t="inlineStr">
        <is>
          <t>Not Run</t>
        </is>
      </c>
      <c r="L994" s="16" t="inlineStr">
        <is>
          <t>High</t>
        </is>
      </c>
      <c r="M994" s="16" t="inlineStr"/>
      <c r="N994" s="16" t="inlineStr"/>
      <c r="O994" s="16" t="inlineStr"/>
    </row>
    <row r="995" ht="72" customHeight="1">
      <c r="A995" s="16" t="inlineStr">
        <is>
          <t>TC-GC-0157</t>
        </is>
      </c>
      <c r="B995" s="16" t="inlineStr">
        <is>
          <t>Git Conflict Matrix</t>
        </is>
      </c>
      <c r="C995" s="16" t="inlineStr">
        <is>
          <t>Secret key - Edit vs Edit different fields</t>
        </is>
      </c>
      <c r="D995" s="16" t="inlineStr">
        <is>
          <t>Functional</t>
        </is>
      </c>
      <c r="E995" s="16" t="inlineStr">
        <is>
          <t>Conflict on Secret key: Disjoint edits auto-merge</t>
        </is>
      </c>
      <c r="F995" s="16" t="inlineStr">
        <is>
          <t>Linked workspace; two devices/sessions.</t>
        </is>
      </c>
      <c r="G995" s="16" t="inlineStr">
        <is>
          <t>1. A edits field F1; B edits F2.
2. B pulls.</t>
        </is>
      </c>
      <c r="H995" s="16" t="inlineStr">
        <is>
          <t>bucket=Secret key; shape=Edit vs Edit different fields</t>
        </is>
      </c>
      <c r="I995" s="16" t="inlineStr">
        <is>
          <t>Auto-merged; no conflict modal; final state has both edits.</t>
        </is>
      </c>
      <c r="J995" s="16" t="inlineStr"/>
      <c r="K995" s="16" t="inlineStr">
        <is>
          <t>Not Run</t>
        </is>
      </c>
      <c r="L995" s="16" t="inlineStr">
        <is>
          <t>High</t>
        </is>
      </c>
      <c r="M995" s="16" t="inlineStr"/>
      <c r="N995" s="16" t="inlineStr"/>
      <c r="O995" s="16" t="inlineStr"/>
    </row>
    <row r="996" ht="72" customHeight="1">
      <c r="A996" s="16" t="inlineStr">
        <is>
          <t>TC-GC-0158</t>
        </is>
      </c>
      <c r="B996" s="16" t="inlineStr">
        <is>
          <t>Git Conflict Matrix</t>
        </is>
      </c>
      <c r="C996" s="16" t="inlineStr">
        <is>
          <t>Secret key - Edit vs Delete</t>
        </is>
      </c>
      <c r="D996" s="16" t="inlineStr">
        <is>
          <t>Negative</t>
        </is>
      </c>
      <c r="E996" s="16" t="inlineStr">
        <is>
          <t>Conflict on Secret key: One edits, other deletes</t>
        </is>
      </c>
      <c r="F996" s="16" t="inlineStr">
        <is>
          <t>Linked workspace; two devices/sessions.</t>
        </is>
      </c>
      <c r="G996" s="16" t="inlineStr">
        <is>
          <t>1. A edits entity X.
2. B deletes X.
3. B pulls.</t>
        </is>
      </c>
      <c r="H996" s="16" t="inlineStr">
        <is>
          <t>bucket=Secret key; shape=Edit vs Delete</t>
        </is>
      </c>
      <c r="I996" s="16" t="inlineStr">
        <is>
          <t>Conflict: keep edit (resurrect) vs accept delete; explicit choice.</t>
        </is>
      </c>
      <c r="J996" s="16" t="inlineStr"/>
      <c r="K996" s="16" t="inlineStr">
        <is>
          <t>Not Run</t>
        </is>
      </c>
      <c r="L996" s="16" t="inlineStr">
        <is>
          <t>High</t>
        </is>
      </c>
      <c r="M996" s="16" t="inlineStr"/>
      <c r="N996" s="16" t="inlineStr"/>
      <c r="O996" s="16" t="inlineStr"/>
    </row>
    <row r="997" ht="72" customHeight="1">
      <c r="A997" s="16" t="inlineStr">
        <is>
          <t>TC-GC-0159</t>
        </is>
      </c>
      <c r="B997" s="16" t="inlineStr">
        <is>
          <t>Git Conflict Matrix</t>
        </is>
      </c>
      <c r="C997" s="16" t="inlineStr">
        <is>
          <t>Secret key - Delete vs Edit</t>
        </is>
      </c>
      <c r="D997" s="16" t="inlineStr">
        <is>
          <t>Negative</t>
        </is>
      </c>
      <c r="E997" s="16" t="inlineStr">
        <is>
          <t>Conflict on Secret key: Mirror of above</t>
        </is>
      </c>
      <c r="F997" s="16" t="inlineStr">
        <is>
          <t>Linked workspace; two devices/sessions.</t>
        </is>
      </c>
      <c r="G997" s="16" t="inlineStr">
        <is>
          <t>1. A deletes X.
2. B edits X.
3. B pulls.</t>
        </is>
      </c>
      <c r="H997" s="16" t="inlineStr">
        <is>
          <t>bucket=Secret key; shape=Delete vs Edit</t>
        </is>
      </c>
      <c r="I997" s="16" t="inlineStr">
        <is>
          <t>Same: keep edit or accept delete.</t>
        </is>
      </c>
      <c r="J997" s="16" t="inlineStr"/>
      <c r="K997" s="16" t="inlineStr">
        <is>
          <t>Not Run</t>
        </is>
      </c>
      <c r="L997" s="16" t="inlineStr">
        <is>
          <t>High</t>
        </is>
      </c>
      <c r="M997" s="16" t="inlineStr"/>
      <c r="N997" s="16" t="inlineStr"/>
      <c r="O997" s="16" t="inlineStr"/>
    </row>
    <row r="998" ht="72" customHeight="1">
      <c r="A998" s="16" t="inlineStr">
        <is>
          <t>TC-GC-0160</t>
        </is>
      </c>
      <c r="B998" s="16" t="inlineStr">
        <is>
          <t>Git Conflict Matrix</t>
        </is>
      </c>
      <c r="C998" s="16" t="inlineStr">
        <is>
          <t>Secret key - Delete vs Delete</t>
        </is>
      </c>
      <c r="D998" s="16" t="inlineStr">
        <is>
          <t>Functional</t>
        </is>
      </c>
      <c r="E998" s="16" t="inlineStr">
        <is>
          <t>Conflict on Secret key: Both delete - no conflict</t>
        </is>
      </c>
      <c r="F998" s="16" t="inlineStr">
        <is>
          <t>Linked workspace; two devices/sessions.</t>
        </is>
      </c>
      <c r="G998" s="16" t="inlineStr">
        <is>
          <t>1. Both delete X.
2. B pulls.</t>
        </is>
      </c>
      <c r="H998" s="16" t="inlineStr">
        <is>
          <t>bucket=Secret key; shape=Delete vs Delete</t>
        </is>
      </c>
      <c r="I998" s="16" t="inlineStr">
        <is>
          <t>Auto-merged; X gone in both.</t>
        </is>
      </c>
      <c r="J998" s="16" t="inlineStr"/>
      <c r="K998" s="16" t="inlineStr">
        <is>
          <t>Not Run</t>
        </is>
      </c>
      <c r="L998" s="16" t="inlineStr">
        <is>
          <t>Medium</t>
        </is>
      </c>
      <c r="M998" s="16" t="inlineStr"/>
      <c r="N998" s="16" t="inlineStr"/>
      <c r="O998" s="16" t="inlineStr"/>
    </row>
    <row r="999" ht="72" customHeight="1">
      <c r="A999" s="16" t="inlineStr">
        <is>
          <t>TC-GC-0161</t>
        </is>
      </c>
      <c r="B999" s="16" t="inlineStr">
        <is>
          <t>Git Conflict Matrix</t>
        </is>
      </c>
      <c r="C999" s="16" t="inlineStr">
        <is>
          <t>Secret key - Reorder vs Reorder</t>
        </is>
      </c>
      <c r="D999" s="16" t="inlineStr">
        <is>
          <t>Negative</t>
        </is>
      </c>
      <c r="E999" s="16" t="inlineStr">
        <is>
          <t>Conflict on Secret key: Order conflicts</t>
        </is>
      </c>
      <c r="F999" s="16" t="inlineStr">
        <is>
          <t>Linked workspace; two devices/sessions.</t>
        </is>
      </c>
      <c r="G999" s="16" t="inlineStr">
        <is>
          <t>1. A reorders A,B,C to C,B,A.
2. B reorders to B,A,C.
3. B pulls.</t>
        </is>
      </c>
      <c r="H999" s="16" t="inlineStr">
        <is>
          <t>bucket=Secret key; shape=Reorder vs Reorder</t>
        </is>
      </c>
      <c r="I999" s="16" t="inlineStr">
        <is>
          <t>Conflict on order; user picks one ordering or merges manually.</t>
        </is>
      </c>
      <c r="J999" s="16" t="inlineStr"/>
      <c r="K999" s="16" t="inlineStr">
        <is>
          <t>Not Run</t>
        </is>
      </c>
      <c r="L999" s="16" t="inlineStr">
        <is>
          <t>Medium</t>
        </is>
      </c>
      <c r="M999" s="16" t="inlineStr"/>
      <c r="N999" s="16" t="inlineStr"/>
      <c r="O999" s="16" t="inlineStr"/>
    </row>
    <row r="1000" ht="72" customHeight="1">
      <c r="A1000" s="16" t="inlineStr">
        <is>
          <t>TC-GC-0162</t>
        </is>
      </c>
      <c r="B1000" s="16" t="inlineStr">
        <is>
          <t>Git Conflict Matrix</t>
        </is>
      </c>
      <c r="C1000" s="16" t="inlineStr">
        <is>
          <t>Secret key - Rename vs Rename</t>
        </is>
      </c>
      <c r="D1000" s="16" t="inlineStr">
        <is>
          <t>Negative</t>
        </is>
      </c>
      <c r="E1000" s="16" t="inlineStr">
        <is>
          <t>Conflict on Secret key: Both rename same entity</t>
        </is>
      </c>
      <c r="F1000" s="16" t="inlineStr">
        <is>
          <t>Linked workspace; two devices/sessions.</t>
        </is>
      </c>
      <c r="G1000" s="16" t="inlineStr">
        <is>
          <t>1. A renames X to Y; B renames X to Z.
2. B pulls.</t>
        </is>
      </c>
      <c r="H1000" s="16" t="inlineStr">
        <is>
          <t>bucket=Secret key; shape=Rename vs Rename</t>
        </is>
      </c>
      <c r="I1000" s="16" t="inlineStr">
        <is>
          <t>Conflict; user picks new name.</t>
        </is>
      </c>
      <c r="J1000" s="16" t="inlineStr"/>
      <c r="K1000" s="16" t="inlineStr">
        <is>
          <t>Not Run</t>
        </is>
      </c>
      <c r="L1000" s="16" t="inlineStr">
        <is>
          <t>Medium</t>
        </is>
      </c>
      <c r="M1000" s="16" t="inlineStr"/>
      <c r="N1000" s="16" t="inlineStr"/>
      <c r="O1000" s="16" t="inlineStr"/>
    </row>
    <row r="1001" ht="72" customHeight="1">
      <c r="A1001" s="16" t="inlineStr">
        <is>
          <t>TC-GC-0163</t>
        </is>
      </c>
      <c r="B1001" s="16" t="inlineStr">
        <is>
          <t>Git Conflict Matrix</t>
        </is>
      </c>
      <c r="C1001" s="16" t="inlineStr">
        <is>
          <t>Secret key - Add vs Reparent</t>
        </is>
      </c>
      <c r="D1001" s="16" t="inlineStr">
        <is>
          <t>Edge Case</t>
        </is>
      </c>
      <c r="E1001" s="16" t="inlineStr">
        <is>
          <t>Conflict on Secret key: Tree conflict</t>
        </is>
      </c>
      <c r="F1001" s="16" t="inlineStr">
        <is>
          <t>Linked workspace; two devices/sessions.</t>
        </is>
      </c>
      <c r="G1001" s="16" t="inlineStr">
        <is>
          <t>1. A adds new request under folder F.
2. B moves F under a different parent.
3. B pulls.</t>
        </is>
      </c>
      <c r="H1001" s="16" t="inlineStr">
        <is>
          <t>bucket=Secret key; shape=Add vs Reparent</t>
        </is>
      </c>
      <c r="I1001" s="16" t="inlineStr">
        <is>
          <t>Tree merge: new request follows F to its new parent.</t>
        </is>
      </c>
      <c r="J1001" s="16" t="inlineStr"/>
      <c r="K1001" s="16" t="inlineStr">
        <is>
          <t>Not Run</t>
        </is>
      </c>
      <c r="L1001" s="16" t="inlineStr">
        <is>
          <t>Medium</t>
        </is>
      </c>
      <c r="M1001" s="16" t="inlineStr"/>
      <c r="N1001" s="16" t="inlineStr"/>
      <c r="O1001" s="16" t="inlineStr"/>
    </row>
    <row r="1002" ht="72" customHeight="1">
      <c r="A1002" s="16" t="inlineStr">
        <is>
          <t>TC-GC-0164</t>
        </is>
      </c>
      <c r="B1002" s="16" t="inlineStr">
        <is>
          <t>Git Conflict Matrix</t>
        </is>
      </c>
      <c r="C1002" s="16" t="inlineStr">
        <is>
          <t>Secret key - Bulk edits</t>
        </is>
      </c>
      <c r="D1002" s="16" t="inlineStr">
        <is>
          <t>Performance</t>
        </is>
      </c>
      <c r="E1002" s="16" t="inlineStr">
        <is>
          <t>Conflict on Secret key: 10 changes each side</t>
        </is>
      </c>
      <c r="F1002" s="16" t="inlineStr">
        <is>
          <t>Linked workspace; two devices/sessions.</t>
        </is>
      </c>
      <c r="G1002" s="16" t="inlineStr">
        <is>
          <t>1. A makes 10 edits; B makes 10 disjoint edits.
2. B pulls.</t>
        </is>
      </c>
      <c r="H1002" s="16" t="inlineStr">
        <is>
          <t>bucket=Secret key; shape=Bulk edits</t>
        </is>
      </c>
      <c r="I1002" s="16" t="inlineStr">
        <is>
          <t>All 20 merged; no false positives in conflict modal.</t>
        </is>
      </c>
      <c r="J1002" s="16" t="inlineStr"/>
      <c r="K1002" s="16" t="inlineStr">
        <is>
          <t>Not Run</t>
        </is>
      </c>
      <c r="L1002" s="16" t="inlineStr">
        <is>
          <t>Medium</t>
        </is>
      </c>
      <c r="M1002" s="16" t="inlineStr"/>
      <c r="N1002" s="16" t="inlineStr"/>
      <c r="O1002" s="16" t="inlineStr"/>
    </row>
    <row r="1003" ht="72" customHeight="1">
      <c r="A1003" s="16" t="inlineStr">
        <is>
          <t>TC-GC-0165</t>
        </is>
      </c>
      <c r="B1003" s="16" t="inlineStr">
        <is>
          <t>Git Conflict Matrix</t>
        </is>
      </c>
      <c r="C1003" s="16" t="inlineStr">
        <is>
          <t>Workspace passphrase - Edit vs Edit same field</t>
        </is>
      </c>
      <c r="D1003" s="16" t="inlineStr">
        <is>
          <t>Negative</t>
        </is>
      </c>
      <c r="E1003" s="16" t="inlineStr">
        <is>
          <t>Conflict on Workspace passphrase: Both edit same field differently</t>
        </is>
      </c>
      <c r="F1003" s="16" t="inlineStr">
        <is>
          <t>Linked workspace; two devices/sessions.</t>
        </is>
      </c>
      <c r="G1003" s="16" t="inlineStr">
        <is>
          <t>1. A edits field F to 'a'.
2. B edits same F to 'b'.
3. B pulls.</t>
        </is>
      </c>
      <c r="H1003" s="16" t="inlineStr">
        <is>
          <t>bucket=Workspace passphrase; shape=Edit vs Edit same field</t>
        </is>
      </c>
      <c r="I1003" s="16" t="inlineStr">
        <is>
          <t>Conflict modal lists field F with both values; user picks resolution.</t>
        </is>
      </c>
      <c r="J1003" s="16" t="inlineStr"/>
      <c r="K1003" s="16" t="inlineStr">
        <is>
          <t>Not Run</t>
        </is>
      </c>
      <c r="L1003" s="16" t="inlineStr">
        <is>
          <t>High</t>
        </is>
      </c>
      <c r="M1003" s="16" t="inlineStr"/>
      <c r="N1003" s="16" t="inlineStr"/>
      <c r="O1003" s="16" t="inlineStr"/>
    </row>
    <row r="1004" ht="72" customHeight="1">
      <c r="A1004" s="16" t="inlineStr">
        <is>
          <t>TC-GC-0166</t>
        </is>
      </c>
      <c r="B1004" s="16" t="inlineStr">
        <is>
          <t>Git Conflict Matrix</t>
        </is>
      </c>
      <c r="C1004" s="16" t="inlineStr">
        <is>
          <t>Workspace passphrase - Edit vs Edit different fields</t>
        </is>
      </c>
      <c r="D1004" s="16" t="inlineStr">
        <is>
          <t>Functional</t>
        </is>
      </c>
      <c r="E1004" s="16" t="inlineStr">
        <is>
          <t>Conflict on Workspace passphrase: Disjoint edits auto-merge</t>
        </is>
      </c>
      <c r="F1004" s="16" t="inlineStr">
        <is>
          <t>Linked workspace; two devices/sessions.</t>
        </is>
      </c>
      <c r="G1004" s="16" t="inlineStr">
        <is>
          <t>1. A edits field F1; B edits F2.
2. B pulls.</t>
        </is>
      </c>
      <c r="H1004" s="16" t="inlineStr">
        <is>
          <t>bucket=Workspace passphrase; shape=Edit vs Edit different fields</t>
        </is>
      </c>
      <c r="I1004" s="16" t="inlineStr">
        <is>
          <t>Auto-merged; no conflict modal; final state has both edits.</t>
        </is>
      </c>
      <c r="J1004" s="16" t="inlineStr"/>
      <c r="K1004" s="16" t="inlineStr">
        <is>
          <t>Not Run</t>
        </is>
      </c>
      <c r="L1004" s="16" t="inlineStr">
        <is>
          <t>High</t>
        </is>
      </c>
      <c r="M1004" s="16" t="inlineStr"/>
      <c r="N1004" s="16" t="inlineStr"/>
      <c r="O1004" s="16" t="inlineStr"/>
    </row>
    <row r="1005" ht="72" customHeight="1">
      <c r="A1005" s="16" t="inlineStr">
        <is>
          <t>TC-GC-0167</t>
        </is>
      </c>
      <c r="B1005" s="16" t="inlineStr">
        <is>
          <t>Git Conflict Matrix</t>
        </is>
      </c>
      <c r="C1005" s="16" t="inlineStr">
        <is>
          <t>Workspace passphrase - Bulk edits</t>
        </is>
      </c>
      <c r="D1005" s="16" t="inlineStr">
        <is>
          <t>Performance</t>
        </is>
      </c>
      <c r="E1005" s="16" t="inlineStr">
        <is>
          <t>Conflict on Workspace passphrase: 10 changes each side</t>
        </is>
      </c>
      <c r="F1005" s="16" t="inlineStr">
        <is>
          <t>Linked workspace; two devices/sessions.</t>
        </is>
      </c>
      <c r="G1005" s="16" t="inlineStr">
        <is>
          <t>1. A makes 10 edits; B makes 10 disjoint edits.
2. B pulls.</t>
        </is>
      </c>
      <c r="H1005" s="16" t="inlineStr">
        <is>
          <t>bucket=Workspace passphrase; shape=Bulk edits</t>
        </is>
      </c>
      <c r="I1005" s="16" t="inlineStr">
        <is>
          <t>All 20 merged; no false positives in conflict modal.</t>
        </is>
      </c>
      <c r="J1005" s="16" t="inlineStr"/>
      <c r="K1005" s="16" t="inlineStr">
        <is>
          <t>Not Run</t>
        </is>
      </c>
      <c r="L1005" s="16" t="inlineStr">
        <is>
          <t>Medium</t>
        </is>
      </c>
      <c r="M1005" s="16" t="inlineStr"/>
      <c r="N1005" s="16" t="inlineStr"/>
      <c r="O1005" s="16" t="inlineStr"/>
    </row>
    <row r="1006" ht="72" customHeight="1">
      <c r="A1006" s="16" t="inlineStr">
        <is>
          <t>TC-GC-0168</t>
        </is>
      </c>
      <c r="B1006" s="16" t="inlineStr">
        <is>
          <t>Git Conflict Matrix</t>
        </is>
      </c>
      <c r="C1006" s="16" t="inlineStr">
        <is>
          <t>Resolution - keep mine</t>
        </is>
      </c>
      <c r="D1006" s="16" t="inlineStr">
        <is>
          <t>Functional</t>
        </is>
      </c>
      <c r="E1006" s="16" t="inlineStr">
        <is>
          <t>Resolve conflict by 'keep mine'</t>
        </is>
      </c>
      <c r="F1006" s="16" t="inlineStr">
        <is>
          <t>Conflict modal open.</t>
        </is>
      </c>
      <c r="G1006" s="16" t="inlineStr">
        <is>
          <t>1. Pick 'keep mine' for a conflict.
2. Apply.
3. Push.</t>
        </is>
      </c>
      <c r="H1006" s="16" t="inlineStr">
        <is>
          <t>resolution=keep mine</t>
        </is>
      </c>
      <c r="I1006" s="16" t="inlineStr">
        <is>
          <t>Resolution applied: 'keep mine' retains local; 'accept theirs' uses remote; 'manual edit' uses user-typed value. New commit pushed.</t>
        </is>
      </c>
      <c r="J1006" s="16" t="inlineStr"/>
      <c r="K1006" s="16" t="inlineStr">
        <is>
          <t>Not Run</t>
        </is>
      </c>
      <c r="L1006" s="16" t="inlineStr">
        <is>
          <t>High</t>
        </is>
      </c>
      <c r="M1006" s="16" t="inlineStr"/>
      <c r="N1006" s="16" t="inlineStr"/>
      <c r="O1006" s="16" t="inlineStr"/>
    </row>
    <row r="1007" ht="72" customHeight="1">
      <c r="A1007" s="16" t="inlineStr">
        <is>
          <t>TC-GC-0169</t>
        </is>
      </c>
      <c r="B1007" s="16" t="inlineStr">
        <is>
          <t>Git Conflict Matrix</t>
        </is>
      </c>
      <c r="C1007" s="16" t="inlineStr">
        <is>
          <t>Resolution - accept theirs</t>
        </is>
      </c>
      <c r="D1007" s="16" t="inlineStr">
        <is>
          <t>Functional</t>
        </is>
      </c>
      <c r="E1007" s="16" t="inlineStr">
        <is>
          <t>Resolve conflict by 'accept theirs'</t>
        </is>
      </c>
      <c r="F1007" s="16" t="inlineStr">
        <is>
          <t>Conflict modal open.</t>
        </is>
      </c>
      <c r="G1007" s="16" t="inlineStr">
        <is>
          <t>1. Pick 'accept theirs' for a conflict.
2. Apply.
3. Push.</t>
        </is>
      </c>
      <c r="H1007" s="16" t="inlineStr">
        <is>
          <t>resolution=accept theirs</t>
        </is>
      </c>
      <c r="I1007" s="16" t="inlineStr">
        <is>
          <t>Resolution applied: 'keep mine' retains local; 'accept theirs' uses remote; 'manual edit' uses user-typed value. New commit pushed.</t>
        </is>
      </c>
      <c r="J1007" s="16" t="inlineStr"/>
      <c r="K1007" s="16" t="inlineStr">
        <is>
          <t>Not Run</t>
        </is>
      </c>
      <c r="L1007" s="16" t="inlineStr">
        <is>
          <t>High</t>
        </is>
      </c>
      <c r="M1007" s="16" t="inlineStr"/>
      <c r="N1007" s="16" t="inlineStr"/>
      <c r="O1007" s="16" t="inlineStr"/>
    </row>
    <row r="1008" ht="72" customHeight="1">
      <c r="A1008" s="16" t="inlineStr">
        <is>
          <t>TC-GC-0170</t>
        </is>
      </c>
      <c r="B1008" s="16" t="inlineStr">
        <is>
          <t>Git Conflict Matrix</t>
        </is>
      </c>
      <c r="C1008" s="16" t="inlineStr">
        <is>
          <t>Resolution - manual edit</t>
        </is>
      </c>
      <c r="D1008" s="16" t="inlineStr">
        <is>
          <t>Functional</t>
        </is>
      </c>
      <c r="E1008" s="16" t="inlineStr">
        <is>
          <t>Resolve conflict by 'manual edit'</t>
        </is>
      </c>
      <c r="F1008" s="16" t="inlineStr">
        <is>
          <t>Conflict modal open.</t>
        </is>
      </c>
      <c r="G1008" s="16" t="inlineStr">
        <is>
          <t>1. Pick 'manual edit' for a conflict.
2. Apply.
3. Push.</t>
        </is>
      </c>
      <c r="H1008" s="16" t="inlineStr">
        <is>
          <t>resolution=manual edit</t>
        </is>
      </c>
      <c r="I1008" s="16" t="inlineStr">
        <is>
          <t>Resolution applied: 'keep mine' retains local; 'accept theirs' uses remote; 'manual edit' uses user-typed value. New commit pushed.</t>
        </is>
      </c>
      <c r="J1008" s="16" t="inlineStr"/>
      <c r="K1008" s="16" t="inlineStr">
        <is>
          <t>Not Run</t>
        </is>
      </c>
      <c r="L1008" s="16" t="inlineStr">
        <is>
          <t>High</t>
        </is>
      </c>
      <c r="M1008" s="16" t="inlineStr"/>
      <c r="N1008" s="16" t="inlineStr"/>
      <c r="O1008" s="16" t="inlineStr"/>
    </row>
    <row r="1009" ht="72" customHeight="1">
      <c r="A1009" s="16" t="inlineStr">
        <is>
          <t>TC-GC-0171</t>
        </is>
      </c>
      <c r="B1009" s="16" t="inlineStr">
        <is>
          <t>Git Conflict Matrix</t>
        </is>
      </c>
      <c r="C1009" s="16" t="inlineStr">
        <is>
          <t>Re-conflict</t>
        </is>
      </c>
      <c r="D1009" s="16" t="inlineStr">
        <is>
          <t>Edge Case</t>
        </is>
      </c>
      <c r="E1009" s="16" t="inlineStr">
        <is>
          <t>Resolution then push creates new conflict on B</t>
        </is>
      </c>
      <c r="F1009" s="16" t="inlineStr">
        <is>
          <t>Two devices.</t>
        </is>
      </c>
      <c r="G1009" s="16" t="inlineStr">
        <is>
          <t>1. A pushes resolved state.
2. B (which still has local edits) pulls.</t>
        </is>
      </c>
      <c r="H1009" s="16" t="inlineStr">
        <is>
          <t>Conflict re-evaluated against the resolved state; new conflict modal if needed.</t>
        </is>
      </c>
      <c r="I1009" s="16" t="inlineStr">
        <is>
          <t>Medium</t>
        </is>
      </c>
      <c r="J1009" s="16" t="inlineStr"/>
      <c r="K1009" s="16" t="inlineStr">
        <is>
          <t>Not Run</t>
        </is>
      </c>
      <c r="L1009" s="16" t="inlineStr">
        <is>
          <t>Medium</t>
        </is>
      </c>
      <c r="M1009" s="16" t="inlineStr"/>
      <c r="N1009" s="16" t="inlineStr"/>
      <c r="O1009" s="16" t="inlineStr"/>
    </row>
    <row r="1010" ht="72" customHeight="1">
      <c r="A1010" s="16" t="inlineStr">
        <is>
          <t>TC-GC-0172</t>
        </is>
      </c>
      <c r="B1010" s="16" t="inlineStr">
        <is>
          <t>Git Conflict Matrix</t>
        </is>
      </c>
      <c r="C1010" s="16" t="inlineStr">
        <is>
          <t>Conflict during retire</t>
        </is>
      </c>
      <c r="D1010" s="16" t="inlineStr">
        <is>
          <t>Edge Case</t>
        </is>
      </c>
      <c r="E1010" s="16" t="inlineStr">
        <is>
          <t>Working branch retired mid-conflict</t>
        </is>
      </c>
      <c r="F1010" s="16" t="inlineStr">
        <is>
          <t>-</t>
        </is>
      </c>
      <c r="G1010" s="16" t="inlineStr">
        <is>
          <t>1. PR for working branch merges to main while user has conflict modal open.</t>
        </is>
      </c>
      <c r="H1010" s="16" t="inlineStr">
        <is>
          <t>-</t>
        </is>
      </c>
      <c r="I1010" s="16" t="inlineStr">
        <is>
          <t>Banner informs user; resolution may need to be retargeted; no silent corruption.</t>
        </is>
      </c>
      <c r="J1010" s="16" t="inlineStr"/>
      <c r="K1010" s="16" t="inlineStr">
        <is>
          <t>Not Run</t>
        </is>
      </c>
      <c r="L1010" s="16" t="inlineStr">
        <is>
          <t>Medium</t>
        </is>
      </c>
      <c r="M1010" s="16" t="inlineStr"/>
      <c r="N1010" s="16" t="inlineStr"/>
      <c r="O1010" s="16" t="inlineStr"/>
    </row>
    <row r="1011" ht="72" customHeight="1">
      <c r="A1011" s="16" t="inlineStr">
        <is>
          <t>TC-MR-0001</t>
        </is>
      </c>
      <c r="B1011" s="16" t="inlineStr">
        <is>
          <t>Mock Response Matrix</t>
        </is>
      </c>
      <c r="C1011" s="16" t="inlineStr">
        <is>
          <t>Status 200</t>
        </is>
      </c>
      <c r="D1011" s="16" t="inlineStr">
        <is>
          <t>Functional</t>
        </is>
      </c>
      <c r="E1011" s="16" t="inlineStr">
        <is>
          <t>Define mock response 200</t>
        </is>
      </c>
      <c r="F1011" s="16" t="inlineStr">
        <is>
          <t>Web build.</t>
        </is>
      </c>
      <c r="G1011" s="16" t="inlineStr">
        <is>
          <t>1. Define endpoint with status 200 and body.
2. Save.</t>
        </is>
      </c>
      <c r="H1011" s="16" t="inlineStr">
        <is>
          <t>status=200</t>
        </is>
      </c>
      <c r="I1011" s="16" t="inlineStr">
        <is>
          <t>Definition saved correctly; (runtime only in desktop).</t>
        </is>
      </c>
      <c r="J1011" s="16" t="inlineStr"/>
      <c r="K1011" s="16" t="inlineStr">
        <is>
          <t>Not Run</t>
        </is>
      </c>
      <c r="L1011" s="16" t="inlineStr">
        <is>
          <t>Medium</t>
        </is>
      </c>
      <c r="M1011" s="16" t="inlineStr"/>
      <c r="N1011" s="16" t="inlineStr"/>
      <c r="O1011" s="16" t="inlineStr"/>
    </row>
    <row r="1012" ht="72" customHeight="1">
      <c r="A1012" s="16" t="inlineStr">
        <is>
          <t>TC-MR-0002</t>
        </is>
      </c>
      <c r="B1012" s="16" t="inlineStr">
        <is>
          <t>Mock Response Matrix</t>
        </is>
      </c>
      <c r="C1012" s="16" t="inlineStr">
        <is>
          <t>Status 201</t>
        </is>
      </c>
      <c r="D1012" s="16" t="inlineStr">
        <is>
          <t>Functional</t>
        </is>
      </c>
      <c r="E1012" s="16" t="inlineStr">
        <is>
          <t>Define mock response 201</t>
        </is>
      </c>
      <c r="F1012" s="16" t="inlineStr">
        <is>
          <t>Web build.</t>
        </is>
      </c>
      <c r="G1012" s="16" t="inlineStr">
        <is>
          <t>1. Define endpoint with status 201 and body.
2. Save.</t>
        </is>
      </c>
      <c r="H1012" s="16" t="inlineStr">
        <is>
          <t>status=201</t>
        </is>
      </c>
      <c r="I1012" s="16" t="inlineStr">
        <is>
          <t>Definition saved correctly; (runtime only in desktop).</t>
        </is>
      </c>
      <c r="J1012" s="16" t="inlineStr"/>
      <c r="K1012" s="16" t="inlineStr">
        <is>
          <t>Not Run</t>
        </is>
      </c>
      <c r="L1012" s="16" t="inlineStr">
        <is>
          <t>Medium</t>
        </is>
      </c>
      <c r="M1012" s="16" t="inlineStr"/>
      <c r="N1012" s="16" t="inlineStr"/>
      <c r="O1012" s="16" t="inlineStr"/>
    </row>
    <row r="1013" ht="72" customHeight="1">
      <c r="A1013" s="16" t="inlineStr">
        <is>
          <t>TC-MR-0003</t>
        </is>
      </c>
      <c r="B1013" s="16" t="inlineStr">
        <is>
          <t>Mock Response Matrix</t>
        </is>
      </c>
      <c r="C1013" s="16" t="inlineStr">
        <is>
          <t>Status 204</t>
        </is>
      </c>
      <c r="D1013" s="16" t="inlineStr">
        <is>
          <t>Functional</t>
        </is>
      </c>
      <c r="E1013" s="16" t="inlineStr">
        <is>
          <t>Define mock response 204</t>
        </is>
      </c>
      <c r="F1013" s="16" t="inlineStr">
        <is>
          <t>Web build.</t>
        </is>
      </c>
      <c r="G1013" s="16" t="inlineStr">
        <is>
          <t>1. Define endpoint with status 204 and body.
2. Save.</t>
        </is>
      </c>
      <c r="H1013" s="16" t="inlineStr">
        <is>
          <t>status=204</t>
        </is>
      </c>
      <c r="I1013" s="16" t="inlineStr">
        <is>
          <t>Definition saved correctly; (runtime only in desktop).</t>
        </is>
      </c>
      <c r="J1013" s="16" t="inlineStr"/>
      <c r="K1013" s="16" t="inlineStr">
        <is>
          <t>Not Run</t>
        </is>
      </c>
      <c r="L1013" s="16" t="inlineStr">
        <is>
          <t>Medium</t>
        </is>
      </c>
      <c r="M1013" s="16" t="inlineStr"/>
      <c r="N1013" s="16" t="inlineStr"/>
      <c r="O1013" s="16" t="inlineStr"/>
    </row>
    <row r="1014" ht="72" customHeight="1">
      <c r="A1014" s="16" t="inlineStr">
        <is>
          <t>TC-MR-0004</t>
        </is>
      </c>
      <c r="B1014" s="16" t="inlineStr">
        <is>
          <t>Mock Response Matrix</t>
        </is>
      </c>
      <c r="C1014" s="16" t="inlineStr">
        <is>
          <t>Status 301</t>
        </is>
      </c>
      <c r="D1014" s="16" t="inlineStr">
        <is>
          <t>Functional</t>
        </is>
      </c>
      <c r="E1014" s="16" t="inlineStr">
        <is>
          <t>Define mock response 301</t>
        </is>
      </c>
      <c r="F1014" s="16" t="inlineStr">
        <is>
          <t>Web build.</t>
        </is>
      </c>
      <c r="G1014" s="16" t="inlineStr">
        <is>
          <t>1. Define endpoint with status 301 and body.
2. Save.</t>
        </is>
      </c>
      <c r="H1014" s="16" t="inlineStr">
        <is>
          <t>status=301</t>
        </is>
      </c>
      <c r="I1014" s="16" t="inlineStr">
        <is>
          <t>Definition saved correctly; (runtime only in desktop).</t>
        </is>
      </c>
      <c r="J1014" s="16" t="inlineStr"/>
      <c r="K1014" s="16" t="inlineStr">
        <is>
          <t>Not Run</t>
        </is>
      </c>
      <c r="L1014" s="16" t="inlineStr">
        <is>
          <t>Low</t>
        </is>
      </c>
      <c r="M1014" s="16" t="inlineStr"/>
      <c r="N1014" s="16" t="inlineStr"/>
      <c r="O1014" s="16" t="inlineStr"/>
    </row>
    <row r="1015" ht="72" customHeight="1">
      <c r="A1015" s="16" t="inlineStr">
        <is>
          <t>TC-MR-0005</t>
        </is>
      </c>
      <c r="B1015" s="16" t="inlineStr">
        <is>
          <t>Mock Response Matrix</t>
        </is>
      </c>
      <c r="C1015" s="16" t="inlineStr">
        <is>
          <t>Status 302</t>
        </is>
      </c>
      <c r="D1015" s="16" t="inlineStr">
        <is>
          <t>Functional</t>
        </is>
      </c>
      <c r="E1015" s="16" t="inlineStr">
        <is>
          <t>Define mock response 302</t>
        </is>
      </c>
      <c r="F1015" s="16" t="inlineStr">
        <is>
          <t>Web build.</t>
        </is>
      </c>
      <c r="G1015" s="16" t="inlineStr">
        <is>
          <t>1. Define endpoint with status 302 and body.
2. Save.</t>
        </is>
      </c>
      <c r="H1015" s="16" t="inlineStr">
        <is>
          <t>status=302</t>
        </is>
      </c>
      <c r="I1015" s="16" t="inlineStr">
        <is>
          <t>Definition saved correctly; (runtime only in desktop).</t>
        </is>
      </c>
      <c r="J1015" s="16" t="inlineStr"/>
      <c r="K1015" s="16" t="inlineStr">
        <is>
          <t>Not Run</t>
        </is>
      </c>
      <c r="L1015" s="16" t="inlineStr">
        <is>
          <t>Low</t>
        </is>
      </c>
      <c r="M1015" s="16" t="inlineStr"/>
      <c r="N1015" s="16" t="inlineStr"/>
      <c r="O1015" s="16" t="inlineStr"/>
    </row>
    <row r="1016" ht="72" customHeight="1">
      <c r="A1016" s="16" t="inlineStr">
        <is>
          <t>TC-MR-0006</t>
        </is>
      </c>
      <c r="B1016" s="16" t="inlineStr">
        <is>
          <t>Mock Response Matrix</t>
        </is>
      </c>
      <c r="C1016" s="16" t="inlineStr">
        <is>
          <t>Status 304</t>
        </is>
      </c>
      <c r="D1016" s="16" t="inlineStr">
        <is>
          <t>Functional</t>
        </is>
      </c>
      <c r="E1016" s="16" t="inlineStr">
        <is>
          <t>Define mock response 304</t>
        </is>
      </c>
      <c r="F1016" s="16" t="inlineStr">
        <is>
          <t>Web build.</t>
        </is>
      </c>
      <c r="G1016" s="16" t="inlineStr">
        <is>
          <t>1. Define endpoint with status 304 and body.
2. Save.</t>
        </is>
      </c>
      <c r="H1016" s="16" t="inlineStr">
        <is>
          <t>status=304</t>
        </is>
      </c>
      <c r="I1016" s="16" t="inlineStr">
        <is>
          <t>Definition saved correctly; (runtime only in desktop).</t>
        </is>
      </c>
      <c r="J1016" s="16" t="inlineStr"/>
      <c r="K1016" s="16" t="inlineStr">
        <is>
          <t>Not Run</t>
        </is>
      </c>
      <c r="L1016" s="16" t="inlineStr">
        <is>
          <t>Low</t>
        </is>
      </c>
      <c r="M1016" s="16" t="inlineStr"/>
      <c r="N1016" s="16" t="inlineStr"/>
      <c r="O1016" s="16" t="inlineStr"/>
    </row>
    <row r="1017" ht="72" customHeight="1">
      <c r="A1017" s="16" t="inlineStr">
        <is>
          <t>TC-MR-0007</t>
        </is>
      </c>
      <c r="B1017" s="16" t="inlineStr">
        <is>
          <t>Mock Response Matrix</t>
        </is>
      </c>
      <c r="C1017" s="16" t="inlineStr">
        <is>
          <t>Status 400</t>
        </is>
      </c>
      <c r="D1017" s="16" t="inlineStr">
        <is>
          <t>Functional</t>
        </is>
      </c>
      <c r="E1017" s="16" t="inlineStr">
        <is>
          <t>Define mock response 400</t>
        </is>
      </c>
      <c r="F1017" s="16" t="inlineStr">
        <is>
          <t>Web build.</t>
        </is>
      </c>
      <c r="G1017" s="16" t="inlineStr">
        <is>
          <t>1. Define endpoint with status 400 and body.
2. Save.</t>
        </is>
      </c>
      <c r="H1017" s="16" t="inlineStr">
        <is>
          <t>status=400</t>
        </is>
      </c>
      <c r="I1017" s="16" t="inlineStr">
        <is>
          <t>Definition saved correctly; (runtime only in desktop).</t>
        </is>
      </c>
      <c r="J1017" s="16" t="inlineStr"/>
      <c r="K1017" s="16" t="inlineStr">
        <is>
          <t>Not Run</t>
        </is>
      </c>
      <c r="L1017" s="16" t="inlineStr">
        <is>
          <t>Medium</t>
        </is>
      </c>
      <c r="M1017" s="16" t="inlineStr"/>
      <c r="N1017" s="16" t="inlineStr"/>
      <c r="O1017" s="16" t="inlineStr"/>
    </row>
    <row r="1018" ht="72" customHeight="1">
      <c r="A1018" s="16" t="inlineStr">
        <is>
          <t>TC-MR-0008</t>
        </is>
      </c>
      <c r="B1018" s="16" t="inlineStr">
        <is>
          <t>Mock Response Matrix</t>
        </is>
      </c>
      <c r="C1018" s="16" t="inlineStr">
        <is>
          <t>Status 401</t>
        </is>
      </c>
      <c r="D1018" s="16" t="inlineStr">
        <is>
          <t>Functional</t>
        </is>
      </c>
      <c r="E1018" s="16" t="inlineStr">
        <is>
          <t>Define mock response 401</t>
        </is>
      </c>
      <c r="F1018" s="16" t="inlineStr">
        <is>
          <t>Web build.</t>
        </is>
      </c>
      <c r="G1018" s="16" t="inlineStr">
        <is>
          <t>1. Define endpoint with status 401 and body.
2. Save.</t>
        </is>
      </c>
      <c r="H1018" s="16" t="inlineStr">
        <is>
          <t>status=401</t>
        </is>
      </c>
      <c r="I1018" s="16" t="inlineStr">
        <is>
          <t>Definition saved correctly; (runtime only in desktop).</t>
        </is>
      </c>
      <c r="J1018" s="16" t="inlineStr"/>
      <c r="K1018" s="16" t="inlineStr">
        <is>
          <t>Not Run</t>
        </is>
      </c>
      <c r="L1018" s="16" t="inlineStr">
        <is>
          <t>Medium</t>
        </is>
      </c>
      <c r="M1018" s="16" t="inlineStr"/>
      <c r="N1018" s="16" t="inlineStr"/>
      <c r="O1018" s="16" t="inlineStr"/>
    </row>
    <row r="1019" ht="72" customHeight="1">
      <c r="A1019" s="16" t="inlineStr">
        <is>
          <t>TC-MR-0009</t>
        </is>
      </c>
      <c r="B1019" s="16" t="inlineStr">
        <is>
          <t>Mock Response Matrix</t>
        </is>
      </c>
      <c r="C1019" s="16" t="inlineStr">
        <is>
          <t>Status 403</t>
        </is>
      </c>
      <c r="D1019" s="16" t="inlineStr">
        <is>
          <t>Functional</t>
        </is>
      </c>
      <c r="E1019" s="16" t="inlineStr">
        <is>
          <t>Define mock response 403</t>
        </is>
      </c>
      <c r="F1019" s="16" t="inlineStr">
        <is>
          <t>Web build.</t>
        </is>
      </c>
      <c r="G1019" s="16" t="inlineStr">
        <is>
          <t>1. Define endpoint with status 403 and body.
2. Save.</t>
        </is>
      </c>
      <c r="H1019" s="16" t="inlineStr">
        <is>
          <t>status=403</t>
        </is>
      </c>
      <c r="I1019" s="16" t="inlineStr">
        <is>
          <t>Definition saved correctly; (runtime only in desktop).</t>
        </is>
      </c>
      <c r="J1019" s="16" t="inlineStr"/>
      <c r="K1019" s="16" t="inlineStr">
        <is>
          <t>Not Run</t>
        </is>
      </c>
      <c r="L1019" s="16" t="inlineStr">
        <is>
          <t>Low</t>
        </is>
      </c>
      <c r="M1019" s="16" t="inlineStr"/>
      <c r="N1019" s="16" t="inlineStr"/>
      <c r="O1019" s="16" t="inlineStr"/>
    </row>
    <row r="1020" ht="72" customHeight="1">
      <c r="A1020" s="16" t="inlineStr">
        <is>
          <t>TC-MR-0010</t>
        </is>
      </c>
      <c r="B1020" s="16" t="inlineStr">
        <is>
          <t>Mock Response Matrix</t>
        </is>
      </c>
      <c r="C1020" s="16" t="inlineStr">
        <is>
          <t>Status 404</t>
        </is>
      </c>
      <c r="D1020" s="16" t="inlineStr">
        <is>
          <t>Functional</t>
        </is>
      </c>
      <c r="E1020" s="16" t="inlineStr">
        <is>
          <t>Define mock response 404</t>
        </is>
      </c>
      <c r="F1020" s="16" t="inlineStr">
        <is>
          <t>Web build.</t>
        </is>
      </c>
      <c r="G1020" s="16" t="inlineStr">
        <is>
          <t>1. Define endpoint with status 404 and body.
2. Save.</t>
        </is>
      </c>
      <c r="H1020" s="16" t="inlineStr">
        <is>
          <t>status=404</t>
        </is>
      </c>
      <c r="I1020" s="16" t="inlineStr">
        <is>
          <t>Definition saved correctly; (runtime only in desktop).</t>
        </is>
      </c>
      <c r="J1020" s="16" t="inlineStr"/>
      <c r="K1020" s="16" t="inlineStr">
        <is>
          <t>Not Run</t>
        </is>
      </c>
      <c r="L1020" s="16" t="inlineStr">
        <is>
          <t>Medium</t>
        </is>
      </c>
      <c r="M1020" s="16" t="inlineStr"/>
      <c r="N1020" s="16" t="inlineStr"/>
      <c r="O1020" s="16" t="inlineStr"/>
    </row>
    <row r="1021" ht="72" customHeight="1">
      <c r="A1021" s="16" t="inlineStr">
        <is>
          <t>TC-MR-0011</t>
        </is>
      </c>
      <c r="B1021" s="16" t="inlineStr">
        <is>
          <t>Mock Response Matrix</t>
        </is>
      </c>
      <c r="C1021" s="16" t="inlineStr">
        <is>
          <t>Status 422</t>
        </is>
      </c>
      <c r="D1021" s="16" t="inlineStr">
        <is>
          <t>Functional</t>
        </is>
      </c>
      <c r="E1021" s="16" t="inlineStr">
        <is>
          <t>Define mock response 422</t>
        </is>
      </c>
      <c r="F1021" s="16" t="inlineStr">
        <is>
          <t>Web build.</t>
        </is>
      </c>
      <c r="G1021" s="16" t="inlineStr">
        <is>
          <t>1. Define endpoint with status 422 and body.
2. Save.</t>
        </is>
      </c>
      <c r="H1021" s="16" t="inlineStr">
        <is>
          <t>status=422</t>
        </is>
      </c>
      <c r="I1021" s="16" t="inlineStr">
        <is>
          <t>Definition saved correctly; (runtime only in desktop).</t>
        </is>
      </c>
      <c r="J1021" s="16" t="inlineStr"/>
      <c r="K1021" s="16" t="inlineStr">
        <is>
          <t>Not Run</t>
        </is>
      </c>
      <c r="L1021" s="16" t="inlineStr">
        <is>
          <t>Medium</t>
        </is>
      </c>
      <c r="M1021" s="16" t="inlineStr"/>
      <c r="N1021" s="16" t="inlineStr"/>
      <c r="O1021" s="16" t="inlineStr"/>
    </row>
    <row r="1022" ht="72" customHeight="1">
      <c r="A1022" s="16" t="inlineStr">
        <is>
          <t>TC-MR-0012</t>
        </is>
      </c>
      <c r="B1022" s="16" t="inlineStr">
        <is>
          <t>Mock Response Matrix</t>
        </is>
      </c>
      <c r="C1022" s="16" t="inlineStr">
        <is>
          <t>Status 429</t>
        </is>
      </c>
      <c r="D1022" s="16" t="inlineStr">
        <is>
          <t>Functional</t>
        </is>
      </c>
      <c r="E1022" s="16" t="inlineStr">
        <is>
          <t>Define mock response 429</t>
        </is>
      </c>
      <c r="F1022" s="16" t="inlineStr">
        <is>
          <t>Web build.</t>
        </is>
      </c>
      <c r="G1022" s="16" t="inlineStr">
        <is>
          <t>1. Define endpoint with status 429 and body.
2. Save.</t>
        </is>
      </c>
      <c r="H1022" s="16" t="inlineStr">
        <is>
          <t>status=429</t>
        </is>
      </c>
      <c r="I1022" s="16" t="inlineStr">
        <is>
          <t>Definition saved correctly; (runtime only in desktop).</t>
        </is>
      </c>
      <c r="J1022" s="16" t="inlineStr"/>
      <c r="K1022" s="16" t="inlineStr">
        <is>
          <t>Not Run</t>
        </is>
      </c>
      <c r="L1022" s="16" t="inlineStr">
        <is>
          <t>Low</t>
        </is>
      </c>
      <c r="M1022" s="16" t="inlineStr"/>
      <c r="N1022" s="16" t="inlineStr"/>
      <c r="O1022" s="16" t="inlineStr"/>
    </row>
    <row r="1023" ht="72" customHeight="1">
      <c r="A1023" s="16" t="inlineStr">
        <is>
          <t>TC-MR-0013</t>
        </is>
      </c>
      <c r="B1023" s="16" t="inlineStr">
        <is>
          <t>Mock Response Matrix</t>
        </is>
      </c>
      <c r="C1023" s="16" t="inlineStr">
        <is>
          <t>Status 500</t>
        </is>
      </c>
      <c r="D1023" s="16" t="inlineStr">
        <is>
          <t>Functional</t>
        </is>
      </c>
      <c r="E1023" s="16" t="inlineStr">
        <is>
          <t>Define mock response 500</t>
        </is>
      </c>
      <c r="F1023" s="16" t="inlineStr">
        <is>
          <t>Web build.</t>
        </is>
      </c>
      <c r="G1023" s="16" t="inlineStr">
        <is>
          <t>1. Define endpoint with status 500 and body.
2. Save.</t>
        </is>
      </c>
      <c r="H1023" s="16" t="inlineStr">
        <is>
          <t>status=500</t>
        </is>
      </c>
      <c r="I1023" s="16" t="inlineStr">
        <is>
          <t>Definition saved correctly; (runtime only in desktop).</t>
        </is>
      </c>
      <c r="J1023" s="16" t="inlineStr"/>
      <c r="K1023" s="16" t="inlineStr">
        <is>
          <t>Not Run</t>
        </is>
      </c>
      <c r="L1023" s="16" t="inlineStr">
        <is>
          <t>Medium</t>
        </is>
      </c>
      <c r="M1023" s="16" t="inlineStr"/>
      <c r="N1023" s="16" t="inlineStr"/>
      <c r="O1023" s="16" t="inlineStr"/>
    </row>
    <row r="1024" ht="72" customHeight="1">
      <c r="A1024" s="16" t="inlineStr">
        <is>
          <t>TC-MR-0014</t>
        </is>
      </c>
      <c r="B1024" s="16" t="inlineStr">
        <is>
          <t>Mock Response Matrix</t>
        </is>
      </c>
      <c r="C1024" s="16" t="inlineStr">
        <is>
          <t>Status 502</t>
        </is>
      </c>
      <c r="D1024" s="16" t="inlineStr">
        <is>
          <t>Functional</t>
        </is>
      </c>
      <c r="E1024" s="16" t="inlineStr">
        <is>
          <t>Define mock response 502</t>
        </is>
      </c>
      <c r="F1024" s="16" t="inlineStr">
        <is>
          <t>Web build.</t>
        </is>
      </c>
      <c r="G1024" s="16" t="inlineStr">
        <is>
          <t>1. Define endpoint with status 502 and body.
2. Save.</t>
        </is>
      </c>
      <c r="H1024" s="16" t="inlineStr">
        <is>
          <t>status=502</t>
        </is>
      </c>
      <c r="I1024" s="16" t="inlineStr">
        <is>
          <t>Definition saved correctly; (runtime only in desktop).</t>
        </is>
      </c>
      <c r="J1024" s="16" t="inlineStr"/>
      <c r="K1024" s="16" t="inlineStr">
        <is>
          <t>Not Run</t>
        </is>
      </c>
      <c r="L1024" s="16" t="inlineStr">
        <is>
          <t>Low</t>
        </is>
      </c>
      <c r="M1024" s="16" t="inlineStr"/>
      <c r="N1024" s="16" t="inlineStr"/>
      <c r="O1024" s="16" t="inlineStr"/>
    </row>
    <row r="1025" ht="72" customHeight="1">
      <c r="A1025" s="16" t="inlineStr">
        <is>
          <t>TC-MR-0015</t>
        </is>
      </c>
      <c r="B1025" s="16" t="inlineStr">
        <is>
          <t>Mock Response Matrix</t>
        </is>
      </c>
      <c r="C1025" s="16" t="inlineStr">
        <is>
          <t>Status 503</t>
        </is>
      </c>
      <c r="D1025" s="16" t="inlineStr">
        <is>
          <t>Functional</t>
        </is>
      </c>
      <c r="E1025" s="16" t="inlineStr">
        <is>
          <t>Define mock response 503</t>
        </is>
      </c>
      <c r="F1025" s="16" t="inlineStr">
        <is>
          <t>Web build.</t>
        </is>
      </c>
      <c r="G1025" s="16" t="inlineStr">
        <is>
          <t>1. Define endpoint with status 503 and body.
2. Save.</t>
        </is>
      </c>
      <c r="H1025" s="16" t="inlineStr">
        <is>
          <t>status=503</t>
        </is>
      </c>
      <c r="I1025" s="16" t="inlineStr">
        <is>
          <t>Definition saved correctly; (runtime only in desktop).</t>
        </is>
      </c>
      <c r="J1025" s="16" t="inlineStr"/>
      <c r="K1025" s="16" t="inlineStr">
        <is>
          <t>Not Run</t>
        </is>
      </c>
      <c r="L1025" s="16" t="inlineStr">
        <is>
          <t>Low</t>
        </is>
      </c>
      <c r="M1025" s="16" t="inlineStr"/>
      <c r="N1025" s="16" t="inlineStr"/>
      <c r="O1025" s="16" t="inlineStr"/>
    </row>
    <row r="1026" ht="72" customHeight="1">
      <c r="A1026" s="16" t="inlineStr">
        <is>
          <t>TC-MR-0016</t>
        </is>
      </c>
      <c r="B1026" s="16" t="inlineStr">
        <is>
          <t>Mock Response Matrix</t>
        </is>
      </c>
      <c r="C1026" s="16" t="inlineStr">
        <is>
          <t>Matching</t>
        </is>
      </c>
      <c r="D1026" s="16" t="inlineStr">
        <is>
          <t>Functional</t>
        </is>
      </c>
      <c r="E1026" s="16" t="inlineStr">
        <is>
          <t>Mock matching definition: Method-only routing</t>
        </is>
      </c>
      <c r="F1026" s="16" t="inlineStr">
        <is>
          <t>Web build.</t>
        </is>
      </c>
      <c r="G1026" s="16" t="inlineStr">
        <is>
          <t>1. Two endpoints same path: GET and POST.
2. Define and verify (no runtime) GET.</t>
        </is>
      </c>
      <c r="H1026" s="16" t="inlineStr">
        <is>
          <t>matching</t>
        </is>
      </c>
      <c r="I1026" s="16" t="inlineStr">
        <is>
          <t>GET endpoint matched; POST not invoked.</t>
        </is>
      </c>
      <c r="J1026" s="16" t="inlineStr"/>
      <c r="K1026" s="16" t="inlineStr">
        <is>
          <t>Not Run</t>
        </is>
      </c>
      <c r="L1026" s="16" t="inlineStr">
        <is>
          <t>High</t>
        </is>
      </c>
      <c r="M1026" s="16" t="inlineStr"/>
      <c r="N1026" s="16" t="inlineStr"/>
      <c r="O1026" s="16" t="inlineStr"/>
    </row>
    <row r="1027" ht="72" customHeight="1">
      <c r="A1027" s="16" t="inlineStr">
        <is>
          <t>TC-MR-0017</t>
        </is>
      </c>
      <c r="B1027" s="16" t="inlineStr">
        <is>
          <t>Mock Response Matrix</t>
        </is>
      </c>
      <c r="C1027" s="16" t="inlineStr">
        <is>
          <t>Matching</t>
        </is>
      </c>
      <c r="D1027" s="16" t="inlineStr">
        <is>
          <t>Functional</t>
        </is>
      </c>
      <c r="E1027" s="16" t="inlineStr">
        <is>
          <t>Mock matching definition: Exact path</t>
        </is>
      </c>
      <c r="F1027" s="16" t="inlineStr">
        <is>
          <t>Web build.</t>
        </is>
      </c>
      <c r="G1027" s="16" t="inlineStr">
        <is>
          <t>1. /users vs /users/list; send /users.</t>
        </is>
      </c>
      <c r="H1027" s="16" t="inlineStr">
        <is>
          <t>matching</t>
        </is>
      </c>
      <c r="I1027" s="16" t="inlineStr">
        <is>
          <t>Only /users matched.</t>
        </is>
      </c>
      <c r="J1027" s="16" t="inlineStr"/>
      <c r="K1027" s="16" t="inlineStr">
        <is>
          <t>Not Run</t>
        </is>
      </c>
      <c r="L1027" s="16" t="inlineStr">
        <is>
          <t>High</t>
        </is>
      </c>
      <c r="M1027" s="16" t="inlineStr"/>
      <c r="N1027" s="16" t="inlineStr"/>
      <c r="O1027" s="16" t="inlineStr"/>
    </row>
    <row r="1028" ht="72" customHeight="1">
      <c r="A1028" s="16" t="inlineStr">
        <is>
          <t>TC-MR-0018</t>
        </is>
      </c>
      <c r="B1028" s="16" t="inlineStr">
        <is>
          <t>Mock Response Matrix</t>
        </is>
      </c>
      <c r="C1028" s="16" t="inlineStr">
        <is>
          <t>Matching</t>
        </is>
      </c>
      <c r="D1028" s="16" t="inlineStr">
        <is>
          <t>Functional</t>
        </is>
      </c>
      <c r="E1028" s="16" t="inlineStr">
        <is>
          <t>Mock matching definition: Param matching</t>
        </is>
      </c>
      <c r="F1028" s="16" t="inlineStr">
        <is>
          <t>Web build.</t>
        </is>
      </c>
      <c r="G1028" s="16" t="inlineStr">
        <is>
          <t>1. /users/:id; send /users/42.</t>
        </is>
      </c>
      <c r="H1028" s="16" t="inlineStr">
        <is>
          <t>matching</t>
        </is>
      </c>
      <c r="I1028" s="16" t="inlineStr">
        <is>
          <t>Definition valid; id=42 captured.</t>
        </is>
      </c>
      <c r="J1028" s="16" t="inlineStr"/>
      <c r="K1028" s="16" t="inlineStr">
        <is>
          <t>Not Run</t>
        </is>
      </c>
      <c r="L1028" s="16" t="inlineStr">
        <is>
          <t>High</t>
        </is>
      </c>
      <c r="M1028" s="16" t="inlineStr"/>
      <c r="N1028" s="16" t="inlineStr"/>
      <c r="O1028" s="16" t="inlineStr"/>
    </row>
    <row r="1029" ht="72" customHeight="1">
      <c r="A1029" s="16" t="inlineStr">
        <is>
          <t>TC-MR-0019</t>
        </is>
      </c>
      <c r="B1029" s="16" t="inlineStr">
        <is>
          <t>Mock Response Matrix</t>
        </is>
      </c>
      <c r="C1029" s="16" t="inlineStr">
        <is>
          <t>Matching</t>
        </is>
      </c>
      <c r="D1029" s="16" t="inlineStr">
        <is>
          <t>Functional</t>
        </is>
      </c>
      <c r="E1029" s="16" t="inlineStr">
        <is>
          <t>Mock matching definition: Brace-style param</t>
        </is>
      </c>
      <c r="F1029" s="16" t="inlineStr">
        <is>
          <t>Web build.</t>
        </is>
      </c>
      <c r="G1029" s="16" t="inlineStr">
        <is>
          <t>1. /users/{id}; send /users/7.</t>
        </is>
      </c>
      <c r="H1029" s="16" t="inlineStr">
        <is>
          <t>matching</t>
        </is>
      </c>
      <c r="I1029" s="16" t="inlineStr">
        <is>
          <t>Definition valid; id=7 captured.</t>
        </is>
      </c>
      <c r="J1029" s="16" t="inlineStr"/>
      <c r="K1029" s="16" t="inlineStr">
        <is>
          <t>Not Run</t>
        </is>
      </c>
      <c r="L1029" s="16" t="inlineStr">
        <is>
          <t>High</t>
        </is>
      </c>
      <c r="M1029" s="16" t="inlineStr"/>
      <c r="N1029" s="16" t="inlineStr"/>
      <c r="O1029" s="16" t="inlineStr"/>
    </row>
    <row r="1030" ht="72" customHeight="1">
      <c r="A1030" s="16" t="inlineStr">
        <is>
          <t>TC-MR-0020</t>
        </is>
      </c>
      <c r="B1030" s="16" t="inlineStr">
        <is>
          <t>Mock Response Matrix</t>
        </is>
      </c>
      <c r="C1030" s="16" t="inlineStr">
        <is>
          <t>Matching</t>
        </is>
      </c>
      <c r="D1030" s="16" t="inlineStr">
        <is>
          <t>Functional</t>
        </is>
      </c>
      <c r="E1030" s="16" t="inlineStr">
        <is>
          <t>Mock matching definition: Wildcard</t>
        </is>
      </c>
      <c r="F1030" s="16" t="inlineStr">
        <is>
          <t>Web build.</t>
        </is>
      </c>
      <c r="G1030" s="16" t="inlineStr">
        <is>
          <t>1. /assets/*; send /assets/img/a.png.</t>
        </is>
      </c>
      <c r="H1030" s="16" t="inlineStr">
        <is>
          <t>matching</t>
        </is>
      </c>
      <c r="I1030" s="16" t="inlineStr">
        <is>
          <t>Definition valid; wildcard captured.</t>
        </is>
      </c>
      <c r="J1030" s="16" t="inlineStr"/>
      <c r="K1030" s="16" t="inlineStr">
        <is>
          <t>Not Run</t>
        </is>
      </c>
      <c r="L1030" s="16" t="inlineStr">
        <is>
          <t>Medium</t>
        </is>
      </c>
      <c r="M1030" s="16" t="inlineStr"/>
      <c r="N1030" s="16" t="inlineStr"/>
      <c r="O1030" s="16" t="inlineStr"/>
    </row>
    <row r="1031" ht="72" customHeight="1">
      <c r="A1031" s="16" t="inlineStr">
        <is>
          <t>TC-MR-0021</t>
        </is>
      </c>
      <c r="B1031" s="16" t="inlineStr">
        <is>
          <t>Mock Response Matrix</t>
        </is>
      </c>
      <c r="C1031" s="16" t="inlineStr">
        <is>
          <t>Matching</t>
        </is>
      </c>
      <c r="D1031" s="16" t="inlineStr">
        <is>
          <t>Functional</t>
        </is>
      </c>
      <c r="E1031" s="16" t="inlineStr">
        <is>
          <t>Mock matching definition: Selector</t>
        </is>
      </c>
      <c r="F1031" s="16" t="inlineStr">
        <is>
          <t>Web build.</t>
        </is>
      </c>
      <c r="G1031" s="16" t="inlineStr">
        <is>
          <t>1. Endpoint A matches body.type='alpha'; B matches body.type='beta'.
2. Define and verify (no runtime) each.</t>
        </is>
      </c>
      <c r="H1031" s="16" t="inlineStr">
        <is>
          <t>matching</t>
        </is>
      </c>
      <c r="I1031" s="16" t="inlineStr">
        <is>
          <t>Each request routed to matching response.</t>
        </is>
      </c>
      <c r="J1031" s="16" t="inlineStr"/>
      <c r="K1031" s="16" t="inlineStr">
        <is>
          <t>Not Run</t>
        </is>
      </c>
      <c r="L1031" s="16" t="inlineStr">
        <is>
          <t>High</t>
        </is>
      </c>
      <c r="M1031" s="16" t="inlineStr"/>
      <c r="N1031" s="16" t="inlineStr"/>
      <c r="O1031" s="16" t="inlineStr"/>
    </row>
    <row r="1032" ht="72" customHeight="1">
      <c r="A1032" s="16" t="inlineStr">
        <is>
          <t>TC-MR-0022</t>
        </is>
      </c>
      <c r="B1032" s="16" t="inlineStr">
        <is>
          <t>Mock Response Matrix</t>
        </is>
      </c>
      <c r="C1032" s="16" t="inlineStr">
        <is>
          <t>Matching</t>
        </is>
      </c>
      <c r="D1032" s="16" t="inlineStr">
        <is>
          <t>Functional</t>
        </is>
      </c>
      <c r="E1032" s="16" t="inlineStr">
        <is>
          <t>Mock matching definition: Fallthrough</t>
        </is>
      </c>
      <c r="F1032" s="16" t="inlineStr">
        <is>
          <t>Web build.</t>
        </is>
      </c>
      <c r="G1032" s="16" t="inlineStr">
        <is>
          <t>1. No matching response.</t>
        </is>
      </c>
      <c r="H1032" s="16" t="inlineStr">
        <is>
          <t>matching</t>
        </is>
      </c>
      <c r="I1032" s="16" t="inlineStr">
        <is>
          <t>Server returns 404 with informative body.</t>
        </is>
      </c>
      <c r="J1032" s="16" t="inlineStr"/>
      <c r="K1032" s="16" t="inlineStr">
        <is>
          <t>Not Run</t>
        </is>
      </c>
      <c r="L1032" s="16" t="inlineStr">
        <is>
          <t>Medium</t>
        </is>
      </c>
      <c r="M1032" s="16" t="inlineStr"/>
      <c r="N1032" s="16" t="inlineStr"/>
      <c r="O1032" s="16" t="inlineStr"/>
    </row>
    <row r="1033" ht="72" customHeight="1">
      <c r="A1033" s="16" t="inlineStr">
        <is>
          <t>TC-MR-0023</t>
        </is>
      </c>
      <c r="B1033" s="16" t="inlineStr">
        <is>
          <t>Mock Response Matrix</t>
        </is>
      </c>
      <c r="C1033" s="16" t="inlineStr">
        <is>
          <t>Matching</t>
        </is>
      </c>
      <c r="D1033" s="16" t="inlineStr">
        <is>
          <t>Functional</t>
        </is>
      </c>
      <c r="E1033" s="16" t="inlineStr">
        <is>
          <t>Mock matching definition: Match request header</t>
        </is>
      </c>
      <c r="F1033" s="16" t="inlineStr">
        <is>
          <t>Web build.</t>
        </is>
      </c>
      <c r="G1033" s="16" t="inlineStr">
        <is>
          <t>1. Selector header X-Tenant=A.
2. Define and verify (no runtime) with X-Tenant=A.</t>
        </is>
      </c>
      <c r="H1033" s="16" t="inlineStr">
        <is>
          <t>matching</t>
        </is>
      </c>
      <c r="I1033" s="16" t="inlineStr">
        <is>
          <t>Definition valid.</t>
        </is>
      </c>
      <c r="J1033" s="16" t="inlineStr"/>
      <c r="K1033" s="16" t="inlineStr">
        <is>
          <t>Not Run</t>
        </is>
      </c>
      <c r="L1033" s="16" t="inlineStr">
        <is>
          <t>Medium</t>
        </is>
      </c>
      <c r="M1033" s="16" t="inlineStr"/>
      <c r="N1033" s="16" t="inlineStr"/>
      <c r="O1033" s="16" t="inlineStr"/>
    </row>
    <row r="1034" ht="72" customHeight="1">
      <c r="A1034" s="16" t="inlineStr">
        <is>
          <t>TC-MR-0024</t>
        </is>
      </c>
      <c r="B1034" s="16" t="inlineStr">
        <is>
          <t>Mock Response Matrix</t>
        </is>
      </c>
      <c r="C1034" s="16" t="inlineStr">
        <is>
          <t>Matching</t>
        </is>
      </c>
      <c r="D1034" s="16" t="inlineStr">
        <is>
          <t>Functional</t>
        </is>
      </c>
      <c r="E1034" s="16" t="inlineStr">
        <is>
          <t>Mock matching definition: Match query param</t>
        </is>
      </c>
      <c r="F1034" s="16" t="inlineStr">
        <is>
          <t>Web build.</t>
        </is>
      </c>
      <c r="G1034" s="16" t="inlineStr">
        <is>
          <t>1. Selector ?env=staging.
2. Define and verify (no runtime) with env=staging.</t>
        </is>
      </c>
      <c r="H1034" s="16" t="inlineStr">
        <is>
          <t>matching</t>
        </is>
      </c>
      <c r="I1034" s="16" t="inlineStr">
        <is>
          <t>Definition valid.</t>
        </is>
      </c>
      <c r="J1034" s="16" t="inlineStr"/>
      <c r="K1034" s="16" t="inlineStr">
        <is>
          <t>Not Run</t>
        </is>
      </c>
      <c r="L1034" s="16" t="inlineStr">
        <is>
          <t>Medium</t>
        </is>
      </c>
      <c r="M1034" s="16" t="inlineStr"/>
      <c r="N1034" s="16" t="inlineStr"/>
      <c r="O1034" s="16" t="inlineStr"/>
    </row>
    <row r="1035" ht="72" customHeight="1">
      <c r="A1035" s="16" t="inlineStr">
        <is>
          <t>TC-MR-0025</t>
        </is>
      </c>
      <c r="B1035" s="16" t="inlineStr">
        <is>
          <t>Mock Response Matrix</t>
        </is>
      </c>
      <c r="C1035" s="16" t="inlineStr">
        <is>
          <t>Matching</t>
        </is>
      </c>
      <c r="D1035" s="16" t="inlineStr">
        <is>
          <t>Functional</t>
        </is>
      </c>
      <c r="E1035" s="16" t="inlineStr">
        <is>
          <t>Mock matching definition: Use captured :id in body</t>
        </is>
      </c>
      <c r="F1035" s="16" t="inlineStr">
        <is>
          <t>Web build.</t>
        </is>
      </c>
      <c r="G1035" s="16" t="inlineStr">
        <is>
          <t>1. Response template '{"id":"{id}"}'.
2. Define and verify (no runtime) /users/9.</t>
        </is>
      </c>
      <c r="H1035" s="16" t="inlineStr">
        <is>
          <t>matching</t>
        </is>
      </c>
      <c r="I1035" s="16" t="inlineStr">
        <is>
          <t>Body returns {"id":"9"}.</t>
        </is>
      </c>
      <c r="J1035" s="16" t="inlineStr"/>
      <c r="K1035" s="16" t="inlineStr">
        <is>
          <t>Not Run</t>
        </is>
      </c>
      <c r="L1035" s="16" t="inlineStr">
        <is>
          <t>Medium</t>
        </is>
      </c>
      <c r="M1035" s="16" t="inlineStr"/>
      <c r="N1035" s="16" t="inlineStr"/>
      <c r="O1035" s="16" t="inlineStr"/>
    </row>
    <row r="1036" ht="72" customHeight="1">
      <c r="A1036" s="16" t="inlineStr">
        <is>
          <t>TC-JS-0001</t>
        </is>
      </c>
      <c r="B1036" s="16" t="inlineStr">
        <is>
          <t>JSON Schema References</t>
        </is>
      </c>
      <c r="C1036" s="16" t="inlineStr">
        <is>
          <t>Local $ref at root</t>
        </is>
      </c>
      <c r="D1036" s="16" t="inlineStr">
        <is>
          <t>Functional</t>
        </is>
      </c>
      <c r="E1036" s="16" t="inlineStr">
        <is>
          <t>$ref to top-level definition</t>
        </is>
      </c>
      <c r="F1036" s="16" t="inlineStr">
        <is>
          <t>Schema has #/definitions/User and $ref to it from root properties.</t>
        </is>
      </c>
      <c r="G1036" s="16" t="inlineStr">
        <is>
          <t>1. Set body schema; type body referencing User.</t>
        </is>
      </c>
      <c r="H1036" s="16" t="inlineStr">
        <is>
          <t>JSON Schema</t>
        </is>
      </c>
      <c r="I1036" s="16" t="inlineStr">
        <is>
          <t>Editor validates against User; mismatches highlighted.</t>
        </is>
      </c>
      <c r="J1036" s="16" t="inlineStr"/>
      <c r="K1036" s="16" t="inlineStr">
        <is>
          <t>Not Run</t>
        </is>
      </c>
      <c r="L1036" s="16" t="inlineStr">
        <is>
          <t>High</t>
        </is>
      </c>
      <c r="M1036" s="16" t="inlineStr"/>
      <c r="N1036" s="16" t="inlineStr"/>
      <c r="O1036" s="16" t="inlineStr"/>
    </row>
    <row r="1037" ht="72" customHeight="1">
      <c r="A1037" s="16" t="inlineStr">
        <is>
          <t>TC-JS-0002</t>
        </is>
      </c>
      <c r="B1037" s="16" t="inlineStr">
        <is>
          <t>JSON Schema References</t>
        </is>
      </c>
      <c r="C1037" s="16" t="inlineStr">
        <is>
          <t>Local $ref nested 2 levels</t>
        </is>
      </c>
      <c r="D1037" s="16" t="inlineStr">
        <is>
          <t>Functional</t>
        </is>
      </c>
      <c r="E1037" s="16" t="inlineStr">
        <is>
          <t>Medium-depth $ref resolution</t>
        </is>
      </c>
      <c r="F1037" s="16" t="inlineStr">
        <is>
          <t>Schema has definitions A -&gt; B -&gt; C with $refs.</t>
        </is>
      </c>
      <c r="G1037" s="16" t="inlineStr">
        <is>
          <t>1. Set body matching C.</t>
        </is>
      </c>
      <c r="H1037" s="16" t="inlineStr">
        <is>
          <t>JSON Schema</t>
        </is>
      </c>
      <c r="I1037" s="16" t="inlineStr">
        <is>
          <t>All levels resolved; validation works end-to-end.</t>
        </is>
      </c>
      <c r="J1037" s="16" t="inlineStr"/>
      <c r="K1037" s="16" t="inlineStr">
        <is>
          <t>Not Run</t>
        </is>
      </c>
      <c r="L1037" s="16" t="inlineStr">
        <is>
          <t>High</t>
        </is>
      </c>
      <c r="M1037" s="16" t="inlineStr"/>
      <c r="N1037" s="16" t="inlineStr"/>
      <c r="O1037" s="16" t="inlineStr"/>
    </row>
    <row r="1038" ht="72" customHeight="1">
      <c r="A1038" s="16" t="inlineStr">
        <is>
          <t>TC-JS-0003</t>
        </is>
      </c>
      <c r="B1038" s="16" t="inlineStr">
        <is>
          <t>JSON Schema References</t>
        </is>
      </c>
      <c r="C1038" s="16" t="inlineStr">
        <is>
          <t>Local $ref nested 5 levels</t>
        </is>
      </c>
      <c r="D1038" s="16" t="inlineStr">
        <is>
          <t>Edge Case</t>
        </is>
      </c>
      <c r="E1038" s="16" t="inlineStr">
        <is>
          <t>Deep $ref</t>
        </is>
      </c>
      <c r="F1038" s="16" t="inlineStr">
        <is>
          <t>Schema with 5-level $ref chain.</t>
        </is>
      </c>
      <c r="G1038" s="16" t="inlineStr">
        <is>
          <t>1. Body matching deepest.</t>
        </is>
      </c>
      <c r="H1038" s="16" t="inlineStr">
        <is>
          <t>JSON Schema</t>
        </is>
      </c>
      <c r="I1038" s="16" t="inlineStr">
        <is>
          <t>Resolution terminates; validation correct.</t>
        </is>
      </c>
      <c r="J1038" s="16" t="inlineStr"/>
      <c r="K1038" s="16" t="inlineStr">
        <is>
          <t>Not Run</t>
        </is>
      </c>
      <c r="L1038" s="16" t="inlineStr">
        <is>
          <t>Medium</t>
        </is>
      </c>
      <c r="M1038" s="16" t="inlineStr"/>
      <c r="N1038" s="16" t="inlineStr"/>
      <c r="O1038" s="16" t="inlineStr"/>
    </row>
    <row r="1039" ht="72" customHeight="1">
      <c r="A1039" s="16" t="inlineStr">
        <is>
          <t>TC-JS-0004</t>
        </is>
      </c>
      <c r="B1039" s="16" t="inlineStr">
        <is>
          <t>JSON Schema References</t>
        </is>
      </c>
      <c r="C1039" s="16" t="inlineStr">
        <is>
          <t>Local $ref with allOf</t>
        </is>
      </c>
      <c r="D1039" s="16" t="inlineStr">
        <is>
          <t>Functional</t>
        </is>
      </c>
      <c r="E1039" s="16" t="inlineStr">
        <is>
          <t>Composition allOf</t>
        </is>
      </c>
      <c r="F1039" s="16" t="inlineStr">
        <is>
          <t>Schema combines two refs with allOf.</t>
        </is>
      </c>
      <c r="G1039" s="16" t="inlineStr">
        <is>
          <t>1. Body matching combined schema.</t>
        </is>
      </c>
      <c r="H1039" s="16" t="inlineStr">
        <is>
          <t>JSON Schema</t>
        </is>
      </c>
      <c r="I1039" s="16" t="inlineStr">
        <is>
          <t>Both constraints applied; violations against either flagged.</t>
        </is>
      </c>
      <c r="J1039" s="16" t="inlineStr"/>
      <c r="K1039" s="16" t="inlineStr">
        <is>
          <t>Not Run</t>
        </is>
      </c>
      <c r="L1039" s="16" t="inlineStr">
        <is>
          <t>High</t>
        </is>
      </c>
      <c r="M1039" s="16" t="inlineStr"/>
      <c r="N1039" s="16" t="inlineStr"/>
      <c r="O1039" s="16" t="inlineStr"/>
    </row>
    <row r="1040" ht="72" customHeight="1">
      <c r="A1040" s="16" t="inlineStr">
        <is>
          <t>TC-JS-0005</t>
        </is>
      </c>
      <c r="B1040" s="16" t="inlineStr">
        <is>
          <t>JSON Schema References</t>
        </is>
      </c>
      <c r="C1040" s="16" t="inlineStr">
        <is>
          <t>Local $ref with anyOf</t>
        </is>
      </c>
      <c r="D1040" s="16" t="inlineStr">
        <is>
          <t>Functional</t>
        </is>
      </c>
      <c r="E1040" s="16" t="inlineStr">
        <is>
          <t>Composition anyOf</t>
        </is>
      </c>
      <c r="F1040" s="16" t="inlineStr">
        <is>
          <t>anyOf two refs.</t>
        </is>
      </c>
      <c r="G1040" s="16" t="inlineStr">
        <is>
          <t>1. Body matching one alternative.</t>
        </is>
      </c>
      <c r="H1040" s="16" t="inlineStr">
        <is>
          <t>JSON Schema</t>
        </is>
      </c>
      <c r="I1040" s="16" t="inlineStr">
        <is>
          <t>Accepted if matches at least one.</t>
        </is>
      </c>
      <c r="J1040" s="16" t="inlineStr"/>
      <c r="K1040" s="16" t="inlineStr">
        <is>
          <t>Not Run</t>
        </is>
      </c>
      <c r="L1040" s="16" t="inlineStr">
        <is>
          <t>Medium</t>
        </is>
      </c>
      <c r="M1040" s="16" t="inlineStr"/>
      <c r="N1040" s="16" t="inlineStr"/>
      <c r="O1040" s="16" t="inlineStr"/>
    </row>
    <row r="1041" ht="72" customHeight="1">
      <c r="A1041" s="16" t="inlineStr">
        <is>
          <t>TC-JS-0006</t>
        </is>
      </c>
      <c r="B1041" s="16" t="inlineStr">
        <is>
          <t>JSON Schema References</t>
        </is>
      </c>
      <c r="C1041" s="16" t="inlineStr">
        <is>
          <t>Local $ref with oneOf</t>
        </is>
      </c>
      <c r="D1041" s="16" t="inlineStr">
        <is>
          <t>Functional</t>
        </is>
      </c>
      <c r="E1041" s="16" t="inlineStr">
        <is>
          <t>Composition oneOf</t>
        </is>
      </c>
      <c r="F1041" s="16" t="inlineStr">
        <is>
          <t>oneOf alternatives.</t>
        </is>
      </c>
      <c r="G1041" s="16" t="inlineStr">
        <is>
          <t>1. Body matching exactly one.</t>
        </is>
      </c>
      <c r="H1041" s="16" t="inlineStr">
        <is>
          <t>JSON Schema</t>
        </is>
      </c>
      <c r="I1041" s="16" t="inlineStr">
        <is>
          <t>Accepted only if matches one.</t>
        </is>
      </c>
      <c r="J1041" s="16" t="inlineStr"/>
      <c r="K1041" s="16" t="inlineStr">
        <is>
          <t>Not Run</t>
        </is>
      </c>
      <c r="L1041" s="16" t="inlineStr">
        <is>
          <t>Medium</t>
        </is>
      </c>
      <c r="M1041" s="16" t="inlineStr"/>
      <c r="N1041" s="16" t="inlineStr"/>
      <c r="O1041" s="16" t="inlineStr"/>
    </row>
    <row r="1042" ht="72" customHeight="1">
      <c r="A1042" s="16" t="inlineStr">
        <is>
          <t>TC-JS-0007</t>
        </is>
      </c>
      <c r="B1042" s="16" t="inlineStr">
        <is>
          <t>JSON Schema References</t>
        </is>
      </c>
      <c r="C1042" s="16" t="inlineStr">
        <is>
          <t>Local $ref with not</t>
        </is>
      </c>
      <c r="D1042" s="16" t="inlineStr">
        <is>
          <t>Edge Case</t>
        </is>
      </c>
      <c r="E1042" s="16" t="inlineStr">
        <is>
          <t>Negative composition</t>
        </is>
      </c>
      <c r="F1042" s="16" t="inlineStr">
        <is>
          <t>Schema with 'not' clause.</t>
        </is>
      </c>
      <c r="G1042" s="16" t="inlineStr">
        <is>
          <t>1. Body that violates 'not'.</t>
        </is>
      </c>
      <c r="H1042" s="16" t="inlineStr">
        <is>
          <t>JSON Schema</t>
        </is>
      </c>
      <c r="I1042" s="16" t="inlineStr">
        <is>
          <t>Validation fails; clear error.</t>
        </is>
      </c>
      <c r="J1042" s="16" t="inlineStr"/>
      <c r="K1042" s="16" t="inlineStr">
        <is>
          <t>Not Run</t>
        </is>
      </c>
      <c r="L1042" s="16" t="inlineStr">
        <is>
          <t>Low</t>
        </is>
      </c>
      <c r="M1042" s="16" t="inlineStr"/>
      <c r="N1042" s="16" t="inlineStr"/>
      <c r="O1042" s="16" t="inlineStr"/>
    </row>
    <row r="1043" ht="72" customHeight="1">
      <c r="A1043" s="16" t="inlineStr">
        <is>
          <t>TC-JS-0008</t>
        </is>
      </c>
      <c r="B1043" s="16" t="inlineStr">
        <is>
          <t>JSON Schema References</t>
        </is>
      </c>
      <c r="C1043" s="16" t="inlineStr">
        <is>
          <t>Circular $ref</t>
        </is>
      </c>
      <c r="D1043" s="16" t="inlineStr">
        <is>
          <t>Edge Case</t>
        </is>
      </c>
      <c r="E1043" s="16" t="inlineStr">
        <is>
          <t>Self-referential schema</t>
        </is>
      </c>
      <c r="F1043" s="16" t="inlineStr">
        <is>
          <t>Schema tree node $refs to itself for child nodes.</t>
        </is>
      </c>
      <c r="G1043" s="16" t="inlineStr">
        <is>
          <t>1. Body with nested children.</t>
        </is>
      </c>
      <c r="H1043" s="16" t="inlineStr">
        <is>
          <t>JSON Schema</t>
        </is>
      </c>
      <c r="I1043" s="16" t="inlineStr">
        <is>
          <t>Resolution terminates; validation works for finite trees.</t>
        </is>
      </c>
      <c r="J1043" s="16" t="inlineStr"/>
      <c r="K1043" s="16" t="inlineStr">
        <is>
          <t>Not Run</t>
        </is>
      </c>
      <c r="L1043" s="16" t="inlineStr">
        <is>
          <t>Medium</t>
        </is>
      </c>
      <c r="M1043" s="16" t="inlineStr"/>
      <c r="N1043" s="16" t="inlineStr"/>
      <c r="O1043" s="16" t="inlineStr"/>
    </row>
    <row r="1044" ht="72" customHeight="1">
      <c r="A1044" s="16" t="inlineStr">
        <is>
          <t>TC-JS-0009</t>
        </is>
      </c>
      <c r="B1044" s="16" t="inlineStr">
        <is>
          <t>JSON Schema References</t>
        </is>
      </c>
      <c r="C1044" s="16" t="inlineStr">
        <is>
          <t>External $ref to file</t>
        </is>
      </c>
      <c r="D1044" s="16" t="inlineStr">
        <is>
          <t>Functional</t>
        </is>
      </c>
      <c r="E1044" s="16" t="inlineStr">
        <is>
          <t>$ref to global asset</t>
        </is>
      </c>
      <c r="F1044" s="16" t="inlineStr">
        <is>
          <t>Schema $refs 'schemas/User.json' (another globalAssets entry).</t>
        </is>
      </c>
      <c r="G1044" s="16" t="inlineStr">
        <is>
          <t>1. Body matching User.</t>
        </is>
      </c>
      <c r="H1044" s="16" t="inlineStr">
        <is>
          <t>JSON Schema</t>
        </is>
      </c>
      <c r="I1044" s="16" t="inlineStr">
        <is>
          <t>Cross-asset resolution succeeds; validation correct.</t>
        </is>
      </c>
      <c r="J1044" s="16" t="inlineStr"/>
      <c r="K1044" s="16" t="inlineStr">
        <is>
          <t>Not Run</t>
        </is>
      </c>
      <c r="L1044" s="16" t="inlineStr">
        <is>
          <t>High</t>
        </is>
      </c>
      <c r="M1044" s="16" t="inlineStr"/>
      <c r="N1044" s="16" t="inlineStr"/>
      <c r="O1044" s="16" t="inlineStr"/>
    </row>
    <row r="1045" ht="72" customHeight="1">
      <c r="A1045" s="16" t="inlineStr">
        <is>
          <t>TC-JS-0010</t>
        </is>
      </c>
      <c r="B1045" s="16" t="inlineStr">
        <is>
          <t>JSON Schema References</t>
        </is>
      </c>
      <c r="C1045" s="16" t="inlineStr">
        <is>
          <t>External $ref broken (asset missing)</t>
        </is>
      </c>
      <c r="D1045" s="16" t="inlineStr">
        <is>
          <t>Negative</t>
        </is>
      </c>
      <c r="E1045" s="16" t="inlineStr">
        <is>
          <t>Missing target</t>
        </is>
      </c>
      <c r="F1045" s="16" t="inlineStr">
        <is>
          <t>Schema $refs deleted/missing asset.</t>
        </is>
      </c>
      <c r="G1045" s="16" t="inlineStr">
        <is>
          <t>1. Open editor.</t>
        </is>
      </c>
      <c r="H1045" s="16" t="inlineStr">
        <is>
          <t>JSON Schema</t>
        </is>
      </c>
      <c r="I1045" s="16" t="inlineStr">
        <is>
          <t>Clear error 'cannot resolve $ref'; UI does not crash.</t>
        </is>
      </c>
      <c r="J1045" s="16" t="inlineStr"/>
      <c r="K1045" s="16" t="inlineStr">
        <is>
          <t>Not Run</t>
        </is>
      </c>
      <c r="L1045" s="16" t="inlineStr">
        <is>
          <t>Medium</t>
        </is>
      </c>
      <c r="M1045" s="16" t="inlineStr"/>
      <c r="N1045" s="16" t="inlineStr"/>
      <c r="O1045" s="16" t="inlineStr"/>
    </row>
    <row r="1046" ht="72" customHeight="1">
      <c r="A1046" s="16" t="inlineStr">
        <is>
          <t>TC-JS-0011</t>
        </is>
      </c>
      <c r="B1046" s="16" t="inlineStr">
        <is>
          <t>JSON Schema References</t>
        </is>
      </c>
      <c r="C1046" s="16" t="inlineStr">
        <is>
          <t>$ref with JSON Pointer escapes (~0, ~1)</t>
        </is>
      </c>
      <c r="D1046" s="16" t="inlineStr">
        <is>
          <t>Edge Case</t>
        </is>
      </c>
      <c r="E1046" s="16" t="inlineStr">
        <is>
          <t>Escaped pointer</t>
        </is>
      </c>
      <c r="F1046" s="16" t="inlineStr">
        <is>
          <t>Schema has key with '/' or '~'.</t>
        </is>
      </c>
      <c r="G1046" s="16" t="inlineStr">
        <is>
          <t>1. Reference via escaped pointer.</t>
        </is>
      </c>
      <c r="H1046" s="16" t="inlineStr">
        <is>
          <t>JSON Schema</t>
        </is>
      </c>
      <c r="I1046" s="16" t="inlineStr">
        <is>
          <t>Pointer decoded correctly.</t>
        </is>
      </c>
      <c r="J1046" s="16" t="inlineStr"/>
      <c r="K1046" s="16" t="inlineStr">
        <is>
          <t>Not Run</t>
        </is>
      </c>
      <c r="L1046" s="16" t="inlineStr">
        <is>
          <t>Low</t>
        </is>
      </c>
      <c r="M1046" s="16" t="inlineStr"/>
      <c r="N1046" s="16" t="inlineStr"/>
      <c r="O1046" s="16" t="inlineStr"/>
    </row>
    <row r="1047" ht="72" customHeight="1">
      <c r="A1047" s="16" t="inlineStr">
        <is>
          <t>TC-JS-0012</t>
        </is>
      </c>
      <c r="B1047" s="16" t="inlineStr">
        <is>
          <t>JSON Schema References</t>
        </is>
      </c>
      <c r="C1047" s="16" t="inlineStr">
        <is>
          <t>$ref to URL (http)</t>
        </is>
      </c>
      <c r="D1047" s="16" t="inlineStr">
        <is>
          <t>Edge Case</t>
        </is>
      </c>
      <c r="E1047" s="16" t="inlineStr">
        <is>
          <t>Remote $ref</t>
        </is>
      </c>
      <c r="F1047" s="16" t="inlineStr">
        <is>
          <t>$ref to https://schemas.example/User.json.</t>
        </is>
      </c>
      <c r="G1047" s="16" t="inlineStr">
        <is>
          <t>1. Open editor.</t>
        </is>
      </c>
      <c r="H1047" s="16" t="inlineStr">
        <is>
          <t>JSON Schema</t>
        </is>
      </c>
      <c r="I1047" s="16" t="inlineStr">
        <is>
          <t>Either fetched and cached, or warning that remote $ref not supported. Consistent behavior.</t>
        </is>
      </c>
      <c r="J1047" s="16" t="inlineStr"/>
      <c r="K1047" s="16" t="inlineStr">
        <is>
          <t>Not Run</t>
        </is>
      </c>
      <c r="L1047" s="16" t="inlineStr">
        <is>
          <t>Medium</t>
        </is>
      </c>
      <c r="M1047" s="16" t="inlineStr"/>
      <c r="N1047" s="16" t="inlineStr"/>
      <c r="O1047" s="16" t="inlineStr"/>
    </row>
    <row r="1048" ht="72" customHeight="1">
      <c r="A1048" s="16" t="inlineStr">
        <is>
          <t>TC-JS-0013</t>
        </is>
      </c>
      <c r="B1048" s="16" t="inlineStr">
        <is>
          <t>JSON Schema References</t>
        </is>
      </c>
      <c r="C1048" s="16" t="inlineStr">
        <is>
          <t>Schema validation - missing required field</t>
        </is>
      </c>
      <c r="D1048" s="16" t="inlineStr">
        <is>
          <t>Negative</t>
        </is>
      </c>
      <c r="E1048" s="16" t="inlineStr">
        <is>
          <t>Required field omitted</t>
        </is>
      </c>
      <c r="F1048" s="16" t="inlineStr">
        <is>
          <t>Schema requires 'id'.</t>
        </is>
      </c>
      <c r="G1048" s="16" t="inlineStr">
        <is>
          <t>1. Body omits id.</t>
        </is>
      </c>
      <c r="H1048" s="16" t="inlineStr">
        <is>
          <t>JSON Schema</t>
        </is>
      </c>
      <c r="I1048" s="16" t="inlineStr">
        <is>
          <t>Squiggle on missing field; sendable but flagged.</t>
        </is>
      </c>
      <c r="J1048" s="16" t="inlineStr"/>
      <c r="K1048" s="16" t="inlineStr">
        <is>
          <t>Not Run</t>
        </is>
      </c>
      <c r="L1048" s="16" t="inlineStr">
        <is>
          <t>High</t>
        </is>
      </c>
      <c r="M1048" s="16" t="inlineStr"/>
      <c r="N1048" s="16" t="inlineStr"/>
      <c r="O1048" s="16" t="inlineStr"/>
    </row>
    <row r="1049" ht="72" customHeight="1">
      <c r="A1049" s="16" t="inlineStr">
        <is>
          <t>TC-JS-0014</t>
        </is>
      </c>
      <c r="B1049" s="16" t="inlineStr">
        <is>
          <t>JSON Schema References</t>
        </is>
      </c>
      <c r="C1049" s="16" t="inlineStr">
        <is>
          <t>Schema validation - wrong type</t>
        </is>
      </c>
      <c r="D1049" s="16" t="inlineStr">
        <is>
          <t>Negative</t>
        </is>
      </c>
      <c r="E1049" s="16" t="inlineStr">
        <is>
          <t>Type mismatch</t>
        </is>
      </c>
      <c r="F1049" s="16" t="inlineStr">
        <is>
          <t>Schema id: integer.</t>
        </is>
      </c>
      <c r="G1049" s="16" t="inlineStr">
        <is>
          <t>1. Body id='abc'.</t>
        </is>
      </c>
      <c r="H1049" s="16" t="inlineStr">
        <is>
          <t>JSON Schema</t>
        </is>
      </c>
      <c r="I1049" s="16" t="inlineStr">
        <is>
          <t>Squiggle on field; sendable.</t>
        </is>
      </c>
      <c r="J1049" s="16" t="inlineStr"/>
      <c r="K1049" s="16" t="inlineStr">
        <is>
          <t>Not Run</t>
        </is>
      </c>
      <c r="L1049" s="16" t="inlineStr">
        <is>
          <t>Medium</t>
        </is>
      </c>
      <c r="M1049" s="16" t="inlineStr"/>
      <c r="N1049" s="16" t="inlineStr"/>
      <c r="O1049" s="16" t="inlineStr"/>
    </row>
    <row r="1050" ht="72" customHeight="1">
      <c r="A1050" s="16" t="inlineStr">
        <is>
          <t>TC-JS-0015</t>
        </is>
      </c>
      <c r="B1050" s="16" t="inlineStr">
        <is>
          <t>JSON Schema References</t>
        </is>
      </c>
      <c r="C1050" s="16" t="inlineStr">
        <is>
          <t>Schema with pattern regex</t>
        </is>
      </c>
      <c r="D1050" s="16" t="inlineStr">
        <is>
          <t>Edge Case</t>
        </is>
      </c>
      <c r="E1050" s="16" t="inlineStr">
        <is>
          <t>Pattern validation</t>
        </is>
      </c>
      <c r="F1050" s="16" t="inlineStr">
        <is>
          <t>Schema field pattern '^[A-Z]+$'.</t>
        </is>
      </c>
      <c r="G1050" s="16" t="inlineStr">
        <is>
          <t>1. Body field='aaa'.</t>
        </is>
      </c>
      <c r="H1050" s="16" t="inlineStr">
        <is>
          <t>JSON Schema</t>
        </is>
      </c>
      <c r="I1050" s="16" t="inlineStr">
        <is>
          <t>Squiggle.</t>
        </is>
      </c>
      <c r="J1050" s="16" t="inlineStr"/>
      <c r="K1050" s="16" t="inlineStr">
        <is>
          <t>Not Run</t>
        </is>
      </c>
      <c r="L1050" s="16" t="inlineStr">
        <is>
          <t>Low</t>
        </is>
      </c>
      <c r="M1050" s="16" t="inlineStr"/>
      <c r="N1050" s="16" t="inlineStr"/>
      <c r="O1050" s="16" t="inlineStr"/>
    </row>
    <row r="1051" ht="72" customHeight="1">
      <c r="A1051" s="16" t="inlineStr">
        <is>
          <t>TC-JS-0016</t>
        </is>
      </c>
      <c r="B1051" s="16" t="inlineStr">
        <is>
          <t>JSON Schema References</t>
        </is>
      </c>
      <c r="C1051" s="16" t="inlineStr">
        <is>
          <t>Schema with enum</t>
        </is>
      </c>
      <c r="D1051" s="16" t="inlineStr">
        <is>
          <t>Functional</t>
        </is>
      </c>
      <c r="E1051" s="16" t="inlineStr">
        <is>
          <t>Enum validation</t>
        </is>
      </c>
      <c r="F1051" s="16" t="inlineStr">
        <is>
          <t>Schema enum [a,b,c].</t>
        </is>
      </c>
      <c r="G1051" s="16" t="inlineStr">
        <is>
          <t>1. Body field='d'.</t>
        </is>
      </c>
      <c r="H1051" s="16" t="inlineStr">
        <is>
          <t>JSON Schema</t>
        </is>
      </c>
      <c r="I1051" s="16" t="inlineStr">
        <is>
          <t>Squiggle on field.</t>
        </is>
      </c>
      <c r="J1051" s="16" t="inlineStr"/>
      <c r="K1051" s="16" t="inlineStr">
        <is>
          <t>Not Run</t>
        </is>
      </c>
      <c r="L1051" s="16" t="inlineStr">
        <is>
          <t>Medium</t>
        </is>
      </c>
      <c r="M1051" s="16" t="inlineStr"/>
      <c r="N1051" s="16" t="inlineStr"/>
      <c r="O1051" s="16" t="inlineStr"/>
    </row>
    <row r="1052" ht="72" customHeight="1">
      <c r="A1052" s="16" t="inlineStr">
        <is>
          <t>TC-JS-0017</t>
        </is>
      </c>
      <c r="B1052" s="16" t="inlineStr">
        <is>
          <t>JSON Schema References</t>
        </is>
      </c>
      <c r="C1052" s="16" t="inlineStr">
        <is>
          <t>Schema with min/max length</t>
        </is>
      </c>
      <c r="D1052" s="16" t="inlineStr">
        <is>
          <t>Functional</t>
        </is>
      </c>
      <c r="E1052" s="16" t="inlineStr">
        <is>
          <t>Length constraints</t>
        </is>
      </c>
      <c r="F1052" s="16" t="inlineStr">
        <is>
          <t>Schema minLength=3 maxLength=10.</t>
        </is>
      </c>
      <c r="G1052" s="16" t="inlineStr">
        <is>
          <t>1. Body field='ab'.</t>
        </is>
      </c>
      <c r="H1052" s="16" t="inlineStr">
        <is>
          <t>JSON Schema</t>
        </is>
      </c>
      <c r="I1052" s="16" t="inlineStr">
        <is>
          <t>Squiggle on field.</t>
        </is>
      </c>
      <c r="J1052" s="16" t="inlineStr"/>
      <c r="K1052" s="16" t="inlineStr">
        <is>
          <t>Not Run</t>
        </is>
      </c>
      <c r="L1052" s="16" t="inlineStr">
        <is>
          <t>Low</t>
        </is>
      </c>
      <c r="M1052" s="16" t="inlineStr"/>
      <c r="N1052" s="16" t="inlineStr"/>
      <c r="O1052" s="16" t="inlineStr"/>
    </row>
    <row r="1053" ht="72" customHeight="1">
      <c r="A1053" s="16" t="inlineStr">
        <is>
          <t>TC-JS-0018</t>
        </is>
      </c>
      <c r="B1053" s="16" t="inlineStr">
        <is>
          <t>JSON Schema References</t>
        </is>
      </c>
      <c r="C1053" s="16" t="inlineStr">
        <is>
          <t>Schema with min/max value (number)</t>
        </is>
      </c>
      <c r="D1053" s="16" t="inlineStr">
        <is>
          <t>Functional</t>
        </is>
      </c>
      <c r="E1053" s="16" t="inlineStr">
        <is>
          <t>Numeric range</t>
        </is>
      </c>
      <c r="F1053" s="16" t="inlineStr">
        <is>
          <t>Schema minimum=0 maximum=100.</t>
        </is>
      </c>
      <c r="G1053" s="16" t="inlineStr">
        <is>
          <t>1. Body field=150.</t>
        </is>
      </c>
      <c r="H1053" s="16" t="inlineStr">
        <is>
          <t>JSON Schema</t>
        </is>
      </c>
      <c r="I1053" s="16" t="inlineStr">
        <is>
          <t>Squiggle.</t>
        </is>
      </c>
      <c r="J1053" s="16" t="inlineStr"/>
      <c r="K1053" s="16" t="inlineStr">
        <is>
          <t>Not Run</t>
        </is>
      </c>
      <c r="L1053" s="16" t="inlineStr">
        <is>
          <t>Low</t>
        </is>
      </c>
      <c r="M1053" s="16" t="inlineStr"/>
      <c r="N1053" s="16" t="inlineStr"/>
      <c r="O1053" s="16" t="inlineStr"/>
    </row>
    <row r="1054" ht="72" customHeight="1">
      <c r="A1054" s="16" t="inlineStr">
        <is>
          <t>TC-JS-0019</t>
        </is>
      </c>
      <c r="B1054" s="16" t="inlineStr">
        <is>
          <t>JSON Schema References</t>
        </is>
      </c>
      <c r="C1054" s="16" t="inlineStr">
        <is>
          <t>Schema applied to response body too (if supported)</t>
        </is>
      </c>
      <c r="D1054" s="16" t="inlineStr">
        <is>
          <t>Edge Case</t>
        </is>
      </c>
      <c r="E1054" s="16" t="inlineStr">
        <is>
          <t>Response validation</t>
        </is>
      </c>
      <c r="F1054" s="16" t="inlineStr">
        <is>
          <t>responseSchemaId set.</t>
        </is>
      </c>
      <c r="G1054" s="16" t="inlineStr">
        <is>
          <t>1. Receive non-conforming response.</t>
        </is>
      </c>
      <c r="H1054" s="16" t="inlineStr">
        <is>
          <t>JSON Schema</t>
        </is>
      </c>
      <c r="I1054" s="16" t="inlineStr">
        <is>
          <t>Tests panel reports schema mismatch.</t>
        </is>
      </c>
      <c r="J1054" s="16" t="inlineStr"/>
      <c r="K1054" s="16" t="inlineStr">
        <is>
          <t>Not Run</t>
        </is>
      </c>
      <c r="L1054" s="16" t="inlineStr">
        <is>
          <t>Medium</t>
        </is>
      </c>
      <c r="M1054" s="16" t="inlineStr"/>
      <c r="N1054" s="16" t="inlineStr"/>
      <c r="O1054" s="16" t="inlineStr"/>
    </row>
    <row r="1055" ht="72" customHeight="1">
      <c r="A1055" s="16" t="inlineStr">
        <is>
          <t>TC-JS-0020</t>
        </is>
      </c>
      <c r="B1055" s="16" t="inlineStr">
        <is>
          <t>JSON Schema References</t>
        </is>
      </c>
      <c r="C1055" s="16" t="inlineStr">
        <is>
          <t>Schema autocomplete in body editor</t>
        </is>
      </c>
      <c r="D1055" s="16" t="inlineStr">
        <is>
          <t>UX/UI</t>
        </is>
      </c>
      <c r="E1055" s="16" t="inlineStr">
        <is>
          <t>Property autocomplete</t>
        </is>
      </c>
      <c r="F1055" s="16" t="inlineStr">
        <is>
          <t>Schema with known properties.</t>
        </is>
      </c>
      <c r="G1055" s="16" t="inlineStr">
        <is>
          <t>1. Type '{' and Ctrl+Space.</t>
        </is>
      </c>
      <c r="H1055" s="16" t="inlineStr">
        <is>
          <t>JSON Schema</t>
        </is>
      </c>
      <c r="I1055" s="16" t="inlineStr">
        <is>
          <t>Suggestions include schema-defined properties.</t>
        </is>
      </c>
      <c r="J1055" s="16" t="inlineStr"/>
      <c r="K1055" s="16" t="inlineStr">
        <is>
          <t>Not Run</t>
        </is>
      </c>
      <c r="L1055" s="16" t="inlineStr">
        <is>
          <t>Medium</t>
        </is>
      </c>
      <c r="M1055" s="16" t="inlineStr"/>
      <c r="N1055" s="16" t="inlineStr"/>
      <c r="O1055" s="16" t="inlineStr"/>
    </row>
    <row r="1056" ht="72" customHeight="1">
      <c r="A1056" s="16" t="inlineStr">
        <is>
          <t>TC-JS-0021</t>
        </is>
      </c>
      <c r="B1056" s="16" t="inlineStr">
        <is>
          <t>JSON Schema References</t>
        </is>
      </c>
      <c r="C1056" s="16" t="inlineStr">
        <is>
          <t>Schema edit live re-validates body</t>
        </is>
      </c>
      <c r="D1056" s="16" t="inlineStr">
        <is>
          <t>Functional</t>
        </is>
      </c>
      <c r="E1056" s="16" t="inlineStr">
        <is>
          <t>Reactive validation</t>
        </is>
      </c>
      <c r="F1056" s="16" t="inlineStr">
        <is>
          <t>Body matches schema.</t>
        </is>
      </c>
      <c r="G1056" s="16" t="inlineStr">
        <is>
          <t>1. Edit schema to add required field.</t>
        </is>
      </c>
      <c r="H1056" s="16" t="inlineStr">
        <is>
          <t>JSON Schema</t>
        </is>
      </c>
      <c r="I1056" s="16" t="inlineStr">
        <is>
          <t>Body now shows squiggle without manual refresh.</t>
        </is>
      </c>
      <c r="J1056" s="16" t="inlineStr"/>
      <c r="K1056" s="16" t="inlineStr">
        <is>
          <t>Not Run</t>
        </is>
      </c>
      <c r="L1056" s="16" t="inlineStr">
        <is>
          <t>Medium</t>
        </is>
      </c>
      <c r="M1056" s="16" t="inlineStr"/>
      <c r="N1056" s="16" t="inlineStr"/>
      <c r="O1056" s="16" t="inlineStr"/>
    </row>
    <row r="1057" ht="72" customHeight="1">
      <c r="A1057" s="16" t="inlineStr">
        <is>
          <t>TC-JS-0022</t>
        </is>
      </c>
      <c r="B1057" s="16" t="inlineStr">
        <is>
          <t>JSON Schema References</t>
        </is>
      </c>
      <c r="C1057" s="16" t="inlineStr">
        <is>
          <t>Schema rename updates references</t>
        </is>
      </c>
      <c r="D1057" s="16" t="inlineStr">
        <is>
          <t>Functional</t>
        </is>
      </c>
      <c r="E1057" s="16" t="inlineStr">
        <is>
          <t>Rename safety</t>
        </is>
      </c>
      <c r="F1057" s="16" t="inlineStr">
        <is>
          <t>Schema 'User' referenced by request bodies.</t>
        </is>
      </c>
      <c r="G1057" s="16" t="inlineStr">
        <is>
          <t>1. Rename to 'Customer'.</t>
        </is>
      </c>
      <c r="H1057" s="16" t="inlineStr">
        <is>
          <t>JSON Schema</t>
        </is>
      </c>
      <c r="I1057" s="16" t="inlineStr">
        <is>
          <t>All bodySchemaId refs update; no orphans.</t>
        </is>
      </c>
      <c r="J1057" s="16" t="inlineStr"/>
      <c r="K1057" s="16" t="inlineStr">
        <is>
          <t>Not Run</t>
        </is>
      </c>
      <c r="L1057" s="16" t="inlineStr">
        <is>
          <t>Medium</t>
        </is>
      </c>
      <c r="M1057" s="16" t="inlineStr"/>
      <c r="N1057" s="16" t="inlineStr"/>
      <c r="O1057" s="16" t="inlineStr"/>
    </row>
    <row r="1058" ht="72" customHeight="1">
      <c r="A1058" s="16" t="inlineStr">
        <is>
          <t>TC-JS-0023</t>
        </is>
      </c>
      <c r="B1058" s="16" t="inlineStr">
        <is>
          <t>JSON Schema References</t>
        </is>
      </c>
      <c r="C1058" s="16" t="inlineStr">
        <is>
          <t>Schema delete with refs warns</t>
        </is>
      </c>
      <c r="D1058" s="16" t="inlineStr">
        <is>
          <t>Negative</t>
        </is>
      </c>
      <c r="E1058" s="16" t="inlineStr">
        <is>
          <t>Delete with references</t>
        </is>
      </c>
      <c r="F1058" s="16" t="inlineStr">
        <is>
          <t>Schema referenced by 3 requests.</t>
        </is>
      </c>
      <c r="G1058" s="16" t="inlineStr">
        <is>
          <t>1. Delete schema.</t>
        </is>
      </c>
      <c r="H1058" s="16" t="inlineStr">
        <is>
          <t>JSON Schema</t>
        </is>
      </c>
      <c r="I1058" s="16" t="inlineStr">
        <is>
          <t>Warning lists referencing requests; cancel preserves; confirm clears refs.</t>
        </is>
      </c>
      <c r="J1058" s="16" t="inlineStr"/>
      <c r="K1058" s="16" t="inlineStr">
        <is>
          <t>Not Run</t>
        </is>
      </c>
      <c r="L1058" s="16" t="inlineStr">
        <is>
          <t>Medium</t>
        </is>
      </c>
      <c r="M1058" s="16" t="inlineStr"/>
      <c r="N1058" s="16" t="inlineStr"/>
      <c r="O1058" s="16" t="inlineStr"/>
    </row>
    <row r="1059" ht="72" customHeight="1">
      <c r="A1059" s="16" t="inlineStr">
        <is>
          <t>TC-WR-0001</t>
        </is>
      </c>
      <c r="B1059" s="16" t="inlineStr">
        <is>
          <t>Workspace Restore from Git</t>
        </is>
      </c>
      <c r="C1059" s="16" t="inlineStr">
        <is>
          <t>Round-trip: Collections and folders (tree)</t>
        </is>
      </c>
      <c r="D1059" s="16" t="inlineStr">
        <is>
          <t>Functional</t>
        </is>
      </c>
      <c r="E1059" s="16" t="inlineStr">
        <is>
          <t>Restore Collections and folders (tree) from Git clone</t>
        </is>
      </c>
      <c r="F1059" s="16" t="inlineStr">
        <is>
          <t>Workspace linked; has 10 collections, 30 folders, 100 requests; pushed.</t>
        </is>
      </c>
      <c r="G1059" s="16" t="inlineStr">
        <is>
          <t>1. Delete workspace locally (or use a fresh device).
2. Link to the same repo and pull.
3. Verify Collections and folders (tree) is restored identically.</t>
        </is>
      </c>
      <c r="H1059" s="16" t="inlineStr">
        <is>
          <t>Collections and folders (tree)</t>
        </is>
      </c>
      <c r="I1059" s="16" t="inlineStr">
        <is>
          <t>All Collections and folders (tree) restored intact; ids stable; references resolve; no data loss. Secrets remain encrypted until passphrase entered.</t>
        </is>
      </c>
      <c r="J1059" s="16" t="inlineStr"/>
      <c r="K1059" s="16" t="inlineStr">
        <is>
          <t>Not Run</t>
        </is>
      </c>
      <c r="L1059" s="16" t="inlineStr">
        <is>
          <t>High</t>
        </is>
      </c>
      <c r="M1059" s="16" t="inlineStr"/>
      <c r="N1059" s="16" t="inlineStr"/>
      <c r="O1059" s="16" t="inlineStr"/>
    </row>
    <row r="1060" ht="72" customHeight="1">
      <c r="A1060" s="16" t="inlineStr">
        <is>
          <t>TC-WR-0002</t>
        </is>
      </c>
      <c r="B1060" s="16" t="inlineStr">
        <is>
          <t>Workspace Restore from Git</t>
        </is>
      </c>
      <c r="C1060" s="16" t="inlineStr">
        <is>
          <t>Round-trip: Request URL/method/headers/body/auth</t>
        </is>
      </c>
      <c r="D1060" s="16" t="inlineStr">
        <is>
          <t>Functional</t>
        </is>
      </c>
      <c r="E1060" s="16" t="inlineStr">
        <is>
          <t>Restore Request URL/method/headers/body/auth from Git clone</t>
        </is>
      </c>
      <c r="F1060" s="16" t="inlineStr">
        <is>
          <t>Workspace linked; has Configured request; pushed.</t>
        </is>
      </c>
      <c r="G1060" s="16" t="inlineStr">
        <is>
          <t>1. Delete workspace locally (or use a fresh device).
2. Link to the same repo and pull.
3. Verify Request URL/method/headers/body/auth is restored identically.</t>
        </is>
      </c>
      <c r="H1060" s="16" t="inlineStr">
        <is>
          <t>Request URL/method/headers/body/auth</t>
        </is>
      </c>
      <c r="I1060" s="16" t="inlineStr">
        <is>
          <t>All Request URL/method/headers/body/auth restored intact; ids stable; references resolve; no data loss. Secrets remain encrypted until passphrase entered.</t>
        </is>
      </c>
      <c r="J1060" s="16" t="inlineStr"/>
      <c r="K1060" s="16" t="inlineStr">
        <is>
          <t>Not Run</t>
        </is>
      </c>
      <c r="L1060" s="16" t="inlineStr">
        <is>
          <t>High</t>
        </is>
      </c>
      <c r="M1060" s="16" t="inlineStr"/>
      <c r="N1060" s="16" t="inlineStr"/>
      <c r="O1060" s="16" t="inlineStr"/>
    </row>
    <row r="1061" ht="72" customHeight="1">
      <c r="A1061" s="16" t="inlineStr">
        <is>
          <t>TC-WR-0003</t>
        </is>
      </c>
      <c r="B1061" s="16" t="inlineStr">
        <is>
          <t>Workspace Restore from Git</t>
        </is>
      </c>
      <c r="C1061" s="16" t="inlineStr">
        <is>
          <t>Round-trip: Request scripts (pre/test) and assertions</t>
        </is>
      </c>
      <c r="D1061" s="16" t="inlineStr">
        <is>
          <t>Functional</t>
        </is>
      </c>
      <c r="E1061" s="16" t="inlineStr">
        <is>
          <t>Restore Request scripts (pre/test) and assertions from Git clone</t>
        </is>
      </c>
      <c r="F1061" s="16" t="inlineStr">
        <is>
          <t>Workspace linked; has Scripts non-empty; pushed.</t>
        </is>
      </c>
      <c r="G1061" s="16" t="inlineStr">
        <is>
          <t>1. Delete workspace locally (or use a fresh device).
2. Link to the same repo and pull.
3. Verify Request scripts (pre/test) and assertions is restored identically.</t>
        </is>
      </c>
      <c r="H1061" s="16" t="inlineStr">
        <is>
          <t>Request scripts (pre/test) and assertions</t>
        </is>
      </c>
      <c r="I1061" s="16" t="inlineStr">
        <is>
          <t>All Request scripts (pre/test) and assertions restored intact; ids stable; references resolve; no data loss. Secrets remain encrypted until passphrase entered.</t>
        </is>
      </c>
      <c r="J1061" s="16" t="inlineStr"/>
      <c r="K1061" s="16" t="inlineStr">
        <is>
          <t>Not Run</t>
        </is>
      </c>
      <c r="L1061" s="16" t="inlineStr">
        <is>
          <t>High</t>
        </is>
      </c>
      <c r="M1061" s="16" t="inlineStr"/>
      <c r="N1061" s="16" t="inlineStr"/>
      <c r="O1061" s="16" t="inlineStr"/>
    </row>
    <row r="1062" ht="72" customHeight="1">
      <c r="A1062" s="16" t="inlineStr">
        <is>
          <t>TC-WR-0004</t>
        </is>
      </c>
      <c r="B1062" s="16" t="inlineStr">
        <is>
          <t>Workspace Restore from Git</t>
        </is>
      </c>
      <c r="C1062" s="16" t="inlineStr">
        <is>
          <t>Round-trip: Request docs (Markdown)</t>
        </is>
      </c>
      <c r="D1062" s="16" t="inlineStr">
        <is>
          <t>Functional</t>
        </is>
      </c>
      <c r="E1062" s="16" t="inlineStr">
        <is>
          <t>Restore Request docs (Markdown) from Git clone</t>
        </is>
      </c>
      <c r="F1062" s="16" t="inlineStr">
        <is>
          <t>Workspace linked; has Per-request docs; pushed.</t>
        </is>
      </c>
      <c r="G1062" s="16" t="inlineStr">
        <is>
          <t>1. Delete workspace locally (or use a fresh device).
2. Link to the same repo and pull.
3. Verify Request docs (Markdown) is restored identically.</t>
        </is>
      </c>
      <c r="H1062" s="16" t="inlineStr">
        <is>
          <t>Request docs (Markdown)</t>
        </is>
      </c>
      <c r="I1062" s="16" t="inlineStr">
        <is>
          <t>All Request docs (Markdown) restored intact; ids stable; references resolve; no data loss. Secrets remain encrypted until passphrase entered.</t>
        </is>
      </c>
      <c r="J1062" s="16" t="inlineStr"/>
      <c r="K1062" s="16" t="inlineStr">
        <is>
          <t>Not Run</t>
        </is>
      </c>
      <c r="L1062" s="16" t="inlineStr">
        <is>
          <t>Medium</t>
        </is>
      </c>
      <c r="M1062" s="16" t="inlineStr"/>
      <c r="N1062" s="16" t="inlineStr"/>
      <c r="O1062" s="16" t="inlineStr"/>
    </row>
    <row r="1063" ht="72" customHeight="1">
      <c r="A1063" s="16" t="inlineStr">
        <is>
          <t>TC-WR-0005</t>
        </is>
      </c>
      <c r="B1063" s="16" t="inlineStr">
        <is>
          <t>Workspace Restore from Git</t>
        </is>
      </c>
      <c r="C1063" s="16" t="inlineStr">
        <is>
          <t>Round-trip: Request settings (timeout, redirect)</t>
        </is>
      </c>
      <c r="D1063" s="16" t="inlineStr">
        <is>
          <t>Functional</t>
        </is>
      </c>
      <c r="E1063" s="16" t="inlineStr">
        <is>
          <t>Restore Request settings (timeout, redirect) from Git clone</t>
        </is>
      </c>
      <c r="F1063" s="16" t="inlineStr">
        <is>
          <t>Workspace linked; has Custom settings; pushed.</t>
        </is>
      </c>
      <c r="G1063" s="16" t="inlineStr">
        <is>
          <t>1. Delete workspace locally (or use a fresh device).
2. Link to the same repo and pull.
3. Verify Request settings (timeout, redirect) is restored identically.</t>
        </is>
      </c>
      <c r="H1063" s="16" t="inlineStr">
        <is>
          <t>Request settings (timeout, redirect)</t>
        </is>
      </c>
      <c r="I1063" s="16" t="inlineStr">
        <is>
          <t>All Request settings (timeout, redirect) restored intact; ids stable; references resolve; no data loss. Secrets remain encrypted until passphrase entered.</t>
        </is>
      </c>
      <c r="J1063" s="16" t="inlineStr"/>
      <c r="K1063" s="16" t="inlineStr">
        <is>
          <t>Not Run</t>
        </is>
      </c>
      <c r="L1063" s="16" t="inlineStr">
        <is>
          <t>Medium</t>
        </is>
      </c>
      <c r="M1063" s="16" t="inlineStr"/>
      <c r="N1063" s="16" t="inlineStr"/>
      <c r="O1063" s="16" t="inlineStr"/>
    </row>
    <row r="1064" ht="72" customHeight="1">
      <c r="A1064" s="16" t="inlineStr">
        <is>
          <t>TC-WR-0006</t>
        </is>
      </c>
      <c r="B1064" s="16" t="inlineStr">
        <is>
          <t>Workspace Restore from Git</t>
        </is>
      </c>
      <c r="C1064" s="16" t="inlineStr">
        <is>
          <t>Round-trip: Body schema reference</t>
        </is>
      </c>
      <c r="D1064" s="16" t="inlineStr">
        <is>
          <t>Functional</t>
        </is>
      </c>
      <c r="E1064" s="16" t="inlineStr">
        <is>
          <t>Restore Body schema reference from Git clone</t>
        </is>
      </c>
      <c r="F1064" s="16" t="inlineStr">
        <is>
          <t>Workspace linked; has bodySchemaId set; pushed.</t>
        </is>
      </c>
      <c r="G1064" s="16" t="inlineStr">
        <is>
          <t>1. Delete workspace locally (or use a fresh device).
2. Link to the same repo and pull.
3. Verify Body schema reference is restored identically.</t>
        </is>
      </c>
      <c r="H1064" s="16" t="inlineStr">
        <is>
          <t>Body schema reference</t>
        </is>
      </c>
      <c r="I1064" s="16" t="inlineStr">
        <is>
          <t>All Body schema reference restored intact; ids stable; references resolve; no data loss. Secrets remain encrypted until passphrase entered.</t>
        </is>
      </c>
      <c r="J1064" s="16" t="inlineStr"/>
      <c r="K1064" s="16" t="inlineStr">
        <is>
          <t>Not Run</t>
        </is>
      </c>
      <c r="L1064" s="16" t="inlineStr">
        <is>
          <t>Medium</t>
        </is>
      </c>
      <c r="M1064" s="16" t="inlineStr"/>
      <c r="N1064" s="16" t="inlineStr"/>
      <c r="O1064" s="16" t="inlineStr"/>
    </row>
    <row r="1065" ht="72" customHeight="1">
      <c r="A1065" s="16" t="inlineStr">
        <is>
          <t>TC-WR-0007</t>
        </is>
      </c>
      <c r="B1065" s="16" t="inlineStr">
        <is>
          <t>Workspace Restore from Git</t>
        </is>
      </c>
      <c r="C1065" s="16" t="inlineStr">
        <is>
          <t>Round-trip: Environments and their variables</t>
        </is>
      </c>
      <c r="D1065" s="16" t="inlineStr">
        <is>
          <t>Functional</t>
        </is>
      </c>
      <c r="E1065" s="16" t="inlineStr">
        <is>
          <t>Restore Environments and their variables from Git clone</t>
        </is>
      </c>
      <c r="F1065" s="16" t="inlineStr">
        <is>
          <t>Workspace linked; has 3 envs, 20 vars each; pushed.</t>
        </is>
      </c>
      <c r="G1065" s="16" t="inlineStr">
        <is>
          <t>1. Delete workspace locally (or use a fresh device).
2. Link to the same repo and pull.
3. Verify Environments and their variables is restored identically.</t>
        </is>
      </c>
      <c r="H1065" s="16" t="inlineStr">
        <is>
          <t>Environments and their variables</t>
        </is>
      </c>
      <c r="I1065" s="16" t="inlineStr">
        <is>
          <t>All Environments and their variables restored intact; ids stable; references resolve; no data loss. Secrets remain encrypted until passphrase entered.</t>
        </is>
      </c>
      <c r="J1065" s="16" t="inlineStr"/>
      <c r="K1065" s="16" t="inlineStr">
        <is>
          <t>Not Run</t>
        </is>
      </c>
      <c r="L1065" s="16" t="inlineStr">
        <is>
          <t>High</t>
        </is>
      </c>
      <c r="M1065" s="16" t="inlineStr"/>
      <c r="N1065" s="16" t="inlineStr"/>
      <c r="O1065" s="16" t="inlineStr"/>
    </row>
    <row r="1066" ht="72" customHeight="1">
      <c r="A1066" s="16" t="inlineStr">
        <is>
          <t>TC-WR-0008</t>
        </is>
      </c>
      <c r="B1066" s="16" t="inlineStr">
        <is>
          <t>Workspace Restore from Git</t>
        </is>
      </c>
      <c r="C1066" s="16" t="inlineStr">
        <is>
          <t>Round-trip: Environment priority order</t>
        </is>
      </c>
      <c r="D1066" s="16" t="inlineStr">
        <is>
          <t>Functional</t>
        </is>
      </c>
      <c r="E1066" s="16" t="inlineStr">
        <is>
          <t>Restore Environment priority order from Git clone</t>
        </is>
      </c>
      <c r="F1066" s="16" t="inlineStr">
        <is>
          <t>Workspace linked; has Custom order; pushed.</t>
        </is>
      </c>
      <c r="G1066" s="16" t="inlineStr">
        <is>
          <t>1. Delete workspace locally (or use a fresh device).
2. Link to the same repo and pull.
3. Verify Environment priority order is restored identically.</t>
        </is>
      </c>
      <c r="H1066" s="16" t="inlineStr">
        <is>
          <t>Environment priority order</t>
        </is>
      </c>
      <c r="I1066" s="16" t="inlineStr">
        <is>
          <t>All Environment priority order restored intact; ids stable; references resolve; no data loss. Secrets remain encrypted until passphrase entered.</t>
        </is>
      </c>
      <c r="J1066" s="16" t="inlineStr"/>
      <c r="K1066" s="16" t="inlineStr">
        <is>
          <t>Not Run</t>
        </is>
      </c>
      <c r="L1066" s="16" t="inlineStr">
        <is>
          <t>Medium</t>
        </is>
      </c>
      <c r="M1066" s="16" t="inlineStr"/>
      <c r="N1066" s="16" t="inlineStr"/>
      <c r="O1066" s="16" t="inlineStr"/>
    </row>
    <row r="1067" ht="72" customHeight="1">
      <c r="A1067" s="16" t="inlineStr">
        <is>
          <t>TC-WR-0009</t>
        </is>
      </c>
      <c r="B1067" s="16" t="inlineStr">
        <is>
          <t>Workspace Restore from Git</t>
        </is>
      </c>
      <c r="C1067" s="16" t="inlineStr">
        <is>
          <t>Round-trip: Active environment</t>
        </is>
      </c>
      <c r="D1067" s="16" t="inlineStr">
        <is>
          <t>Functional</t>
        </is>
      </c>
      <c r="E1067" s="16" t="inlineStr">
        <is>
          <t>Restore Active environment from Git clone</t>
        </is>
      </c>
      <c r="F1067" s="16" t="inlineStr">
        <is>
          <t>Workspace linked; has Set Active=Prod; pushed.</t>
        </is>
      </c>
      <c r="G1067" s="16" t="inlineStr">
        <is>
          <t>1. Delete workspace locally (or use a fresh device).
2. Link to the same repo and pull.
3. Verify Active environment is restored identically.</t>
        </is>
      </c>
      <c r="H1067" s="16" t="inlineStr">
        <is>
          <t>Active environment</t>
        </is>
      </c>
      <c r="I1067" s="16" t="inlineStr">
        <is>
          <t>All Active environment restored intact; ids stable; references resolve; no data loss. Secrets remain encrypted until passphrase entered.</t>
        </is>
      </c>
      <c r="J1067" s="16" t="inlineStr"/>
      <c r="K1067" s="16" t="inlineStr">
        <is>
          <t>Not Run</t>
        </is>
      </c>
      <c r="L1067" s="16" t="inlineStr">
        <is>
          <t>Medium</t>
        </is>
      </c>
      <c r="M1067" s="16" t="inlineStr"/>
      <c r="N1067" s="16" t="inlineStr"/>
      <c r="O1067" s="16" t="inlineStr"/>
    </row>
    <row r="1068" ht="72" customHeight="1">
      <c r="A1068" s="16" t="inlineStr">
        <is>
          <t>TC-WR-0010</t>
        </is>
      </c>
      <c r="B1068" s="16" t="inlineStr">
        <is>
          <t>Workspace Restore from Git</t>
        </is>
      </c>
      <c r="C1068" s="16" t="inlineStr">
        <is>
          <t>Round-trip: Secret variables (encrypted at rest)</t>
        </is>
      </c>
      <c r="D1068" s="16" t="inlineStr">
        <is>
          <t>Functional</t>
        </is>
      </c>
      <c r="E1068" s="16" t="inlineStr">
        <is>
          <t>Restore Secret variables (encrypted at rest) from Git clone</t>
        </is>
      </c>
      <c r="F1068" s="16" t="inlineStr">
        <is>
          <t>Workspace linked; has Several secrets; pushed.</t>
        </is>
      </c>
      <c r="G1068" s="16" t="inlineStr">
        <is>
          <t>1. Delete workspace locally (or use a fresh device).
2. Link to the same repo and pull.
3. Verify Secret variables (encrypted at rest) is restored identically.</t>
        </is>
      </c>
      <c r="H1068" s="16" t="inlineStr">
        <is>
          <t>Secret variables (encrypted at rest)</t>
        </is>
      </c>
      <c r="I1068" s="16" t="inlineStr">
        <is>
          <t>All Secret variables (encrypted at rest) restored intact; ids stable; references resolve; no data loss. Secrets remain encrypted until passphrase entered.</t>
        </is>
      </c>
      <c r="J1068" s="16" t="inlineStr"/>
      <c r="K1068" s="16" t="inlineStr">
        <is>
          <t>Not Run</t>
        </is>
      </c>
      <c r="L1068" s="16" t="inlineStr">
        <is>
          <t>High</t>
        </is>
      </c>
      <c r="M1068" s="16" t="inlineStr"/>
      <c r="N1068" s="16" t="inlineStr"/>
      <c r="O1068" s="16" t="inlineStr"/>
    </row>
    <row r="1069" ht="72" customHeight="1">
      <c r="A1069" s="16" t="inlineStr">
        <is>
          <t>TC-WR-0011</t>
        </is>
      </c>
      <c r="B1069" s="16" t="inlineStr">
        <is>
          <t>Workspace Restore from Git</t>
        </is>
      </c>
      <c r="C1069" s="16" t="inlineStr">
        <is>
          <t>Round-trip: Execution plans</t>
        </is>
      </c>
      <c r="D1069" s="16" t="inlineStr">
        <is>
          <t>Functional</t>
        </is>
      </c>
      <c r="E1069" s="16" t="inlineStr">
        <is>
          <t>Restore Execution plans from Git clone</t>
        </is>
      </c>
      <c r="F1069" s="16" t="inlineStr">
        <is>
          <t>Workspace linked; has Plan with 10 steps; pushed.</t>
        </is>
      </c>
      <c r="G1069" s="16" t="inlineStr">
        <is>
          <t>1. Delete workspace locally (or use a fresh device).
2. Link to the same repo and pull.
3. Verify Execution plans is restored identically.</t>
        </is>
      </c>
      <c r="H1069" s="16" t="inlineStr">
        <is>
          <t>Execution plans</t>
        </is>
      </c>
      <c r="I1069" s="16" t="inlineStr">
        <is>
          <t>All Execution plans restored intact; ids stable; references resolve; no data loss. Secrets remain encrypted until passphrase entered.</t>
        </is>
      </c>
      <c r="J1069" s="16" t="inlineStr"/>
      <c r="K1069" s="16" t="inlineStr">
        <is>
          <t>Not Run</t>
        </is>
      </c>
      <c r="L1069" s="16" t="inlineStr">
        <is>
          <t>High</t>
        </is>
      </c>
      <c r="M1069" s="16" t="inlineStr"/>
      <c r="N1069" s="16" t="inlineStr"/>
      <c r="O1069" s="16" t="inlineStr"/>
    </row>
    <row r="1070" ht="72" customHeight="1">
      <c r="A1070" s="16" t="inlineStr">
        <is>
          <t>TC-WR-0012</t>
        </is>
      </c>
      <c r="B1070" s="16" t="inlineStr">
        <is>
          <t>Workspace Restore from Git</t>
        </is>
      </c>
      <c r="C1070" s="16" t="inlineStr">
        <is>
          <t>Round-trip: Plan step enable/disable flags</t>
        </is>
      </c>
      <c r="D1070" s="16" t="inlineStr">
        <is>
          <t>Functional</t>
        </is>
      </c>
      <c r="E1070" s="16" t="inlineStr">
        <is>
          <t>Restore Plan step enable/disable flags from Git clone</t>
        </is>
      </c>
      <c r="F1070" s="16" t="inlineStr">
        <is>
          <t>Workspace linked; has Mix enabled/disabled; pushed.</t>
        </is>
      </c>
      <c r="G1070" s="16" t="inlineStr">
        <is>
          <t>1. Delete workspace locally (or use a fresh device).
2. Link to the same repo and pull.
3. Verify Plan step enable/disable flags is restored identically.</t>
        </is>
      </c>
      <c r="H1070" s="16" t="inlineStr">
        <is>
          <t>Plan step enable/disable flags</t>
        </is>
      </c>
      <c r="I1070" s="16" t="inlineStr">
        <is>
          <t>All Plan step enable/disable flags restored intact; ids stable; references resolve; no data loss. Secrets remain encrypted until passphrase entered.</t>
        </is>
      </c>
      <c r="J1070" s="16" t="inlineStr"/>
      <c r="K1070" s="16" t="inlineStr">
        <is>
          <t>Not Run</t>
        </is>
      </c>
      <c r="L1070" s="16" t="inlineStr">
        <is>
          <t>Medium</t>
        </is>
      </c>
      <c r="M1070" s="16" t="inlineStr"/>
      <c r="N1070" s="16" t="inlineStr"/>
      <c r="O1070" s="16" t="inlineStr"/>
    </row>
    <row r="1071" ht="72" customHeight="1">
      <c r="A1071" s="16" t="inlineStr">
        <is>
          <t>TC-WR-0013</t>
        </is>
      </c>
      <c r="B1071" s="16" t="inlineStr">
        <is>
          <t>Workspace Restore from Git</t>
        </is>
      </c>
      <c r="C1071" s="16" t="inlineStr">
        <is>
          <t>Round-trip: Mock servers</t>
        </is>
      </c>
      <c r="D1071" s="16" t="inlineStr">
        <is>
          <t>Functional</t>
        </is>
      </c>
      <c r="E1071" s="16" t="inlineStr">
        <is>
          <t>Restore Mock servers from Git clone</t>
        </is>
      </c>
      <c r="F1071" s="16" t="inlineStr">
        <is>
          <t>Workspace linked; has 2 mocks with 10 endpoints each; pushed.</t>
        </is>
      </c>
      <c r="G1071" s="16" t="inlineStr">
        <is>
          <t>1. Delete workspace locally (or use a fresh device).
2. Link to the same repo and pull.
3. Verify Mock servers is restored identically.</t>
        </is>
      </c>
      <c r="H1071" s="16" t="inlineStr">
        <is>
          <t>Mock servers</t>
        </is>
      </c>
      <c r="I1071" s="16" t="inlineStr">
        <is>
          <t>All Mock servers restored intact; ids stable; references resolve; no data loss. Secrets remain encrypted until passphrase entered.</t>
        </is>
      </c>
      <c r="J1071" s="16" t="inlineStr"/>
      <c r="K1071" s="16" t="inlineStr">
        <is>
          <t>Not Run</t>
        </is>
      </c>
      <c r="L1071" s="16" t="inlineStr">
        <is>
          <t>High</t>
        </is>
      </c>
      <c r="M1071" s="16" t="inlineStr"/>
      <c r="N1071" s="16" t="inlineStr"/>
      <c r="O1071" s="16" t="inlineStr"/>
    </row>
    <row r="1072" ht="72" customHeight="1">
      <c r="A1072" s="16" t="inlineStr">
        <is>
          <t>TC-WR-0014</t>
        </is>
      </c>
      <c r="B1072" s="16" t="inlineStr">
        <is>
          <t>Workspace Restore from Git</t>
        </is>
      </c>
      <c r="C1072" s="16" t="inlineStr">
        <is>
          <t>Round-trip: Mock endpoint matching rules</t>
        </is>
      </c>
      <c r="D1072" s="16" t="inlineStr">
        <is>
          <t>Functional</t>
        </is>
      </c>
      <c r="E1072" s="16" t="inlineStr">
        <is>
          <t>Restore Mock endpoint matching rules from Git clone</t>
        </is>
      </c>
      <c r="F1072" s="16" t="inlineStr">
        <is>
          <t>Workspace linked; has Complex selectors; pushed.</t>
        </is>
      </c>
      <c r="G1072" s="16" t="inlineStr">
        <is>
          <t>1. Delete workspace locally (or use a fresh device).
2. Link to the same repo and pull.
3. Verify Mock endpoint matching rules is restored identically.</t>
        </is>
      </c>
      <c r="H1072" s="16" t="inlineStr">
        <is>
          <t>Mock endpoint matching rules</t>
        </is>
      </c>
      <c r="I1072" s="16" t="inlineStr">
        <is>
          <t>All Mock endpoint matching rules restored intact; ids stable; references resolve; no data loss. Secrets remain encrypted until passphrase entered.</t>
        </is>
      </c>
      <c r="J1072" s="16" t="inlineStr"/>
      <c r="K1072" s="16" t="inlineStr">
        <is>
          <t>Not Run</t>
        </is>
      </c>
      <c r="L1072" s="16" t="inlineStr">
        <is>
          <t>Medium</t>
        </is>
      </c>
      <c r="M1072" s="16" t="inlineStr"/>
      <c r="N1072" s="16" t="inlineStr"/>
      <c r="O1072" s="16" t="inlineStr"/>
    </row>
    <row r="1073" ht="72" customHeight="1">
      <c r="A1073" s="16" t="inlineStr">
        <is>
          <t>TC-WR-0015</t>
        </is>
      </c>
      <c r="B1073" s="16" t="inlineStr">
        <is>
          <t>Workspace Restore from Git</t>
        </is>
      </c>
      <c r="C1073" s="16" t="inlineStr">
        <is>
          <t>Round-trip: Mock response bodies and headers</t>
        </is>
      </c>
      <c r="D1073" s="16" t="inlineStr">
        <is>
          <t>Functional</t>
        </is>
      </c>
      <c r="E1073" s="16" t="inlineStr">
        <is>
          <t>Restore Mock response bodies and headers from Git clone</t>
        </is>
      </c>
      <c r="F1073" s="16" t="inlineStr">
        <is>
          <t>Workspace linked; has Diverse responses; pushed.</t>
        </is>
      </c>
      <c r="G1073" s="16" t="inlineStr">
        <is>
          <t>1. Delete workspace locally (or use a fresh device).
2. Link to the same repo and pull.
3. Verify Mock response bodies and headers is restored identically.</t>
        </is>
      </c>
      <c r="H1073" s="16" t="inlineStr">
        <is>
          <t>Mock response bodies and headers</t>
        </is>
      </c>
      <c r="I1073" s="16" t="inlineStr">
        <is>
          <t>All Mock response bodies and headers restored intact; ids stable; references resolve; no data loss. Secrets remain encrypted until passphrase entered.</t>
        </is>
      </c>
      <c r="J1073" s="16" t="inlineStr"/>
      <c r="K1073" s="16" t="inlineStr">
        <is>
          <t>Not Run</t>
        </is>
      </c>
      <c r="L1073" s="16" t="inlineStr">
        <is>
          <t>Medium</t>
        </is>
      </c>
      <c r="M1073" s="16" t="inlineStr"/>
      <c r="N1073" s="16" t="inlineStr"/>
      <c r="O1073" s="16" t="inlineStr"/>
    </row>
    <row r="1074" ht="72" customHeight="1">
      <c r="A1074" s="16" t="inlineStr">
        <is>
          <t>TC-WR-0016</t>
        </is>
      </c>
      <c r="B1074" s="16" t="inlineStr">
        <is>
          <t>Workspace Restore from Git</t>
        </is>
      </c>
      <c r="C1074" s="16" t="inlineStr">
        <is>
          <t>Round-trip: Linked workspaces and overrides</t>
        </is>
      </c>
      <c r="D1074" s="16" t="inlineStr">
        <is>
          <t>Functional</t>
        </is>
      </c>
      <c r="E1074" s="16" t="inlineStr">
        <is>
          <t>Restore Linked workspaces and overrides from Git clone</t>
        </is>
      </c>
      <c r="F1074" s="16" t="inlineStr">
        <is>
          <t>Workspace linked; has Linked WS + per-var override; pushed.</t>
        </is>
      </c>
      <c r="G1074" s="16" t="inlineStr">
        <is>
          <t>1. Delete workspace locally (or use a fresh device).
2. Link to the same repo and pull.
3. Verify Linked workspaces and overrides is restored identically.</t>
        </is>
      </c>
      <c r="H1074" s="16" t="inlineStr">
        <is>
          <t>Linked workspaces and overrides</t>
        </is>
      </c>
      <c r="I1074" s="16" t="inlineStr">
        <is>
          <t>All Linked workspaces and overrides restored intact; ids stable; references resolve; no data loss. Secrets remain encrypted until passphrase entered.</t>
        </is>
      </c>
      <c r="J1074" s="16" t="inlineStr"/>
      <c r="K1074" s="16" t="inlineStr">
        <is>
          <t>Not Run</t>
        </is>
      </c>
      <c r="L1074" s="16" t="inlineStr">
        <is>
          <t>High</t>
        </is>
      </c>
      <c r="M1074" s="16" t="inlineStr"/>
      <c r="N1074" s="16" t="inlineStr"/>
      <c r="O1074" s="16" t="inlineStr"/>
    </row>
    <row r="1075" ht="72" customHeight="1">
      <c r="A1075" s="16" t="inlineStr">
        <is>
          <t>TC-WR-0017</t>
        </is>
      </c>
      <c r="B1075" s="16" t="inlineStr">
        <is>
          <t>Workspace Restore from Git</t>
        </is>
      </c>
      <c r="C1075" s="16" t="inlineStr">
        <is>
          <t>Round-trip: Linked request overrides</t>
        </is>
      </c>
      <c r="D1075" s="16" t="inlineStr">
        <is>
          <t>Functional</t>
        </is>
      </c>
      <c r="E1075" s="16" t="inlineStr">
        <is>
          <t>Restore Linked request overrides from Git clone</t>
        </is>
      </c>
      <c r="F1075" s="16" t="inlineStr">
        <is>
          <t>Workspace linked; has Override URL/headers; pushed.</t>
        </is>
      </c>
      <c r="G1075" s="16" t="inlineStr">
        <is>
          <t>1. Delete workspace locally (or use a fresh device).
2. Link to the same repo and pull.
3. Verify Linked request overrides is restored identically.</t>
        </is>
      </c>
      <c r="H1075" s="16" t="inlineStr">
        <is>
          <t>Linked request overrides</t>
        </is>
      </c>
      <c r="I1075" s="16" t="inlineStr">
        <is>
          <t>All Linked request overrides restored intact; ids stable; references resolve; no data loss. Secrets remain encrypted until passphrase entered.</t>
        </is>
      </c>
      <c r="J1075" s="16" t="inlineStr"/>
      <c r="K1075" s="16" t="inlineStr">
        <is>
          <t>Not Run</t>
        </is>
      </c>
      <c r="L1075" s="16" t="inlineStr">
        <is>
          <t>Medium</t>
        </is>
      </c>
      <c r="M1075" s="16" t="inlineStr"/>
      <c r="N1075" s="16" t="inlineStr"/>
      <c r="O1075" s="16" t="inlineStr"/>
    </row>
    <row r="1076" ht="72" customHeight="1">
      <c r="A1076" s="16" t="inlineStr">
        <is>
          <t>TC-WR-0018</t>
        </is>
      </c>
      <c r="B1076" s="16" t="inlineStr">
        <is>
          <t>Workspace Restore from Git</t>
        </is>
      </c>
      <c r="C1076" s="16" t="inlineStr">
        <is>
          <t>Round-trip: Global JSON Schemas</t>
        </is>
      </c>
      <c r="D1076" s="16" t="inlineStr">
        <is>
          <t>Functional</t>
        </is>
      </c>
      <c r="E1076" s="16" t="inlineStr">
        <is>
          <t>Restore Global JSON Schemas from Git clone</t>
        </is>
      </c>
      <c r="F1076" s="16" t="inlineStr">
        <is>
          <t>Workspace linked; has Multiple schemas with $refs; pushed.</t>
        </is>
      </c>
      <c r="G1076" s="16" t="inlineStr">
        <is>
          <t>1. Delete workspace locally (or use a fresh device).
2. Link to the same repo and pull.
3. Verify Global JSON Schemas is restored identically.</t>
        </is>
      </c>
      <c r="H1076" s="16" t="inlineStr">
        <is>
          <t>Global JSON Schemas</t>
        </is>
      </c>
      <c r="I1076" s="16" t="inlineStr">
        <is>
          <t>All Global JSON Schemas restored intact; ids stable; references resolve; no data loss. Secrets remain encrypted until passphrase entered.</t>
        </is>
      </c>
      <c r="J1076" s="16" t="inlineStr"/>
      <c r="K1076" s="16" t="inlineStr">
        <is>
          <t>Not Run</t>
        </is>
      </c>
      <c r="L1076" s="16" t="inlineStr">
        <is>
          <t>Medium</t>
        </is>
      </c>
      <c r="M1076" s="16" t="inlineStr"/>
      <c r="N1076" s="16" t="inlineStr"/>
      <c r="O1076" s="16" t="inlineStr"/>
    </row>
    <row r="1077" ht="72" customHeight="1">
      <c r="A1077" s="16" t="inlineStr">
        <is>
          <t>TC-WR-0019</t>
        </is>
      </c>
      <c r="B1077" s="16" t="inlineStr">
        <is>
          <t>Workspace Restore from Git</t>
        </is>
      </c>
      <c r="C1077" s="16" t="inlineStr">
        <is>
          <t>Round-trip: Global GraphQL docs</t>
        </is>
      </c>
      <c r="D1077" s="16" t="inlineStr">
        <is>
          <t>Functional</t>
        </is>
      </c>
      <c r="E1077" s="16" t="inlineStr">
        <is>
          <t>Restore Global GraphQL docs from Git clone</t>
        </is>
      </c>
      <c r="F1077" s="16" t="inlineStr">
        <is>
          <t>Workspace linked; has Persisted docs; pushed.</t>
        </is>
      </c>
      <c r="G1077" s="16" t="inlineStr">
        <is>
          <t>1. Delete workspace locally (or use a fresh device).
2. Link to the same repo and pull.
3. Verify Global GraphQL docs is restored identically.</t>
        </is>
      </c>
      <c r="H1077" s="16" t="inlineStr">
        <is>
          <t>Global GraphQL docs</t>
        </is>
      </c>
      <c r="I1077" s="16" t="inlineStr">
        <is>
          <t>All Global GraphQL docs restored intact; ids stable; references resolve; no data loss. Secrets remain encrypted until passphrase entered.</t>
        </is>
      </c>
      <c r="J1077" s="16" t="inlineStr"/>
      <c r="K1077" s="16" t="inlineStr">
        <is>
          <t>Not Run</t>
        </is>
      </c>
      <c r="L1077" s="16" t="inlineStr">
        <is>
          <t>Medium</t>
        </is>
      </c>
      <c r="M1077" s="16" t="inlineStr"/>
      <c r="N1077" s="16" t="inlineStr"/>
      <c r="O1077" s="16" t="inlineStr"/>
    </row>
    <row r="1078" ht="72" customHeight="1">
      <c r="A1078" s="16" t="inlineStr">
        <is>
          <t>TC-WR-0020</t>
        </is>
      </c>
      <c r="B1078" s="16" t="inlineStr">
        <is>
          <t>Workspace Restore from Git</t>
        </is>
      </c>
      <c r="C1078" s="16" t="inlineStr">
        <is>
          <t>Round-trip: Release ledger entries</t>
        </is>
      </c>
      <c r="D1078" s="16" t="inlineStr">
        <is>
          <t>Functional</t>
        </is>
      </c>
      <c r="E1078" s="16" t="inlineStr">
        <is>
          <t>Restore Release ledger entries from Git clone</t>
        </is>
      </c>
      <c r="F1078" s="16" t="inlineStr">
        <is>
          <t>Workspace linked; has Published releases; pushed.</t>
        </is>
      </c>
      <c r="G1078" s="16" t="inlineStr">
        <is>
          <t>1. Delete workspace locally (or use a fresh device).
2. Link to the same repo and pull.
3. Verify Release ledger entries is restored identically.</t>
        </is>
      </c>
      <c r="H1078" s="16" t="inlineStr">
        <is>
          <t>Release ledger entries</t>
        </is>
      </c>
      <c r="I1078" s="16" t="inlineStr">
        <is>
          <t>All Release ledger entries restored intact; ids stable; references resolve; no data loss. Secrets remain encrypted until passphrase entered.</t>
        </is>
      </c>
      <c r="J1078" s="16" t="inlineStr"/>
      <c r="K1078" s="16" t="inlineStr">
        <is>
          <t>Not Run</t>
        </is>
      </c>
      <c r="L1078" s="16" t="inlineStr">
        <is>
          <t>Medium</t>
        </is>
      </c>
      <c r="M1078" s="16" t="inlineStr"/>
      <c r="N1078" s="16" t="inlineStr"/>
      <c r="O1078" s="16" t="inlineStr"/>
    </row>
    <row r="1079" ht="72" customHeight="1">
      <c r="A1079" s="16" t="inlineStr">
        <is>
          <t>TC-WR-0021</t>
        </is>
      </c>
      <c r="B1079" s="16" t="inlineStr">
        <is>
          <t>Workspace Restore from Git</t>
        </is>
      </c>
      <c r="C1079" s="16" t="inlineStr">
        <is>
          <t>Round-trip: Linked release ledger</t>
        </is>
      </c>
      <c r="D1079" s="16" t="inlineStr">
        <is>
          <t>Functional</t>
        </is>
      </c>
      <c r="E1079" s="16" t="inlineStr">
        <is>
          <t>Restore Linked release ledger from Git clone</t>
        </is>
      </c>
      <c r="F1079" s="16" t="inlineStr">
        <is>
          <t>Workspace linked; has Cached versions; pushed.</t>
        </is>
      </c>
      <c r="G1079" s="16" t="inlineStr">
        <is>
          <t>1. Delete workspace locally (or use a fresh device).
2. Link to the same repo and pull.
3. Verify Linked release ledger is restored identically.</t>
        </is>
      </c>
      <c r="H1079" s="16" t="inlineStr">
        <is>
          <t>Linked release ledger</t>
        </is>
      </c>
      <c r="I1079" s="16" t="inlineStr">
        <is>
          <t>All Linked release ledger restored intact; ids stable; references resolve; no data loss. Secrets remain encrypted until passphrase entered.</t>
        </is>
      </c>
      <c r="J1079" s="16" t="inlineStr"/>
      <c r="K1079" s="16" t="inlineStr">
        <is>
          <t>Not Run</t>
        </is>
      </c>
      <c r="L1079" s="16" t="inlineStr">
        <is>
          <t>Low</t>
        </is>
      </c>
      <c r="M1079" s="16" t="inlineStr"/>
      <c r="N1079" s="16" t="inlineStr"/>
      <c r="O1079" s="16" t="inlineStr"/>
    </row>
    <row r="1080" ht="72" customHeight="1">
      <c r="A1080" s="16" t="inlineStr">
        <is>
          <t>TC-WR-0022</t>
        </is>
      </c>
      <c r="B1080" s="16" t="inlineStr">
        <is>
          <t>Workspace Restore from Git</t>
        </is>
      </c>
      <c r="C1080" s="16" t="inlineStr">
        <is>
          <t>Round-trip: Workspace passphrase metadata</t>
        </is>
      </c>
      <c r="D1080" s="16" t="inlineStr">
        <is>
          <t>Functional</t>
        </is>
      </c>
      <c r="E1080" s="16" t="inlineStr">
        <is>
          <t>Restore Workspace passphrase metadata from Git clone</t>
        </is>
      </c>
      <c r="F1080" s="16" t="inlineStr">
        <is>
          <t>Workspace linked; has KDF + verifier; pushed.</t>
        </is>
      </c>
      <c r="G1080" s="16" t="inlineStr">
        <is>
          <t>1. Delete workspace locally (or use a fresh device).
2. Link to the same repo and pull.
3. Verify Workspace passphrase metadata is restored identically.</t>
        </is>
      </c>
      <c r="H1080" s="16" t="inlineStr">
        <is>
          <t>Workspace passphrase metadata</t>
        </is>
      </c>
      <c r="I1080" s="16" t="inlineStr">
        <is>
          <t>All Workspace passphrase metadata restored intact; ids stable; references resolve; no data loss. Secrets remain encrypted until passphrase entered.</t>
        </is>
      </c>
      <c r="J1080" s="16" t="inlineStr"/>
      <c r="K1080" s="16" t="inlineStr">
        <is>
          <t>Not Run</t>
        </is>
      </c>
      <c r="L1080" s="16" t="inlineStr">
        <is>
          <t>High</t>
        </is>
      </c>
      <c r="M1080" s="16" t="inlineStr"/>
      <c r="N1080" s="16" t="inlineStr"/>
      <c r="O1080" s="16" t="inlineStr"/>
    </row>
    <row r="1081" ht="72" customHeight="1">
      <c r="A1081" s="16" t="inlineStr">
        <is>
          <t>TC-WR-0023</t>
        </is>
      </c>
      <c r="B1081" s="16" t="inlineStr">
        <is>
          <t>Workspace Restore from Git</t>
        </is>
      </c>
      <c r="C1081" s="16" t="inlineStr">
        <is>
          <t>Round-trip: Secret keys / slots metadata</t>
        </is>
      </c>
      <c r="D1081" s="16" t="inlineStr">
        <is>
          <t>Functional</t>
        </is>
      </c>
      <c r="E1081" s="16" t="inlineStr">
        <is>
          <t>Restore Secret keys / slots metadata from Git clone</t>
        </is>
      </c>
      <c r="F1081" s="16" t="inlineStr">
        <is>
          <t>Workspace linked; has Labels &amp; salts; pushed.</t>
        </is>
      </c>
      <c r="G1081" s="16" t="inlineStr">
        <is>
          <t>1. Delete workspace locally (or use a fresh device).
2. Link to the same repo and pull.
3. Verify Secret keys / slots metadata is restored identically.</t>
        </is>
      </c>
      <c r="H1081" s="16" t="inlineStr">
        <is>
          <t>Secret keys / slots metadata</t>
        </is>
      </c>
      <c r="I1081" s="16" t="inlineStr">
        <is>
          <t>All Secret keys / slots metadata restored intact; ids stable; references resolve; no data loss. Secrets remain encrypted until passphrase entered.</t>
        </is>
      </c>
      <c r="J1081" s="16" t="inlineStr"/>
      <c r="K1081" s="16" t="inlineStr">
        <is>
          <t>Not Run</t>
        </is>
      </c>
      <c r="L1081" s="16" t="inlineStr">
        <is>
          <t>High</t>
        </is>
      </c>
      <c r="M1081" s="16" t="inlineStr"/>
      <c r="N1081" s="16" t="inlineStr"/>
      <c r="O1081" s="16" t="inlineStr"/>
    </row>
    <row r="1082" ht="72" customHeight="1">
      <c r="A1082" s="16" t="inlineStr">
        <is>
          <t>TC-WR-0024</t>
        </is>
      </c>
      <c r="B1082" s="16" t="inlineStr">
        <is>
          <t>Workspace Restore from Git</t>
        </is>
      </c>
      <c r="C1082" s="16" t="inlineStr">
        <is>
          <t>Empty repo init</t>
        </is>
      </c>
      <c r="D1082" s="16" t="inlineStr">
        <is>
          <t>Functional</t>
        </is>
      </c>
      <c r="E1082" s="16" t="inlineStr">
        <is>
          <t>Empty workspace clone</t>
        </is>
      </c>
      <c r="F1082" s="16" t="inlineStr">
        <is>
          <t>Repo has empty workspace.json.</t>
        </is>
      </c>
      <c r="G1082" s="16" t="inlineStr">
        <is>
          <t>1. Link and pull.</t>
        </is>
      </c>
      <c r="H1082" s="16" t="inlineStr">
        <is>
          <t>restore edge</t>
        </is>
      </c>
      <c r="I1082" s="16" t="inlineStr">
        <is>
          <t>App initializes a clean empty workspace; no errors.</t>
        </is>
      </c>
      <c r="J1082" s="16" t="inlineStr"/>
      <c r="K1082" s="16" t="inlineStr">
        <is>
          <t>Not Run</t>
        </is>
      </c>
      <c r="L1082" s="16" t="inlineStr">
        <is>
          <t>Medium</t>
        </is>
      </c>
      <c r="M1082" s="16" t="inlineStr"/>
      <c r="N1082" s="16" t="inlineStr"/>
      <c r="O1082" s="16" t="inlineStr"/>
    </row>
    <row r="1083" ht="72" customHeight="1">
      <c r="A1083" s="16" t="inlineStr">
        <is>
          <t>TC-WR-0025</t>
        </is>
      </c>
      <c r="B1083" s="16" t="inlineStr">
        <is>
          <t>Workspace Restore from Git</t>
        </is>
      </c>
      <c r="C1083" s="16" t="inlineStr">
        <is>
          <t>Schema version mismatch (older repo)</t>
        </is>
      </c>
      <c r="D1083" s="16" t="inlineStr">
        <is>
          <t>Negative</t>
        </is>
      </c>
      <c r="E1083" s="16" t="inlineStr">
        <is>
          <t>Older schema version</t>
        </is>
      </c>
      <c r="F1083" s="16" t="inlineStr">
        <is>
          <t>Repo has older WorkspaceSynced schema.</t>
        </is>
      </c>
      <c r="G1083" s="16" t="inlineStr">
        <is>
          <t>1. Pull.</t>
        </is>
      </c>
      <c r="H1083" s="16" t="inlineStr">
        <is>
          <t>restore edge</t>
        </is>
      </c>
      <c r="I1083" s="16" t="inlineStr">
        <is>
          <t>App migrates forward or refuses with clear message; never silently corrupts.</t>
        </is>
      </c>
      <c r="J1083" s="16" t="inlineStr"/>
      <c r="K1083" s="16" t="inlineStr">
        <is>
          <t>Not Run</t>
        </is>
      </c>
      <c r="L1083" s="16" t="inlineStr">
        <is>
          <t>High</t>
        </is>
      </c>
      <c r="M1083" s="16" t="inlineStr"/>
      <c r="N1083" s="16" t="inlineStr"/>
      <c r="O1083" s="16" t="inlineStr"/>
    </row>
    <row r="1084" ht="72" customHeight="1">
      <c r="A1084" s="16" t="inlineStr">
        <is>
          <t>TC-WR-0026</t>
        </is>
      </c>
      <c r="B1084" s="16" t="inlineStr">
        <is>
          <t>Workspace Restore from Git</t>
        </is>
      </c>
      <c r="C1084" s="16" t="inlineStr">
        <is>
          <t>Schema version mismatch (newer repo)</t>
        </is>
      </c>
      <c r="D1084" s="16" t="inlineStr">
        <is>
          <t>Negative</t>
        </is>
      </c>
      <c r="E1084" s="16" t="inlineStr">
        <is>
          <t>Newer schema version</t>
        </is>
      </c>
      <c r="F1084" s="16" t="inlineStr">
        <is>
          <t>Repo has newer schema.</t>
        </is>
      </c>
      <c r="G1084" s="16" t="inlineStr">
        <is>
          <t>1. Pull.</t>
        </is>
      </c>
      <c r="H1084" s="16" t="inlineStr">
        <is>
          <t>restore edge</t>
        </is>
      </c>
      <c r="I1084" s="16" t="inlineStr">
        <is>
          <t>App informs user to upgrade; no silent partial load.</t>
        </is>
      </c>
      <c r="J1084" s="16" t="inlineStr"/>
      <c r="K1084" s="16" t="inlineStr">
        <is>
          <t>Not Run</t>
        </is>
      </c>
      <c r="L1084" s="16" t="inlineStr">
        <is>
          <t>High</t>
        </is>
      </c>
      <c r="M1084" s="16" t="inlineStr"/>
      <c r="N1084" s="16" t="inlineStr"/>
      <c r="O1084" s="16" t="inlineStr"/>
    </row>
    <row r="1085" ht="72" customHeight="1">
      <c r="A1085" s="16" t="inlineStr">
        <is>
          <t>TC-WR-0027</t>
        </is>
      </c>
      <c r="B1085" s="16" t="inlineStr">
        <is>
          <t>Workspace Restore from Git</t>
        </is>
      </c>
      <c r="C1085" s="16" t="inlineStr">
        <is>
          <t>Repo with secrets references but no passphrase metadata</t>
        </is>
      </c>
      <c r="D1085" s="16" t="inlineStr">
        <is>
          <t>Edge Case</t>
        </is>
      </c>
      <c r="E1085" s="16" t="inlineStr">
        <is>
          <t>Mismatched secret state</t>
        </is>
      </c>
      <c r="F1085" s="16" t="inlineStr">
        <is>
          <t>-</t>
        </is>
      </c>
      <c r="G1085" s="16" t="inlineStr">
        <is>
          <t>1. Pull.</t>
        </is>
      </c>
      <c r="H1085" s="16" t="inlineStr">
        <is>
          <t>restore edge</t>
        </is>
      </c>
      <c r="I1085" s="16" t="inlineStr">
        <is>
          <t>Secret rows shown as locked; user prompted to set passphrase or skip.</t>
        </is>
      </c>
      <c r="J1085" s="16" t="inlineStr"/>
      <c r="K1085" s="16" t="inlineStr">
        <is>
          <t>Not Run</t>
        </is>
      </c>
      <c r="L1085" s="16" t="inlineStr">
        <is>
          <t>Medium</t>
        </is>
      </c>
      <c r="M1085" s="16" t="inlineStr"/>
      <c r="N1085" s="16" t="inlineStr"/>
      <c r="O1085" s="16" t="inlineStr"/>
    </row>
    <row r="1086" ht="72" customHeight="1">
      <c r="A1086" s="16" t="inlineStr">
        <is>
          <t>TC-WR-0028</t>
        </is>
      </c>
      <c r="B1086" s="16" t="inlineStr">
        <is>
          <t>Workspace Restore from Git</t>
        </is>
      </c>
      <c r="C1086" s="16" t="inlineStr">
        <is>
          <t>Large workspace (10MB JSON)</t>
        </is>
      </c>
      <c r="D1086" s="16" t="inlineStr">
        <is>
          <t>Performance</t>
        </is>
      </c>
      <c r="E1086" s="16" t="inlineStr">
        <is>
          <t>Big workspace load time</t>
        </is>
      </c>
      <c r="F1086" s="16" t="inlineStr">
        <is>
          <t>10MB workspace.json.</t>
        </is>
      </c>
      <c r="G1086" s="16" t="inlineStr">
        <is>
          <t>1. Pull.</t>
        </is>
      </c>
      <c r="H1086" s="16" t="inlineStr">
        <is>
          <t>restore edge</t>
        </is>
      </c>
      <c r="I1086" s="16" t="inlineStr">
        <is>
          <t>Hydrate completes &lt;5s; UI does not freeze.</t>
        </is>
      </c>
      <c r="J1086" s="16" t="inlineStr"/>
      <c r="K1086" s="16" t="inlineStr">
        <is>
          <t>Not Run</t>
        </is>
      </c>
      <c r="L1086" s="16" t="inlineStr">
        <is>
          <t>Medium</t>
        </is>
      </c>
      <c r="M1086" s="16" t="inlineStr"/>
      <c r="N1086" s="16" t="inlineStr"/>
      <c r="O1086" s="16" t="inlineStr"/>
    </row>
    <row r="1087" ht="72" customHeight="1">
      <c r="A1087" s="16" t="inlineStr">
        <is>
          <t>TC-WR-0029</t>
        </is>
      </c>
      <c r="B1087" s="16" t="inlineStr">
        <is>
          <t>Workspace Restore from Git</t>
        </is>
      </c>
      <c r="C1087" s="16" t="inlineStr">
        <is>
          <t>Workspace with broken refs (request -&gt; deleted folder)</t>
        </is>
      </c>
      <c r="D1087" s="16" t="inlineStr">
        <is>
          <t>Negative</t>
        </is>
      </c>
      <c r="E1087" s="16" t="inlineStr">
        <is>
          <t>Dangling reference</t>
        </is>
      </c>
      <c r="F1087" s="16" t="inlineStr">
        <is>
          <t>Manually corrupt: request.folderId points to missing folder.</t>
        </is>
      </c>
      <c r="G1087" s="16" t="inlineStr">
        <is>
          <t>1. Pull.</t>
        </is>
      </c>
      <c r="H1087" s="16" t="inlineStr">
        <is>
          <t>restore edge</t>
        </is>
      </c>
      <c r="I1087" s="16" t="inlineStr">
        <is>
          <t>App surfaces health warning and offers to fix (re-home requests).</t>
        </is>
      </c>
      <c r="J1087" s="16" t="inlineStr"/>
      <c r="K1087" s="16" t="inlineStr">
        <is>
          <t>Not Run</t>
        </is>
      </c>
      <c r="L1087" s="16" t="inlineStr">
        <is>
          <t>Medium</t>
        </is>
      </c>
      <c r="M1087" s="16" t="inlineStr"/>
      <c r="N1087" s="16" t="inlineStr"/>
      <c r="O1087" s="16" t="inlineStr"/>
    </row>
    <row r="1088" ht="72" customHeight="1">
      <c r="A1088" s="16" t="inlineStr">
        <is>
          <t>TC-HR-0001</t>
        </is>
      </c>
      <c r="B1088" s="16" t="inlineStr">
        <is>
          <t>History Replay Matrix</t>
        </is>
      </c>
      <c r="C1088" s="16" t="inlineStr">
        <is>
          <t>Simple GET</t>
        </is>
      </c>
      <c r="D1088" s="16" t="inlineStr">
        <is>
          <t>Functional</t>
        </is>
      </c>
      <c r="E1088" s="16" t="inlineStr">
        <is>
          <t>Replay: Simple GET</t>
        </is>
      </c>
      <c r="F1088" s="16" t="inlineStr">
        <is>
          <t>GET 200 in history</t>
        </is>
      </c>
      <c r="G1088" s="16" t="inlineStr">
        <is>
          <t>1. Replay.</t>
        </is>
      </c>
      <c r="H1088" s="16" t="inlineStr">
        <is>
          <t>replay</t>
        </is>
      </c>
      <c r="I1088" s="16" t="inlineStr">
        <is>
          <t>Request restored; sends correctly.</t>
        </is>
      </c>
      <c r="J1088" s="16" t="inlineStr"/>
      <c r="K1088" s="16" t="inlineStr">
        <is>
          <t>Not Run</t>
        </is>
      </c>
      <c r="L1088" s="16" t="inlineStr">
        <is>
          <t>High</t>
        </is>
      </c>
      <c r="M1088" s="16" t="inlineStr"/>
      <c r="N1088" s="16" t="inlineStr"/>
      <c r="O1088" s="16" t="inlineStr"/>
    </row>
    <row r="1089" ht="72" customHeight="1">
      <c r="A1089" s="16" t="inlineStr">
        <is>
          <t>TC-HR-0002</t>
        </is>
      </c>
      <c r="B1089" s="16" t="inlineStr">
        <is>
          <t>History Replay Matrix</t>
        </is>
      </c>
      <c r="C1089" s="16" t="inlineStr">
        <is>
          <t>POST with JSON body</t>
        </is>
      </c>
      <c r="D1089" s="16" t="inlineStr">
        <is>
          <t>Functional</t>
        </is>
      </c>
      <c r="E1089" s="16" t="inlineStr">
        <is>
          <t>Replay: POST with JSON body</t>
        </is>
      </c>
      <c r="F1089" s="16" t="inlineStr">
        <is>
          <t>JSON body run</t>
        </is>
      </c>
      <c r="G1089" s="16" t="inlineStr">
        <is>
          <t>1. Replay.</t>
        </is>
      </c>
      <c r="H1089" s="16" t="inlineStr">
        <is>
          <t>replay</t>
        </is>
      </c>
      <c r="I1089" s="16" t="inlineStr">
        <is>
          <t>Body restored; Content-Type intact.</t>
        </is>
      </c>
      <c r="J1089" s="16" t="inlineStr"/>
      <c r="K1089" s="16" t="inlineStr">
        <is>
          <t>Not Run</t>
        </is>
      </c>
      <c r="L1089" s="16" t="inlineStr">
        <is>
          <t>High</t>
        </is>
      </c>
      <c r="M1089" s="16" t="inlineStr"/>
      <c r="N1089" s="16" t="inlineStr"/>
      <c r="O1089" s="16" t="inlineStr"/>
    </row>
    <row r="1090" ht="72" customHeight="1">
      <c r="A1090" s="16" t="inlineStr">
        <is>
          <t>TC-HR-0003</t>
        </is>
      </c>
      <c r="B1090" s="16" t="inlineStr">
        <is>
          <t>History Replay Matrix</t>
        </is>
      </c>
      <c r="C1090" s="16" t="inlineStr">
        <is>
          <t>POST with form-data + file attachment</t>
        </is>
      </c>
      <c r="D1090" s="16" t="inlineStr">
        <is>
          <t>Edge Case</t>
        </is>
      </c>
      <c r="E1090" s="16" t="inlineStr">
        <is>
          <t>Replay: POST with form-data + file attachment</t>
        </is>
      </c>
      <c r="F1090" s="16" t="inlineStr">
        <is>
          <t>Form-data run</t>
        </is>
      </c>
      <c r="G1090" s="16" t="inlineStr">
        <is>
          <t>1. Replay.</t>
        </is>
      </c>
      <c r="H1090" s="16" t="inlineStr">
        <is>
          <t>replay</t>
        </is>
      </c>
      <c r="I1090" s="16" t="inlineStr">
        <is>
          <t>If attachment still in IndexedDB, restored; if pruned, user warned.</t>
        </is>
      </c>
      <c r="J1090" s="16" t="inlineStr"/>
      <c r="K1090" s="16" t="inlineStr">
        <is>
          <t>Not Run</t>
        </is>
      </c>
      <c r="L1090" s="16" t="inlineStr">
        <is>
          <t>Medium</t>
        </is>
      </c>
      <c r="M1090" s="16" t="inlineStr"/>
      <c r="N1090" s="16" t="inlineStr"/>
      <c r="O1090" s="16" t="inlineStr"/>
    </row>
    <row r="1091" ht="72" customHeight="1">
      <c r="A1091" s="16" t="inlineStr">
        <is>
          <t>TC-HR-0004</t>
        </is>
      </c>
      <c r="B1091" s="16" t="inlineStr">
        <is>
          <t>History Replay Matrix</t>
        </is>
      </c>
      <c r="C1091" s="16" t="inlineStr">
        <is>
          <t>OAuth2 Bearer (token may be expired)</t>
        </is>
      </c>
      <c r="D1091" s="16" t="inlineStr">
        <is>
          <t>Functional</t>
        </is>
      </c>
      <c r="E1091" s="16" t="inlineStr">
        <is>
          <t>Replay: OAuth2 Bearer (token may be expired)</t>
        </is>
      </c>
      <c r="F1091" s="16" t="inlineStr">
        <is>
          <t>Run with token</t>
        </is>
      </c>
      <c r="G1091" s="16" t="inlineStr">
        <is>
          <t>1. Replay.</t>
        </is>
      </c>
      <c r="H1091" s="16" t="inlineStr">
        <is>
          <t>replay</t>
        </is>
      </c>
      <c r="I1091" s="16" t="inlineStr">
        <is>
          <t>Token re-fetched / refreshed if expired; new run uses fresh token.</t>
        </is>
      </c>
      <c r="J1091" s="16" t="inlineStr"/>
      <c r="K1091" s="16" t="inlineStr">
        <is>
          <t>Not Run</t>
        </is>
      </c>
      <c r="L1091" s="16" t="inlineStr">
        <is>
          <t>High</t>
        </is>
      </c>
      <c r="M1091" s="16" t="inlineStr"/>
      <c r="N1091" s="16" t="inlineStr"/>
      <c r="O1091" s="16" t="inlineStr"/>
    </row>
    <row r="1092" ht="72" customHeight="1">
      <c r="A1092" s="16" t="inlineStr">
        <is>
          <t>TC-HR-0005</t>
        </is>
      </c>
      <c r="B1092" s="16" t="inlineStr">
        <is>
          <t>History Replay Matrix</t>
        </is>
      </c>
      <c r="C1092" s="16" t="inlineStr">
        <is>
          <t>AWS SigV4 (timestamp sensitive)</t>
        </is>
      </c>
      <c r="D1092" s="16" t="inlineStr">
        <is>
          <t>Functional</t>
        </is>
      </c>
      <c r="E1092" s="16" t="inlineStr">
        <is>
          <t>Replay: AWS SigV4 (timestamp sensitive)</t>
        </is>
      </c>
      <c r="F1092" s="16" t="inlineStr">
        <is>
          <t>Signed run</t>
        </is>
      </c>
      <c r="G1092" s="16" t="inlineStr">
        <is>
          <t>1. Replay.</t>
        </is>
      </c>
      <c r="H1092" s="16" t="inlineStr">
        <is>
          <t>replay</t>
        </is>
      </c>
      <c r="I1092" s="16" t="inlineStr">
        <is>
          <t>Re-signs with current timestamp; original signature replaced.</t>
        </is>
      </c>
      <c r="J1092" s="16" t="inlineStr"/>
      <c r="K1092" s="16" t="inlineStr">
        <is>
          <t>Not Run</t>
        </is>
      </c>
      <c r="L1092" s="16" t="inlineStr">
        <is>
          <t>High</t>
        </is>
      </c>
      <c r="M1092" s="16" t="inlineStr"/>
      <c r="N1092" s="16" t="inlineStr"/>
      <c r="O1092" s="16" t="inlineStr"/>
    </row>
    <row r="1093" ht="72" customHeight="1">
      <c r="A1093" s="16" t="inlineStr">
        <is>
          <t>TC-HR-0006</t>
        </is>
      </c>
      <c r="B1093" s="16" t="inlineStr">
        <is>
          <t>History Replay Matrix</t>
        </is>
      </c>
      <c r="C1093" s="16" t="inlineStr">
        <is>
          <t>Digest auth</t>
        </is>
      </c>
      <c r="D1093" s="16" t="inlineStr">
        <is>
          <t>Functional</t>
        </is>
      </c>
      <c r="E1093" s="16" t="inlineStr">
        <is>
          <t>Replay: Digest auth</t>
        </is>
      </c>
      <c r="F1093" s="16" t="inlineStr">
        <is>
          <t>Digest run</t>
        </is>
      </c>
      <c r="G1093" s="16" t="inlineStr">
        <is>
          <t>1. Replay.</t>
        </is>
      </c>
      <c r="H1093" s="16" t="inlineStr">
        <is>
          <t>replay</t>
        </is>
      </c>
      <c r="I1093" s="16" t="inlineStr">
        <is>
          <t>Challenge cycle repeats with current nonce.</t>
        </is>
      </c>
      <c r="J1093" s="16" t="inlineStr"/>
      <c r="K1093" s="16" t="inlineStr">
        <is>
          <t>Not Run</t>
        </is>
      </c>
      <c r="L1093" s="16" t="inlineStr">
        <is>
          <t>Medium</t>
        </is>
      </c>
      <c r="M1093" s="16" t="inlineStr"/>
      <c r="N1093" s="16" t="inlineStr"/>
      <c r="O1093" s="16" t="inlineStr"/>
    </row>
    <row r="1094" ht="72" customHeight="1">
      <c r="A1094" s="16" t="inlineStr">
        <is>
          <t>TC-HR-0007</t>
        </is>
      </c>
      <c r="B1094" s="16" t="inlineStr">
        <is>
          <t>History Replay Matrix</t>
        </is>
      </c>
      <c r="C1094" s="16" t="inlineStr">
        <is>
          <t>Variable interpolation since env changed</t>
        </is>
      </c>
      <c r="D1094" s="16" t="inlineStr">
        <is>
          <t>Edge Case</t>
        </is>
      </c>
      <c r="E1094" s="16" t="inlineStr">
        <is>
          <t>Replay: Variable interpolation since env changed</t>
        </is>
      </c>
      <c r="F1094" s="16" t="inlineStr">
        <is>
          <t>Env value changed since run</t>
        </is>
      </c>
      <c r="G1094" s="16" t="inlineStr">
        <is>
          <t>1. Replay after changing var.</t>
        </is>
      </c>
      <c r="H1094" s="16" t="inlineStr">
        <is>
          <t>replay</t>
        </is>
      </c>
      <c r="I1094" s="16" t="inlineStr">
        <is>
          <t>Re-resolves with current env; original wire bytes not reused.</t>
        </is>
      </c>
      <c r="J1094" s="16" t="inlineStr"/>
      <c r="K1094" s="16" t="inlineStr">
        <is>
          <t>Not Run</t>
        </is>
      </c>
      <c r="L1094" s="16" t="inlineStr">
        <is>
          <t>Medium</t>
        </is>
      </c>
      <c r="M1094" s="16" t="inlineStr"/>
      <c r="N1094" s="16" t="inlineStr"/>
      <c r="O1094" s="16" t="inlineStr"/>
    </row>
    <row r="1095" ht="72" customHeight="1">
      <c r="A1095" s="16" t="inlineStr">
        <is>
          <t>TC-HR-0008</t>
        </is>
      </c>
      <c r="B1095" s="16" t="inlineStr">
        <is>
          <t>History Replay Matrix</t>
        </is>
      </c>
      <c r="C1095" s="16" t="inlineStr">
        <is>
          <t>Request was deleted</t>
        </is>
      </c>
      <c r="D1095" s="16" t="inlineStr">
        <is>
          <t>Edge Case</t>
        </is>
      </c>
      <c r="E1095" s="16" t="inlineStr">
        <is>
          <t>Replay: Request was deleted</t>
        </is>
      </c>
      <c r="F1095" s="16" t="inlineStr">
        <is>
          <t>Source request deleted</t>
        </is>
      </c>
      <c r="G1095" s="16" t="inlineStr">
        <is>
          <t>1. Replay from history.</t>
        </is>
      </c>
      <c r="H1095" s="16" t="inlineStr">
        <is>
          <t>replay</t>
        </is>
      </c>
      <c r="I1095" s="16" t="inlineStr">
        <is>
          <t>Replays into a transient editor or new request stub; original deletion preserved.</t>
        </is>
      </c>
      <c r="J1095" s="16" t="inlineStr"/>
      <c r="K1095" s="16" t="inlineStr">
        <is>
          <t>Not Run</t>
        </is>
      </c>
      <c r="L1095" s="16" t="inlineStr">
        <is>
          <t>Medium</t>
        </is>
      </c>
      <c r="M1095" s="16" t="inlineStr"/>
      <c r="N1095" s="16" t="inlineStr"/>
      <c r="O1095" s="16" t="inlineStr"/>
    </row>
    <row r="1096" ht="72" customHeight="1">
      <c r="A1096" s="16" t="inlineStr">
        <is>
          <t>TC-HR-0009</t>
        </is>
      </c>
      <c r="B1096" s="16" t="inlineStr">
        <is>
          <t>History Replay Matrix</t>
        </is>
      </c>
      <c r="C1096" s="16" t="inlineStr">
        <is>
          <t>Replay across workspace switch</t>
        </is>
      </c>
      <c r="D1096" s="16" t="inlineStr">
        <is>
          <t>Edge Case</t>
        </is>
      </c>
      <c r="E1096" s="16" t="inlineStr">
        <is>
          <t>Replay: Replay across workspace switch</t>
        </is>
      </c>
      <c r="F1096" s="16" t="inlineStr">
        <is>
          <t>Different workspace active</t>
        </is>
      </c>
      <c r="G1096" s="16" t="inlineStr">
        <is>
          <t>1. Replay run from workspace A while B is active.</t>
        </is>
      </c>
      <c r="H1096" s="16" t="inlineStr">
        <is>
          <t>replay</t>
        </is>
      </c>
      <c r="I1096" s="16" t="inlineStr">
        <is>
          <t>Either switches to A or refuses with clear message; no cross-workspace state leak.</t>
        </is>
      </c>
      <c r="J1096" s="16" t="inlineStr"/>
      <c r="K1096" s="16" t="inlineStr">
        <is>
          <t>Not Run</t>
        </is>
      </c>
      <c r="L1096" s="16" t="inlineStr">
        <is>
          <t>Medium</t>
        </is>
      </c>
      <c r="M1096" s="16" t="inlineStr"/>
      <c r="N1096" s="16" t="inlineStr"/>
      <c r="O1096" s="16" t="inlineStr"/>
    </row>
    <row r="1097" ht="72" customHeight="1">
      <c r="A1097" s="16" t="inlineStr">
        <is>
          <t>TC-HR-0010</t>
        </is>
      </c>
      <c r="B1097" s="16" t="inlineStr">
        <is>
          <t>History Replay Matrix</t>
        </is>
      </c>
      <c r="C1097" s="16" t="inlineStr">
        <is>
          <t>Replay run from before schema migration</t>
        </is>
      </c>
      <c r="D1097" s="16" t="inlineStr">
        <is>
          <t>Negative</t>
        </is>
      </c>
      <c r="E1097" s="16" t="inlineStr">
        <is>
          <t>Replay: Replay run from before schema migration</t>
        </is>
      </c>
      <c r="F1097" s="16" t="inlineStr">
        <is>
          <t>Old schema run</t>
        </is>
      </c>
      <c r="G1097" s="16" t="inlineStr">
        <is>
          <t>1. Replay.</t>
        </is>
      </c>
      <c r="H1097" s="16" t="inlineStr">
        <is>
          <t>replay</t>
        </is>
      </c>
      <c r="I1097" s="16" t="inlineStr">
        <is>
          <t>Migrated forward at replay or user informed; replay does not corrupt.</t>
        </is>
      </c>
      <c r="J1097" s="16" t="inlineStr"/>
      <c r="K1097" s="16" t="inlineStr">
        <is>
          <t>Not Run</t>
        </is>
      </c>
      <c r="L1097" s="16" t="inlineStr">
        <is>
          <t>Low</t>
        </is>
      </c>
      <c r="M1097" s="16" t="inlineStr"/>
      <c r="N1097" s="16" t="inlineStr"/>
      <c r="O1097" s="16" t="inlineStr"/>
    </row>
    <row r="1098" ht="72" customHeight="1">
      <c r="A1098" s="16" t="inlineStr">
        <is>
          <t>TC-HR-0011</t>
        </is>
      </c>
      <c r="B1098" s="16" t="inlineStr">
        <is>
          <t>History Replay Matrix</t>
        </is>
      </c>
      <c r="C1098" s="16" t="inlineStr">
        <is>
          <t>Replay creates new history entry</t>
        </is>
      </c>
      <c r="D1098" s="16" t="inlineStr">
        <is>
          <t>Functional</t>
        </is>
      </c>
      <c r="E1098" s="16" t="inlineStr">
        <is>
          <t>Replay: Replay creates new history entry</t>
        </is>
      </c>
      <c r="F1098" s="16" t="inlineStr">
        <is>
          <t>New run</t>
        </is>
      </c>
      <c r="G1098" s="16" t="inlineStr">
        <is>
          <t>1. Replay.</t>
        </is>
      </c>
      <c r="H1098" s="16" t="inlineStr">
        <is>
          <t>replay</t>
        </is>
      </c>
      <c r="I1098" s="16" t="inlineStr">
        <is>
          <t>A new RequestRun row is added; original untouched.</t>
        </is>
      </c>
      <c r="J1098" s="16" t="inlineStr"/>
      <c r="K1098" s="16" t="inlineStr">
        <is>
          <t>Not Run</t>
        </is>
      </c>
      <c r="L1098" s="16" t="inlineStr">
        <is>
          <t>High</t>
        </is>
      </c>
      <c r="M1098" s="16" t="inlineStr"/>
      <c r="N1098" s="16" t="inlineStr"/>
      <c r="O1098" s="16" t="inlineStr"/>
    </row>
    <row r="1099" ht="72" customHeight="1">
      <c r="A1099" s="16" t="inlineStr">
        <is>
          <t>TC-HR-0012</t>
        </is>
      </c>
      <c r="B1099" s="16" t="inlineStr">
        <is>
          <t>History Replay Matrix</t>
        </is>
      </c>
      <c r="C1099" s="16" t="inlineStr">
        <is>
          <t>Replay 100 runs in batch (if supported)</t>
        </is>
      </c>
      <c r="D1099" s="16" t="inlineStr">
        <is>
          <t>Performance</t>
        </is>
      </c>
      <c r="E1099" s="16" t="inlineStr">
        <is>
          <t>Replay: Replay 100 runs in batch (if supported)</t>
        </is>
      </c>
      <c r="F1099" s="16" t="inlineStr">
        <is>
          <t>Bulk replay</t>
        </is>
      </c>
      <c r="G1099" s="16" t="inlineStr">
        <is>
          <t>1. Select 100 runs; replay.</t>
        </is>
      </c>
      <c r="H1099" s="16" t="inlineStr">
        <is>
          <t>replay</t>
        </is>
      </c>
      <c r="I1099" s="16" t="inlineStr">
        <is>
          <t>Sequential replay completes; aggregate result visible.</t>
        </is>
      </c>
      <c r="J1099" s="16" t="inlineStr"/>
      <c r="K1099" s="16" t="inlineStr">
        <is>
          <t>Not Run</t>
        </is>
      </c>
      <c r="L1099" s="16" t="inlineStr">
        <is>
          <t>Low</t>
        </is>
      </c>
      <c r="M1099" s="16" t="inlineStr"/>
      <c r="N1099" s="16" t="inlineStr"/>
      <c r="O1099" s="16" t="inlineStr"/>
    </row>
    <row r="1100" ht="72" customHeight="1">
      <c r="A1100" s="16" t="inlineStr">
        <is>
          <t>TC-HR-0013</t>
        </is>
      </c>
      <c r="B1100" s="16" t="inlineStr">
        <is>
          <t>History Replay Matrix</t>
        </is>
      </c>
      <c r="C1100" s="16" t="inlineStr">
        <is>
          <t>Replay with assertions runs them too</t>
        </is>
      </c>
      <c r="D1100" s="16" t="inlineStr">
        <is>
          <t>Functional</t>
        </is>
      </c>
      <c r="E1100" s="16" t="inlineStr">
        <is>
          <t>Replay: Replay with assertions runs them too</t>
        </is>
      </c>
      <c r="F1100" s="16" t="inlineStr">
        <is>
          <t>Run with assertions</t>
        </is>
      </c>
      <c r="G1100" s="16" t="inlineStr">
        <is>
          <t>1. Replay.</t>
        </is>
      </c>
      <c r="H1100" s="16" t="inlineStr">
        <is>
          <t>replay</t>
        </is>
      </c>
      <c r="I1100" s="16" t="inlineStr">
        <is>
          <t>Assertions re-evaluated against new response.</t>
        </is>
      </c>
      <c r="J1100" s="16" t="inlineStr"/>
      <c r="K1100" s="16" t="inlineStr">
        <is>
          <t>Not Run</t>
        </is>
      </c>
      <c r="L1100" s="16" t="inlineStr">
        <is>
          <t>High</t>
        </is>
      </c>
      <c r="M1100" s="16" t="inlineStr"/>
      <c r="N1100" s="16" t="inlineStr"/>
      <c r="O1100" s="16" t="inlineStr"/>
    </row>
    <row r="1101" ht="72" customHeight="1">
      <c r="A1101" s="16" t="inlineStr">
        <is>
          <t>TC-HR-0014</t>
        </is>
      </c>
      <c r="B1101" s="16" t="inlineStr">
        <is>
          <t>History Replay Matrix</t>
        </is>
      </c>
      <c r="C1101" s="16" t="inlineStr">
        <is>
          <t>Replay GraphQL with stored schema</t>
        </is>
      </c>
      <c r="D1101" s="16" t="inlineStr">
        <is>
          <t>Functional</t>
        </is>
      </c>
      <c r="E1101" s="16" t="inlineStr">
        <is>
          <t>Replay: Replay GraphQL with stored schema</t>
        </is>
      </c>
      <c r="F1101" s="16" t="inlineStr">
        <is>
          <t>GraphQL run</t>
        </is>
      </c>
      <c r="G1101" s="16" t="inlineStr">
        <is>
          <t>1. Replay.</t>
        </is>
      </c>
      <c r="H1101" s="16" t="inlineStr">
        <is>
          <t>replay</t>
        </is>
      </c>
      <c r="I1101" s="16" t="inlineStr">
        <is>
          <t>Schema still drives completions if needed.</t>
        </is>
      </c>
      <c r="J1101" s="16" t="inlineStr"/>
      <c r="K1101" s="16" t="inlineStr">
        <is>
          <t>Not Run</t>
        </is>
      </c>
      <c r="L1101" s="16" t="inlineStr">
        <is>
          <t>Low</t>
        </is>
      </c>
      <c r="M1101" s="16" t="inlineStr"/>
      <c r="N1101" s="16" t="inlineStr"/>
      <c r="O1101" s="16" t="inlineStr"/>
    </row>
    <row r="1102" ht="72" customHeight="1">
      <c r="A1102" s="16" t="inlineStr">
        <is>
          <t>TC-HR-0015</t>
        </is>
      </c>
      <c r="B1102" s="16" t="inlineStr">
        <is>
          <t>History Replay Matrix</t>
        </is>
      </c>
      <c r="C1102" s="16" t="inlineStr">
        <is>
          <t>Replay GET response includes Set-Cookie</t>
        </is>
      </c>
      <c r="D1102" s="16" t="inlineStr">
        <is>
          <t>Functional</t>
        </is>
      </c>
      <c r="E1102" s="16" t="inlineStr">
        <is>
          <t>Replay: Replay GET response includes Set-Cookie</t>
        </is>
      </c>
      <c r="F1102" s="16" t="inlineStr">
        <is>
          <t>Cookie-producing run</t>
        </is>
      </c>
      <c r="G1102" s="16" t="inlineStr">
        <is>
          <t>1. Replay.</t>
        </is>
      </c>
      <c r="H1102" s="16" t="inlineStr">
        <is>
          <t>replay</t>
        </is>
      </c>
      <c r="I1102" s="16" t="inlineStr">
        <is>
          <t>Cookies updated in jar (jar represents current world, not snapshot).</t>
        </is>
      </c>
      <c r="J1102" s="16" t="inlineStr"/>
      <c r="K1102" s="16" t="inlineStr">
        <is>
          <t>Not Run</t>
        </is>
      </c>
      <c r="L1102" s="16" t="inlineStr">
        <is>
          <t>Medium</t>
        </is>
      </c>
      <c r="M1102" s="16" t="inlineStr"/>
      <c r="N1102" s="16" t="inlineStr"/>
      <c r="O1102" s="16" t="inlineStr"/>
    </row>
    <row r="1103" ht="72" customHeight="1">
      <c r="A1103" s="16" t="inlineStr">
        <is>
          <t>TC-HR-0016</t>
        </is>
      </c>
      <c r="B1103" s="16" t="inlineStr">
        <is>
          <t>History Replay Matrix</t>
        </is>
      </c>
      <c r="C1103" s="16" t="inlineStr">
        <is>
          <t>Replay shows raw old response and new response side by side</t>
        </is>
      </c>
      <c r="D1103" s="16" t="inlineStr">
        <is>
          <t>UX/UI</t>
        </is>
      </c>
      <c r="E1103" s="16" t="inlineStr">
        <is>
          <t>Replay: Replay shows raw old response and new response side by side</t>
        </is>
      </c>
      <c r="F1103" s="16" t="inlineStr">
        <is>
          <t>Comparison</t>
        </is>
      </c>
      <c r="G1103" s="16" t="inlineStr">
        <is>
          <t>1. Replay; compare snapshots.</t>
        </is>
      </c>
      <c r="H1103" s="16" t="inlineStr">
        <is>
          <t>replay</t>
        </is>
      </c>
      <c r="I1103" s="16" t="inlineStr">
        <is>
          <t>Timeline shows two snapshots; user can diff status/body/headers.</t>
        </is>
      </c>
      <c r="J1103" s="16" t="inlineStr"/>
      <c r="K1103" s="16" t="inlineStr">
        <is>
          <t>Not Run</t>
        </is>
      </c>
      <c r="L1103" s="16" t="inlineStr">
        <is>
          <t>Medium</t>
        </is>
      </c>
      <c r="M1103" s="16" t="inlineStr"/>
      <c r="N1103" s="16" t="inlineStr"/>
      <c r="O1103" s="16" t="inlineStr"/>
    </row>
    <row r="1104" ht="72" customHeight="1">
      <c r="A1104" s="16" t="inlineStr">
        <is>
          <t>TC-HR-0017</t>
        </is>
      </c>
      <c r="B1104" s="16" t="inlineStr">
        <is>
          <t>History Replay Matrix</t>
        </is>
      </c>
      <c r="C1104" s="16" t="inlineStr">
        <is>
          <t>Replay aborted mid-flight</t>
        </is>
      </c>
      <c r="D1104" s="16" t="inlineStr">
        <is>
          <t>Negative</t>
        </is>
      </c>
      <c r="E1104" s="16" t="inlineStr">
        <is>
          <t>Replay: Replay aborted mid-flight</t>
        </is>
      </c>
      <c r="F1104" s="16" t="inlineStr">
        <is>
          <t>Cancel during replay</t>
        </is>
      </c>
      <c r="G1104" s="16" t="inlineStr">
        <is>
          <t>1. Replay slow request; Cancel.</t>
        </is>
      </c>
      <c r="H1104" s="16" t="inlineStr">
        <is>
          <t>replay</t>
        </is>
      </c>
      <c r="I1104" s="16" t="inlineStr">
        <is>
          <t>New run marked Cancelled; old run untouched.</t>
        </is>
      </c>
      <c r="J1104" s="16" t="inlineStr"/>
      <c r="K1104" s="16" t="inlineStr">
        <is>
          <t>Not Run</t>
        </is>
      </c>
      <c r="L1104" s="16" t="inlineStr">
        <is>
          <t>Medium</t>
        </is>
      </c>
      <c r="M1104" s="16" t="inlineStr"/>
      <c r="N1104" s="16" t="inlineStr"/>
      <c r="O1104" s="16" t="inlineStr"/>
    </row>
    <row r="1105" ht="72" customHeight="1">
      <c r="A1105" s="16" t="inlineStr">
        <is>
          <t>TC-HR-0018</t>
        </is>
      </c>
      <c r="B1105" s="16" t="inlineStr">
        <is>
          <t>History Replay Matrix</t>
        </is>
      </c>
      <c r="C1105" s="16" t="inlineStr">
        <is>
          <t>Replay against unreachable host</t>
        </is>
      </c>
      <c r="D1105" s="16" t="inlineStr">
        <is>
          <t>Negative</t>
        </is>
      </c>
      <c r="E1105" s="16" t="inlineStr">
        <is>
          <t>Replay: Replay against unreachable host</t>
        </is>
      </c>
      <c r="F1105" s="16" t="inlineStr">
        <is>
          <t>Endpoint down</t>
        </is>
      </c>
      <c r="G1105" s="16" t="inlineStr">
        <is>
          <t>1. Replay.</t>
        </is>
      </c>
      <c r="H1105" s="16" t="inlineStr">
        <is>
          <t>replay</t>
        </is>
      </c>
      <c r="I1105" s="16" t="inlineStr">
        <is>
          <t>Network error in new run; original unaffected.</t>
        </is>
      </c>
      <c r="J1105" s="16" t="inlineStr"/>
      <c r="K1105" s="16" t="inlineStr">
        <is>
          <t>Not Run</t>
        </is>
      </c>
      <c r="L1105" s="16" t="inlineStr">
        <is>
          <t>Medium</t>
        </is>
      </c>
      <c r="M1105" s="16" t="inlineStr"/>
      <c r="N1105" s="16" t="inlineStr"/>
      <c r="O1105" s="16" t="inlineStr"/>
    </row>
    <row r="1106" ht="72" customHeight="1">
      <c r="A1106" s="16" t="inlineStr">
        <is>
          <t>TC-HR-0019</t>
        </is>
      </c>
      <c r="B1106" s="16" t="inlineStr">
        <is>
          <t>History Replay Matrix</t>
        </is>
      </c>
      <c r="C1106" s="16" t="inlineStr">
        <is>
          <t>Replay updates request UI to historical state</t>
        </is>
      </c>
      <c r="D1106" s="16" t="inlineStr">
        <is>
          <t>UX/UI</t>
        </is>
      </c>
      <c r="E1106" s="16" t="inlineStr">
        <is>
          <t>Replay: Replay updates request UI to historical state</t>
        </is>
      </c>
      <c r="F1106" s="16" t="inlineStr">
        <is>
          <t>Pre-replay editor state different</t>
        </is>
      </c>
      <c r="G1106" s="16" t="inlineStr">
        <is>
          <t>1. Replay.</t>
        </is>
      </c>
      <c r="H1106" s="16" t="inlineStr">
        <is>
          <t>replay</t>
        </is>
      </c>
      <c r="I1106" s="16" t="inlineStr">
        <is>
          <t>Editor optionally restores historical values (with confirm) or keeps current; documented behavior.</t>
        </is>
      </c>
      <c r="J1106" s="16" t="inlineStr"/>
      <c r="K1106" s="16" t="inlineStr">
        <is>
          <t>Not Run</t>
        </is>
      </c>
      <c r="L1106" s="16" t="inlineStr">
        <is>
          <t>Medium</t>
        </is>
      </c>
      <c r="M1106" s="16" t="inlineStr"/>
      <c r="N1106" s="16" t="inlineStr"/>
      <c r="O1106" s="16" t="inlineStr"/>
    </row>
    <row r="1107" ht="72" customHeight="1">
      <c r="A1107" s="16" t="inlineStr">
        <is>
          <t>TC-MM-0064</t>
        </is>
      </c>
      <c r="B1107" s="16" t="inlineStr">
        <is>
          <t>Method x Body Matrix</t>
        </is>
      </c>
      <c r="C1107" s="16" t="inlineStr">
        <is>
          <t>GET + None + form-data</t>
        </is>
      </c>
      <c r="D1107" s="16" t="inlineStr">
        <is>
          <t>Edge Case</t>
        </is>
      </c>
      <c r="E1107" s="16" t="inlineStr">
        <is>
          <t>GET with None auth and form-data body</t>
        </is>
      </c>
      <c r="F1107" s="16" t="inlineStr">
        <is>
          <t>Editor open.</t>
        </is>
      </c>
      <c r="G1107" s="16" t="inlineStr">
        <is>
          <t>1. New request; method GET; URL to an echo endpoint.
2. Auth type None; configure minimum credentials.
3. Body type form-data; provide minimum valid content.
4. Send and inspect outgoing wire request (DevTools/proxy).</t>
        </is>
      </c>
      <c r="H1107" s="16" t="inlineStr">
        <is>
          <t>method=GET auth=None body=form-data</t>
        </is>
      </c>
      <c r="I1107" s="16" t="inlineStr">
        <is>
          <t>App allows configuring form-data body for GET; verifies wire behavior (sent or stripped) is consistent. Auth header sent regardless.</t>
        </is>
      </c>
      <c r="J1107" s="16" t="inlineStr"/>
      <c r="K1107" s="16" t="inlineStr">
        <is>
          <t>Not Run</t>
        </is>
      </c>
      <c r="L1107" s="16" t="inlineStr">
        <is>
          <t>Low</t>
        </is>
      </c>
      <c r="M1107" s="16" t="inlineStr"/>
      <c r="N1107" s="16" t="inlineStr"/>
      <c r="O1107" s="16" t="inlineStr"/>
    </row>
    <row r="1108" ht="72" customHeight="1">
      <c r="A1108" s="16" t="inlineStr">
        <is>
          <t>TC-MM-0065</t>
        </is>
      </c>
      <c r="B1108" s="16" t="inlineStr">
        <is>
          <t>Method x Body Matrix</t>
        </is>
      </c>
      <c r="C1108" s="16" t="inlineStr">
        <is>
          <t>GET + None + x-www-form-urlencoded</t>
        </is>
      </c>
      <c r="D1108" s="16" t="inlineStr">
        <is>
          <t>Edge Case</t>
        </is>
      </c>
      <c r="E1108" s="16" t="inlineStr">
        <is>
          <t>GET with None auth and x-www-form-urlencoded body</t>
        </is>
      </c>
      <c r="F1108" s="16" t="inlineStr">
        <is>
          <t>Editor open.</t>
        </is>
      </c>
      <c r="G1108" s="16" t="inlineStr">
        <is>
          <t>1. New request; method GET; URL to an echo endpoint.
2. Auth type None; configure minimum credentials.
3. Body type x-www-form-urlencoded; provide minimum valid content.
4. Send and inspect outgoing wire request (DevTools/proxy).</t>
        </is>
      </c>
      <c r="H1108" s="16" t="inlineStr">
        <is>
          <t>method=GET auth=None body=x-www-form-urlencoded</t>
        </is>
      </c>
      <c r="I1108" s="16" t="inlineStr">
        <is>
          <t>App allows configuring x-www-form-urlencoded body for GET; verifies wire behavior (sent or stripped) is consistent. Auth header sent regardless.</t>
        </is>
      </c>
      <c r="J1108" s="16" t="inlineStr"/>
      <c r="K1108" s="16" t="inlineStr">
        <is>
          <t>Not Run</t>
        </is>
      </c>
      <c r="L1108" s="16" t="inlineStr">
        <is>
          <t>Low</t>
        </is>
      </c>
      <c r="M1108" s="16" t="inlineStr"/>
      <c r="N1108" s="16" t="inlineStr"/>
      <c r="O1108" s="16" t="inlineStr"/>
    </row>
    <row r="1109" ht="72" customHeight="1">
      <c r="A1109" s="16" t="inlineStr">
        <is>
          <t>TC-MM-0066</t>
        </is>
      </c>
      <c r="B1109" s="16" t="inlineStr">
        <is>
          <t>Method x Body Matrix</t>
        </is>
      </c>
      <c r="C1109" s="16" t="inlineStr">
        <is>
          <t>GET + None + raw-json</t>
        </is>
      </c>
      <c r="D1109" s="16" t="inlineStr">
        <is>
          <t>Edge Case</t>
        </is>
      </c>
      <c r="E1109" s="16" t="inlineStr">
        <is>
          <t>GET with None auth and raw-json body</t>
        </is>
      </c>
      <c r="F1109" s="16" t="inlineStr">
        <is>
          <t>Editor open.</t>
        </is>
      </c>
      <c r="G1109" s="16" t="inlineStr">
        <is>
          <t>1. New request; method GET; URL to an echo endpoint.
2. Auth type None; configure minimum credentials.
3. Body type raw-json; provide minimum valid content.
4. Send and inspect outgoing wire request (DevTools/proxy).</t>
        </is>
      </c>
      <c r="H1109" s="16" t="inlineStr">
        <is>
          <t>method=GET auth=None body=raw-json</t>
        </is>
      </c>
      <c r="I1109" s="16" t="inlineStr">
        <is>
          <t>App allows configuring raw-json body for GET; verifies wire behavior (sent or stripped) is consistent. Auth header sent regardless.</t>
        </is>
      </c>
      <c r="J1109" s="16" t="inlineStr"/>
      <c r="K1109" s="16" t="inlineStr">
        <is>
          <t>Not Run</t>
        </is>
      </c>
      <c r="L1109" s="16" t="inlineStr">
        <is>
          <t>Low</t>
        </is>
      </c>
      <c r="M1109" s="16" t="inlineStr"/>
      <c r="N1109" s="16" t="inlineStr"/>
      <c r="O1109" s="16" t="inlineStr"/>
    </row>
    <row r="1110" ht="72" customHeight="1">
      <c r="A1110" s="16" t="inlineStr">
        <is>
          <t>TC-MM-0067</t>
        </is>
      </c>
      <c r="B1110" s="16" t="inlineStr">
        <is>
          <t>Method x Body Matrix</t>
        </is>
      </c>
      <c r="C1110" s="16" t="inlineStr">
        <is>
          <t>GET + None + raw-xml</t>
        </is>
      </c>
      <c r="D1110" s="16" t="inlineStr">
        <is>
          <t>Edge Case</t>
        </is>
      </c>
      <c r="E1110" s="16" t="inlineStr">
        <is>
          <t>GET with None auth and raw-xml body</t>
        </is>
      </c>
      <c r="F1110" s="16" t="inlineStr">
        <is>
          <t>Editor open.</t>
        </is>
      </c>
      <c r="G1110" s="16" t="inlineStr">
        <is>
          <t>1. New request; method GET; URL to an echo endpoint.
2. Auth type None; configure minimum credentials.
3. Body type raw-xml; provide minimum valid content.
4. Send and inspect outgoing wire request (DevTools/proxy).</t>
        </is>
      </c>
      <c r="H1110" s="16" t="inlineStr">
        <is>
          <t>method=GET auth=None body=raw-xml</t>
        </is>
      </c>
      <c r="I1110" s="16" t="inlineStr">
        <is>
          <t>App allows configuring raw-xml body for GET; verifies wire behavior (sent or stripped) is consistent. Auth header sent regardless.</t>
        </is>
      </c>
      <c r="J1110" s="16" t="inlineStr"/>
      <c r="K1110" s="16" t="inlineStr">
        <is>
          <t>Not Run</t>
        </is>
      </c>
      <c r="L1110" s="16" t="inlineStr">
        <is>
          <t>Low</t>
        </is>
      </c>
      <c r="M1110" s="16" t="inlineStr"/>
      <c r="N1110" s="16" t="inlineStr"/>
      <c r="O1110" s="16" t="inlineStr"/>
    </row>
    <row r="1111" ht="72" customHeight="1">
      <c r="A1111" s="16" t="inlineStr">
        <is>
          <t>TC-MM-0068</t>
        </is>
      </c>
      <c r="B1111" s="16" t="inlineStr">
        <is>
          <t>Method x Body Matrix</t>
        </is>
      </c>
      <c r="C1111" s="16" t="inlineStr">
        <is>
          <t>GET + None + raw-text</t>
        </is>
      </c>
      <c r="D1111" s="16" t="inlineStr">
        <is>
          <t>Edge Case</t>
        </is>
      </c>
      <c r="E1111" s="16" t="inlineStr">
        <is>
          <t>GET with None auth and raw-text body</t>
        </is>
      </c>
      <c r="F1111" s="16" t="inlineStr">
        <is>
          <t>Editor open.</t>
        </is>
      </c>
      <c r="G1111" s="16" t="inlineStr">
        <is>
          <t>1. New request; method GET; URL to an echo endpoint.
2. Auth type None; configure minimum credentials.
3. Body type raw-text; provide minimum valid content.
4. Send and inspect outgoing wire request (DevTools/proxy).</t>
        </is>
      </c>
      <c r="H1111" s="16" t="inlineStr">
        <is>
          <t>method=GET auth=None body=raw-text</t>
        </is>
      </c>
      <c r="I1111" s="16" t="inlineStr">
        <is>
          <t>App allows configuring raw-text body for GET; verifies wire behavior (sent or stripped) is consistent. Auth header sent regardless.</t>
        </is>
      </c>
      <c r="J1111" s="16" t="inlineStr"/>
      <c r="K1111" s="16" t="inlineStr">
        <is>
          <t>Not Run</t>
        </is>
      </c>
      <c r="L1111" s="16" t="inlineStr">
        <is>
          <t>Low</t>
        </is>
      </c>
      <c r="M1111" s="16" t="inlineStr"/>
      <c r="N1111" s="16" t="inlineStr"/>
      <c r="O1111" s="16" t="inlineStr"/>
    </row>
    <row r="1112" ht="72" customHeight="1">
      <c r="A1112" s="16" t="inlineStr">
        <is>
          <t>TC-MM-0069</t>
        </is>
      </c>
      <c r="B1112" s="16" t="inlineStr">
        <is>
          <t>Method x Body Matrix</t>
        </is>
      </c>
      <c r="C1112" s="16" t="inlineStr">
        <is>
          <t>GET + None + binary</t>
        </is>
      </c>
      <c r="D1112" s="16" t="inlineStr">
        <is>
          <t>Edge Case</t>
        </is>
      </c>
      <c r="E1112" s="16" t="inlineStr">
        <is>
          <t>GET with None auth and binary body</t>
        </is>
      </c>
      <c r="F1112" s="16" t="inlineStr">
        <is>
          <t>Editor open.</t>
        </is>
      </c>
      <c r="G1112" s="16" t="inlineStr">
        <is>
          <t>1. New request; method GET; URL to an echo endpoint.
2. Auth type None; configure minimum credentials.
3. Body type binary; provide minimum valid content.
4. Send and inspect outgoing wire request (DevTools/proxy).</t>
        </is>
      </c>
      <c r="H1112" s="16" t="inlineStr">
        <is>
          <t>method=GET auth=None body=binary</t>
        </is>
      </c>
      <c r="I1112" s="16" t="inlineStr">
        <is>
          <t>App allows configuring binary body for GET; verifies wire behavior (sent or stripped) is consistent. Auth header sent regardless.</t>
        </is>
      </c>
      <c r="J1112" s="16" t="inlineStr"/>
      <c r="K1112" s="16" t="inlineStr">
        <is>
          <t>Not Run</t>
        </is>
      </c>
      <c r="L1112" s="16" t="inlineStr">
        <is>
          <t>Low</t>
        </is>
      </c>
      <c r="M1112" s="16" t="inlineStr"/>
      <c r="N1112" s="16" t="inlineStr"/>
      <c r="O1112" s="16" t="inlineStr"/>
    </row>
    <row r="1113" ht="72" customHeight="1">
      <c r="A1113" s="16" t="inlineStr">
        <is>
          <t>TC-MM-0070</t>
        </is>
      </c>
      <c r="B1113" s="16" t="inlineStr">
        <is>
          <t>Method x Body Matrix</t>
        </is>
      </c>
      <c r="C1113" s="16" t="inlineStr">
        <is>
          <t>GET + Bearer + none</t>
        </is>
      </c>
      <c r="D1113" s="16" t="inlineStr">
        <is>
          <t>Functional</t>
        </is>
      </c>
      <c r="E1113" s="16" t="inlineStr">
        <is>
          <t>GET with Bearer auth and none body</t>
        </is>
      </c>
      <c r="F1113" s="16" t="inlineStr">
        <is>
          <t>Editor open.</t>
        </is>
      </c>
      <c r="G1113" s="16" t="inlineStr">
        <is>
          <t>1. New request; method GET; URL to an echo endpoint.
2. Auth type Bearer; configure minimum credentials.
3. Body type none; provide minimum valid content.
4. Send and inspect outgoing wire request (DevTools/proxy).</t>
        </is>
      </c>
      <c r="H1113" s="16" t="inlineStr">
        <is>
          <t>method=GET auth=Bearer body=none</t>
        </is>
      </c>
      <c r="I1113" s="16" t="inlineStr">
        <is>
          <t>Bearer auth applied correctly; none body sent with right Content-Type; server returns expected status.</t>
        </is>
      </c>
      <c r="J1113" s="16" t="inlineStr"/>
      <c r="K1113" s="16" t="inlineStr">
        <is>
          <t>Not Run</t>
        </is>
      </c>
      <c r="L1113" s="16" t="inlineStr">
        <is>
          <t>Medium</t>
        </is>
      </c>
      <c r="M1113" s="16" t="inlineStr"/>
      <c r="N1113" s="16" t="inlineStr"/>
      <c r="O1113" s="16" t="inlineStr"/>
    </row>
    <row r="1114" ht="72" customHeight="1">
      <c r="A1114" s="16" t="inlineStr">
        <is>
          <t>TC-MM-0071</t>
        </is>
      </c>
      <c r="B1114" s="16" t="inlineStr">
        <is>
          <t>Method x Body Matrix</t>
        </is>
      </c>
      <c r="C1114" s="16" t="inlineStr">
        <is>
          <t>GET + Bearer + form-data</t>
        </is>
      </c>
      <c r="D1114" s="16" t="inlineStr">
        <is>
          <t>Edge Case</t>
        </is>
      </c>
      <c r="E1114" s="16" t="inlineStr">
        <is>
          <t>GET with Bearer auth and form-data body</t>
        </is>
      </c>
      <c r="F1114" s="16" t="inlineStr">
        <is>
          <t>Editor open.</t>
        </is>
      </c>
      <c r="G1114" s="16" t="inlineStr">
        <is>
          <t>1. New request; method GET; URL to an echo endpoint.
2. Auth type Bearer; configure minimum credentials.
3. Body type form-data; provide minimum valid content.
4. Send and inspect outgoing wire request (DevTools/proxy).</t>
        </is>
      </c>
      <c r="H1114" s="16" t="inlineStr">
        <is>
          <t>method=GET auth=Bearer body=form-data</t>
        </is>
      </c>
      <c r="I1114" s="16" t="inlineStr">
        <is>
          <t>App allows configuring form-data body for GET; verifies wire behavior (sent or stripped) is consistent. Auth header sent regardless.</t>
        </is>
      </c>
      <c r="J1114" s="16" t="inlineStr"/>
      <c r="K1114" s="16" t="inlineStr">
        <is>
          <t>Not Run</t>
        </is>
      </c>
      <c r="L1114" s="16" t="inlineStr">
        <is>
          <t>Low</t>
        </is>
      </c>
      <c r="M1114" s="16" t="inlineStr"/>
      <c r="N1114" s="16" t="inlineStr"/>
      <c r="O1114" s="16" t="inlineStr"/>
    </row>
    <row r="1115" ht="72" customHeight="1">
      <c r="A1115" s="16" t="inlineStr">
        <is>
          <t>TC-MM-0072</t>
        </is>
      </c>
      <c r="B1115" s="16" t="inlineStr">
        <is>
          <t>Method x Body Matrix</t>
        </is>
      </c>
      <c r="C1115" s="16" t="inlineStr">
        <is>
          <t>GET + Bearer + x-www-form-urlencoded</t>
        </is>
      </c>
      <c r="D1115" s="16" t="inlineStr">
        <is>
          <t>Edge Case</t>
        </is>
      </c>
      <c r="E1115" s="16" t="inlineStr">
        <is>
          <t>GET with Bearer auth and x-www-form-urlencoded body</t>
        </is>
      </c>
      <c r="F1115" s="16" t="inlineStr">
        <is>
          <t>Editor open.</t>
        </is>
      </c>
      <c r="G1115" s="16" t="inlineStr">
        <is>
          <t>1. New request; method GET; URL to an echo endpoint.
2. Auth type Bearer; configure minimum credentials.
3. Body type x-www-form-urlencoded; provide minimum valid content.
4. Send and inspect outgoing wire request (DevTools/proxy).</t>
        </is>
      </c>
      <c r="H1115" s="16" t="inlineStr">
        <is>
          <t>method=GET auth=Bearer body=x-www-form-urlencoded</t>
        </is>
      </c>
      <c r="I1115" s="16" t="inlineStr">
        <is>
          <t>App allows configuring x-www-form-urlencoded body for GET; verifies wire behavior (sent or stripped) is consistent. Auth header sent regardless.</t>
        </is>
      </c>
      <c r="J1115" s="16" t="inlineStr"/>
      <c r="K1115" s="16" t="inlineStr">
        <is>
          <t>Not Run</t>
        </is>
      </c>
      <c r="L1115" s="16" t="inlineStr">
        <is>
          <t>Low</t>
        </is>
      </c>
      <c r="M1115" s="16" t="inlineStr"/>
      <c r="N1115" s="16" t="inlineStr"/>
      <c r="O1115" s="16" t="inlineStr"/>
    </row>
    <row r="1116" ht="72" customHeight="1">
      <c r="A1116" s="16" t="inlineStr">
        <is>
          <t>TC-MM-0073</t>
        </is>
      </c>
      <c r="B1116" s="16" t="inlineStr">
        <is>
          <t>Method x Body Matrix</t>
        </is>
      </c>
      <c r="C1116" s="16" t="inlineStr">
        <is>
          <t>GET + Bearer + raw-json</t>
        </is>
      </c>
      <c r="D1116" s="16" t="inlineStr">
        <is>
          <t>Edge Case</t>
        </is>
      </c>
      <c r="E1116" s="16" t="inlineStr">
        <is>
          <t>GET with Bearer auth and raw-json body</t>
        </is>
      </c>
      <c r="F1116" s="16" t="inlineStr">
        <is>
          <t>Editor open.</t>
        </is>
      </c>
      <c r="G1116" s="16" t="inlineStr">
        <is>
          <t>1. New request; method GET; URL to an echo endpoint.
2. Auth type Bearer; configure minimum credentials.
3. Body type raw-json; provide minimum valid content.
4. Send and inspect outgoing wire request (DevTools/proxy).</t>
        </is>
      </c>
      <c r="H1116" s="16" t="inlineStr">
        <is>
          <t>method=GET auth=Bearer body=raw-json</t>
        </is>
      </c>
      <c r="I1116" s="16" t="inlineStr">
        <is>
          <t>App allows configuring raw-json body for GET; verifies wire behavior (sent or stripped) is consistent. Auth header sent regardless.</t>
        </is>
      </c>
      <c r="J1116" s="16" t="inlineStr"/>
      <c r="K1116" s="16" t="inlineStr">
        <is>
          <t>Not Run</t>
        </is>
      </c>
      <c r="L1116" s="16" t="inlineStr">
        <is>
          <t>Low</t>
        </is>
      </c>
      <c r="M1116" s="16" t="inlineStr"/>
      <c r="N1116" s="16" t="inlineStr"/>
      <c r="O1116" s="16" t="inlineStr"/>
    </row>
    <row r="1117" ht="72" customHeight="1">
      <c r="A1117" s="16" t="inlineStr">
        <is>
          <t>TC-MM-0074</t>
        </is>
      </c>
      <c r="B1117" s="16" t="inlineStr">
        <is>
          <t>Method x Body Matrix</t>
        </is>
      </c>
      <c r="C1117" s="16" t="inlineStr">
        <is>
          <t>GET + Bearer + raw-xml</t>
        </is>
      </c>
      <c r="D1117" s="16" t="inlineStr">
        <is>
          <t>Edge Case</t>
        </is>
      </c>
      <c r="E1117" s="16" t="inlineStr">
        <is>
          <t>GET with Bearer auth and raw-xml body</t>
        </is>
      </c>
      <c r="F1117" s="16" t="inlineStr">
        <is>
          <t>Editor open.</t>
        </is>
      </c>
      <c r="G1117" s="16" t="inlineStr">
        <is>
          <t>1. New request; method GET; URL to an echo endpoint.
2. Auth type Bearer; configure minimum credentials.
3. Body type raw-xml; provide minimum valid content.
4. Send and inspect outgoing wire request (DevTools/proxy).</t>
        </is>
      </c>
      <c r="H1117" s="16" t="inlineStr">
        <is>
          <t>method=GET auth=Bearer body=raw-xml</t>
        </is>
      </c>
      <c r="I1117" s="16" t="inlineStr">
        <is>
          <t>App allows configuring raw-xml body for GET; verifies wire behavior (sent or stripped) is consistent. Auth header sent regardless.</t>
        </is>
      </c>
      <c r="J1117" s="16" t="inlineStr"/>
      <c r="K1117" s="16" t="inlineStr">
        <is>
          <t>Not Run</t>
        </is>
      </c>
      <c r="L1117" s="16" t="inlineStr">
        <is>
          <t>Low</t>
        </is>
      </c>
      <c r="M1117" s="16" t="inlineStr"/>
      <c r="N1117" s="16" t="inlineStr"/>
      <c r="O1117" s="16" t="inlineStr"/>
    </row>
    <row r="1118" ht="72" customHeight="1">
      <c r="A1118" s="16" t="inlineStr">
        <is>
          <t>TC-MM-0075</t>
        </is>
      </c>
      <c r="B1118" s="16" t="inlineStr">
        <is>
          <t>Method x Body Matrix</t>
        </is>
      </c>
      <c r="C1118" s="16" t="inlineStr">
        <is>
          <t>GET + Bearer + raw-text</t>
        </is>
      </c>
      <c r="D1118" s="16" t="inlineStr">
        <is>
          <t>Edge Case</t>
        </is>
      </c>
      <c r="E1118" s="16" t="inlineStr">
        <is>
          <t>GET with Bearer auth and raw-text body</t>
        </is>
      </c>
      <c r="F1118" s="16" t="inlineStr">
        <is>
          <t>Editor open.</t>
        </is>
      </c>
      <c r="G1118" s="16" t="inlineStr">
        <is>
          <t>1. New request; method GET; URL to an echo endpoint.
2. Auth type Bearer; configure minimum credentials.
3. Body type raw-text; provide minimum valid content.
4. Send and inspect outgoing wire request (DevTools/proxy).</t>
        </is>
      </c>
      <c r="H1118" s="16" t="inlineStr">
        <is>
          <t>method=GET auth=Bearer body=raw-text</t>
        </is>
      </c>
      <c r="I1118" s="16" t="inlineStr">
        <is>
          <t>App allows configuring raw-text body for GET; verifies wire behavior (sent or stripped) is consistent. Auth header sent regardless.</t>
        </is>
      </c>
      <c r="J1118" s="16" t="inlineStr"/>
      <c r="K1118" s="16" t="inlineStr">
        <is>
          <t>Not Run</t>
        </is>
      </c>
      <c r="L1118" s="16" t="inlineStr">
        <is>
          <t>Low</t>
        </is>
      </c>
      <c r="M1118" s="16" t="inlineStr"/>
      <c r="N1118" s="16" t="inlineStr"/>
      <c r="O1118" s="16" t="inlineStr"/>
    </row>
    <row r="1119" ht="72" customHeight="1">
      <c r="A1119" s="16" t="inlineStr">
        <is>
          <t>TC-MM-0076</t>
        </is>
      </c>
      <c r="B1119" s="16" t="inlineStr">
        <is>
          <t>Method x Body Matrix</t>
        </is>
      </c>
      <c r="C1119" s="16" t="inlineStr">
        <is>
          <t>GET + Bearer + binary</t>
        </is>
      </c>
      <c r="D1119" s="16" t="inlineStr">
        <is>
          <t>Edge Case</t>
        </is>
      </c>
      <c r="E1119" s="16" t="inlineStr">
        <is>
          <t>GET with Bearer auth and binary body</t>
        </is>
      </c>
      <c r="F1119" s="16" t="inlineStr">
        <is>
          <t>Editor open.</t>
        </is>
      </c>
      <c r="G1119" s="16" t="inlineStr">
        <is>
          <t>1. New request; method GET; URL to an echo endpoint.
2. Auth type Bearer; configure minimum credentials.
3. Body type binary; provide minimum valid content.
4. Send and inspect outgoing wire request (DevTools/proxy).</t>
        </is>
      </c>
      <c r="H1119" s="16" t="inlineStr">
        <is>
          <t>method=GET auth=Bearer body=binary</t>
        </is>
      </c>
      <c r="I1119" s="16" t="inlineStr">
        <is>
          <t>App allows configuring binary body for GET; verifies wire behavior (sent or stripped) is consistent. Auth header sent regardless.</t>
        </is>
      </c>
      <c r="J1119" s="16" t="inlineStr"/>
      <c r="K1119" s="16" t="inlineStr">
        <is>
          <t>Not Run</t>
        </is>
      </c>
      <c r="L1119" s="16" t="inlineStr">
        <is>
          <t>Low</t>
        </is>
      </c>
      <c r="M1119" s="16" t="inlineStr"/>
      <c r="N1119" s="16" t="inlineStr"/>
      <c r="O1119" s="16" t="inlineStr"/>
    </row>
    <row r="1120" ht="72" customHeight="1">
      <c r="A1120" s="16" t="inlineStr">
        <is>
          <t>TC-MM-0077</t>
        </is>
      </c>
      <c r="B1120" s="16" t="inlineStr">
        <is>
          <t>Method x Body Matrix</t>
        </is>
      </c>
      <c r="C1120" s="16" t="inlineStr">
        <is>
          <t>GET + Basic + none</t>
        </is>
      </c>
      <c r="D1120" s="16" t="inlineStr">
        <is>
          <t>Functional</t>
        </is>
      </c>
      <c r="E1120" s="16" t="inlineStr">
        <is>
          <t>GET with Basic auth and none body</t>
        </is>
      </c>
      <c r="F1120" s="16" t="inlineStr">
        <is>
          <t>Editor open.</t>
        </is>
      </c>
      <c r="G1120" s="16" t="inlineStr">
        <is>
          <t>1. New request; method GET; URL to an echo endpoint.
2. Auth type Basic; configure minimum credentials.
3. Body type none; provide minimum valid content.
4. Send and inspect outgoing wire request (DevTools/proxy).</t>
        </is>
      </c>
      <c r="H1120" s="16" t="inlineStr">
        <is>
          <t>method=GET auth=Basic body=none</t>
        </is>
      </c>
      <c r="I1120" s="16" t="inlineStr">
        <is>
          <t>Basic auth applied correctly; none body sent with right Content-Type; server returns expected status.</t>
        </is>
      </c>
      <c r="J1120" s="16" t="inlineStr"/>
      <c r="K1120" s="16" t="inlineStr">
        <is>
          <t>Not Run</t>
        </is>
      </c>
      <c r="L1120" s="16" t="inlineStr">
        <is>
          <t>Medium</t>
        </is>
      </c>
      <c r="M1120" s="16" t="inlineStr"/>
      <c r="N1120" s="16" t="inlineStr"/>
      <c r="O1120" s="16" t="inlineStr"/>
    </row>
    <row r="1121" ht="72" customHeight="1">
      <c r="A1121" s="16" t="inlineStr">
        <is>
          <t>TC-MM-0078</t>
        </is>
      </c>
      <c r="B1121" s="16" t="inlineStr">
        <is>
          <t>Method x Body Matrix</t>
        </is>
      </c>
      <c r="C1121" s="16" t="inlineStr">
        <is>
          <t>GET + Basic + form-data</t>
        </is>
      </c>
      <c r="D1121" s="16" t="inlineStr">
        <is>
          <t>Edge Case</t>
        </is>
      </c>
      <c r="E1121" s="16" t="inlineStr">
        <is>
          <t>GET with Basic auth and form-data body</t>
        </is>
      </c>
      <c r="F1121" s="16" t="inlineStr">
        <is>
          <t>Editor open.</t>
        </is>
      </c>
      <c r="G1121" s="16" t="inlineStr">
        <is>
          <t>1. New request; method GET; URL to an echo endpoint.
2. Auth type Basic; configure minimum credentials.
3. Body type form-data; provide minimum valid content.
4. Send and inspect outgoing wire request (DevTools/proxy).</t>
        </is>
      </c>
      <c r="H1121" s="16" t="inlineStr">
        <is>
          <t>method=GET auth=Basic body=form-data</t>
        </is>
      </c>
      <c r="I1121" s="16" t="inlineStr">
        <is>
          <t>App allows configuring form-data body for GET; verifies wire behavior (sent or stripped) is consistent. Auth header sent regardless.</t>
        </is>
      </c>
      <c r="J1121" s="16" t="inlineStr"/>
      <c r="K1121" s="16" t="inlineStr">
        <is>
          <t>Not Run</t>
        </is>
      </c>
      <c r="L1121" s="16" t="inlineStr">
        <is>
          <t>Low</t>
        </is>
      </c>
      <c r="M1121" s="16" t="inlineStr"/>
      <c r="N1121" s="16" t="inlineStr"/>
      <c r="O1121" s="16" t="inlineStr"/>
    </row>
    <row r="1122" ht="72" customHeight="1">
      <c r="A1122" s="16" t="inlineStr">
        <is>
          <t>TC-MM-0079</t>
        </is>
      </c>
      <c r="B1122" s="16" t="inlineStr">
        <is>
          <t>Method x Body Matrix</t>
        </is>
      </c>
      <c r="C1122" s="16" t="inlineStr">
        <is>
          <t>GET + Basic + x-www-form-urlencoded</t>
        </is>
      </c>
      <c r="D1122" s="16" t="inlineStr">
        <is>
          <t>Edge Case</t>
        </is>
      </c>
      <c r="E1122" s="16" t="inlineStr">
        <is>
          <t>GET with Basic auth and x-www-form-urlencoded body</t>
        </is>
      </c>
      <c r="F1122" s="16" t="inlineStr">
        <is>
          <t>Editor open.</t>
        </is>
      </c>
      <c r="G1122" s="16" t="inlineStr">
        <is>
          <t>1. New request; method GET; URL to an echo endpoint.
2. Auth type Basic; configure minimum credentials.
3. Body type x-www-form-urlencoded; provide minimum valid content.
4. Send and inspect outgoing wire request (DevTools/proxy).</t>
        </is>
      </c>
      <c r="H1122" s="16" t="inlineStr">
        <is>
          <t>method=GET auth=Basic body=x-www-form-urlencoded</t>
        </is>
      </c>
      <c r="I1122" s="16" t="inlineStr">
        <is>
          <t>App allows configuring x-www-form-urlencoded body for GET; verifies wire behavior (sent or stripped) is consistent. Auth header sent regardless.</t>
        </is>
      </c>
      <c r="J1122" s="16" t="inlineStr"/>
      <c r="K1122" s="16" t="inlineStr">
        <is>
          <t>Not Run</t>
        </is>
      </c>
      <c r="L1122" s="16" t="inlineStr">
        <is>
          <t>Low</t>
        </is>
      </c>
      <c r="M1122" s="16" t="inlineStr"/>
      <c r="N1122" s="16" t="inlineStr"/>
      <c r="O1122" s="16" t="inlineStr"/>
    </row>
    <row r="1123" ht="72" customHeight="1">
      <c r="A1123" s="16" t="inlineStr">
        <is>
          <t>TC-MM-0080</t>
        </is>
      </c>
      <c r="B1123" s="16" t="inlineStr">
        <is>
          <t>Method x Body Matrix</t>
        </is>
      </c>
      <c r="C1123" s="16" t="inlineStr">
        <is>
          <t>GET + Basic + raw-json</t>
        </is>
      </c>
      <c r="D1123" s="16" t="inlineStr">
        <is>
          <t>Edge Case</t>
        </is>
      </c>
      <c r="E1123" s="16" t="inlineStr">
        <is>
          <t>GET with Basic auth and raw-json body</t>
        </is>
      </c>
      <c r="F1123" s="16" t="inlineStr">
        <is>
          <t>Editor open.</t>
        </is>
      </c>
      <c r="G1123" s="16" t="inlineStr">
        <is>
          <t>1. New request; method GET; URL to an echo endpoint.
2. Auth type Basic; configure minimum credentials.
3. Body type raw-json; provide minimum valid content.
4. Send and inspect outgoing wire request (DevTools/proxy).</t>
        </is>
      </c>
      <c r="H1123" s="16" t="inlineStr">
        <is>
          <t>method=GET auth=Basic body=raw-json</t>
        </is>
      </c>
      <c r="I1123" s="16" t="inlineStr">
        <is>
          <t>App allows configuring raw-json body for GET; verifies wire behavior (sent or stripped) is consistent. Auth header sent regardless.</t>
        </is>
      </c>
      <c r="J1123" s="16" t="inlineStr"/>
      <c r="K1123" s="16" t="inlineStr">
        <is>
          <t>Not Run</t>
        </is>
      </c>
      <c r="L1123" s="16" t="inlineStr">
        <is>
          <t>Low</t>
        </is>
      </c>
      <c r="M1123" s="16" t="inlineStr"/>
      <c r="N1123" s="16" t="inlineStr"/>
      <c r="O1123" s="16" t="inlineStr"/>
    </row>
    <row r="1124" ht="72" customHeight="1">
      <c r="A1124" s="16" t="inlineStr">
        <is>
          <t>TC-MM-0081</t>
        </is>
      </c>
      <c r="B1124" s="16" t="inlineStr">
        <is>
          <t>Method x Body Matrix</t>
        </is>
      </c>
      <c r="C1124" s="16" t="inlineStr">
        <is>
          <t>GET + Basic + raw-xml</t>
        </is>
      </c>
      <c r="D1124" s="16" t="inlineStr">
        <is>
          <t>Edge Case</t>
        </is>
      </c>
      <c r="E1124" s="16" t="inlineStr">
        <is>
          <t>GET with Basic auth and raw-xml body</t>
        </is>
      </c>
      <c r="F1124" s="16" t="inlineStr">
        <is>
          <t>Editor open.</t>
        </is>
      </c>
      <c r="G1124" s="16" t="inlineStr">
        <is>
          <t>1. New request; method GET; URL to an echo endpoint.
2. Auth type Basic; configure minimum credentials.
3. Body type raw-xml; provide minimum valid content.
4. Send and inspect outgoing wire request (DevTools/proxy).</t>
        </is>
      </c>
      <c r="H1124" s="16" t="inlineStr">
        <is>
          <t>method=GET auth=Basic body=raw-xml</t>
        </is>
      </c>
      <c r="I1124" s="16" t="inlineStr">
        <is>
          <t>App allows configuring raw-xml body for GET; verifies wire behavior (sent or stripped) is consistent. Auth header sent regardless.</t>
        </is>
      </c>
      <c r="J1124" s="16" t="inlineStr"/>
      <c r="K1124" s="16" t="inlineStr">
        <is>
          <t>Not Run</t>
        </is>
      </c>
      <c r="L1124" s="16" t="inlineStr">
        <is>
          <t>Low</t>
        </is>
      </c>
      <c r="M1124" s="16" t="inlineStr"/>
      <c r="N1124" s="16" t="inlineStr"/>
      <c r="O1124" s="16" t="inlineStr"/>
    </row>
    <row r="1125" ht="72" customHeight="1">
      <c r="A1125" s="16" t="inlineStr">
        <is>
          <t>TC-MM-0082</t>
        </is>
      </c>
      <c r="B1125" s="16" t="inlineStr">
        <is>
          <t>Method x Body Matrix</t>
        </is>
      </c>
      <c r="C1125" s="16" t="inlineStr">
        <is>
          <t>GET + Basic + raw-text</t>
        </is>
      </c>
      <c r="D1125" s="16" t="inlineStr">
        <is>
          <t>Edge Case</t>
        </is>
      </c>
      <c r="E1125" s="16" t="inlineStr">
        <is>
          <t>GET with Basic auth and raw-text body</t>
        </is>
      </c>
      <c r="F1125" s="16" t="inlineStr">
        <is>
          <t>Editor open.</t>
        </is>
      </c>
      <c r="G1125" s="16" t="inlineStr">
        <is>
          <t>1. New request; method GET; URL to an echo endpoint.
2. Auth type Basic; configure minimum credentials.
3. Body type raw-text; provide minimum valid content.
4. Send and inspect outgoing wire request (DevTools/proxy).</t>
        </is>
      </c>
      <c r="H1125" s="16" t="inlineStr">
        <is>
          <t>method=GET auth=Basic body=raw-text</t>
        </is>
      </c>
      <c r="I1125" s="16" t="inlineStr">
        <is>
          <t>App allows configuring raw-text body for GET; verifies wire behavior (sent or stripped) is consistent. Auth header sent regardless.</t>
        </is>
      </c>
      <c r="J1125" s="16" t="inlineStr"/>
      <c r="K1125" s="16" t="inlineStr">
        <is>
          <t>Not Run</t>
        </is>
      </c>
      <c r="L1125" s="16" t="inlineStr">
        <is>
          <t>Low</t>
        </is>
      </c>
      <c r="M1125" s="16" t="inlineStr"/>
      <c r="N1125" s="16" t="inlineStr"/>
      <c r="O1125" s="16" t="inlineStr"/>
    </row>
    <row r="1126" ht="72" customHeight="1">
      <c r="A1126" s="16" t="inlineStr">
        <is>
          <t>TC-MM-0083</t>
        </is>
      </c>
      <c r="B1126" s="16" t="inlineStr">
        <is>
          <t>Method x Body Matrix</t>
        </is>
      </c>
      <c r="C1126" s="16" t="inlineStr">
        <is>
          <t>GET + Basic + binary</t>
        </is>
      </c>
      <c r="D1126" s="16" t="inlineStr">
        <is>
          <t>Edge Case</t>
        </is>
      </c>
      <c r="E1126" s="16" t="inlineStr">
        <is>
          <t>GET with Basic auth and binary body</t>
        </is>
      </c>
      <c r="F1126" s="16" t="inlineStr">
        <is>
          <t>Editor open.</t>
        </is>
      </c>
      <c r="G1126" s="16" t="inlineStr">
        <is>
          <t>1. New request; method GET; URL to an echo endpoint.
2. Auth type Basic; configure minimum credentials.
3. Body type binary; provide minimum valid content.
4. Send and inspect outgoing wire request (DevTools/proxy).</t>
        </is>
      </c>
      <c r="H1126" s="16" t="inlineStr">
        <is>
          <t>method=GET auth=Basic body=binary</t>
        </is>
      </c>
      <c r="I1126" s="16" t="inlineStr">
        <is>
          <t>App allows configuring binary body for GET; verifies wire behavior (sent or stripped) is consistent. Auth header sent regardless.</t>
        </is>
      </c>
      <c r="J1126" s="16" t="inlineStr"/>
      <c r="K1126" s="16" t="inlineStr">
        <is>
          <t>Not Run</t>
        </is>
      </c>
      <c r="L1126" s="16" t="inlineStr">
        <is>
          <t>Low</t>
        </is>
      </c>
      <c r="M1126" s="16" t="inlineStr"/>
      <c r="N1126" s="16" t="inlineStr"/>
      <c r="O1126" s="16" t="inlineStr"/>
    </row>
    <row r="1127" ht="72" customHeight="1">
      <c r="A1127" s="16" t="inlineStr">
        <is>
          <t>TC-MM-0084</t>
        </is>
      </c>
      <c r="B1127" s="16" t="inlineStr">
        <is>
          <t>Method x Body Matrix</t>
        </is>
      </c>
      <c r="C1127" s="16" t="inlineStr">
        <is>
          <t>GET + ApiKeyHeader + none</t>
        </is>
      </c>
      <c r="D1127" s="16" t="inlineStr">
        <is>
          <t>Functional</t>
        </is>
      </c>
      <c r="E1127" s="16" t="inlineStr">
        <is>
          <t>GET with ApiKeyHeader auth and none body</t>
        </is>
      </c>
      <c r="F1127" s="16" t="inlineStr">
        <is>
          <t>Editor open.</t>
        </is>
      </c>
      <c r="G1127" s="16" t="inlineStr">
        <is>
          <t>1. New request; method GET; URL to an echo endpoint.
2. Auth type ApiKeyHeader; configure minimum credentials.
3. Body type none; provide minimum valid content.
4. Send and inspect outgoing wire request (DevTools/proxy).</t>
        </is>
      </c>
      <c r="H1127" s="16" t="inlineStr">
        <is>
          <t>method=GET auth=ApiKeyHeader body=none</t>
        </is>
      </c>
      <c r="I1127" s="16" t="inlineStr">
        <is>
          <t>ApiKeyHeader auth applied correctly; none body sent with right Content-Type; server returns expected status.</t>
        </is>
      </c>
      <c r="J1127" s="16" t="inlineStr"/>
      <c r="K1127" s="16" t="inlineStr">
        <is>
          <t>Not Run</t>
        </is>
      </c>
      <c r="L1127" s="16" t="inlineStr">
        <is>
          <t>Medium</t>
        </is>
      </c>
      <c r="M1127" s="16" t="inlineStr"/>
      <c r="N1127" s="16" t="inlineStr"/>
      <c r="O1127" s="16" t="inlineStr"/>
    </row>
    <row r="1128" ht="72" customHeight="1">
      <c r="A1128" s="16" t="inlineStr">
        <is>
          <t>TC-MM-0085</t>
        </is>
      </c>
      <c r="B1128" s="16" t="inlineStr">
        <is>
          <t>Method x Body Matrix</t>
        </is>
      </c>
      <c r="C1128" s="16" t="inlineStr">
        <is>
          <t>GET + ApiKeyHeader + form-data</t>
        </is>
      </c>
      <c r="D1128" s="16" t="inlineStr">
        <is>
          <t>Edge Case</t>
        </is>
      </c>
      <c r="E1128" s="16" t="inlineStr">
        <is>
          <t>GET with ApiKeyHeader auth and form-data body</t>
        </is>
      </c>
      <c r="F1128" s="16" t="inlineStr">
        <is>
          <t>Editor open.</t>
        </is>
      </c>
      <c r="G1128" s="16" t="inlineStr">
        <is>
          <t>1. New request; method GET; URL to an echo endpoint.
2. Auth type ApiKeyHeader; configure minimum credentials.
3. Body type form-data; provide minimum valid content.
4. Send and inspect outgoing wire request (DevTools/proxy).</t>
        </is>
      </c>
      <c r="H1128" s="16" t="inlineStr">
        <is>
          <t>method=GET auth=ApiKeyHeader body=form-data</t>
        </is>
      </c>
      <c r="I1128" s="16" t="inlineStr">
        <is>
          <t>App allows configuring form-data body for GET; verifies wire behavior (sent or stripped) is consistent. Auth header sent regardless.</t>
        </is>
      </c>
      <c r="J1128" s="16" t="inlineStr"/>
      <c r="K1128" s="16" t="inlineStr">
        <is>
          <t>Not Run</t>
        </is>
      </c>
      <c r="L1128" s="16" t="inlineStr">
        <is>
          <t>Low</t>
        </is>
      </c>
      <c r="M1128" s="16" t="inlineStr"/>
      <c r="N1128" s="16" t="inlineStr"/>
      <c r="O1128" s="16" t="inlineStr"/>
    </row>
    <row r="1129" ht="72" customHeight="1">
      <c r="A1129" s="16" t="inlineStr">
        <is>
          <t>TC-MM-0086</t>
        </is>
      </c>
      <c r="B1129" s="16" t="inlineStr">
        <is>
          <t>Method x Body Matrix</t>
        </is>
      </c>
      <c r="C1129" s="16" t="inlineStr">
        <is>
          <t>GET + ApiKeyHeader + x-www-form-urlencoded</t>
        </is>
      </c>
      <c r="D1129" s="16" t="inlineStr">
        <is>
          <t>Edge Case</t>
        </is>
      </c>
      <c r="E1129" s="16" t="inlineStr">
        <is>
          <t>GET with ApiKeyHeader auth and x-www-form-urlencoded body</t>
        </is>
      </c>
      <c r="F1129" s="16" t="inlineStr">
        <is>
          <t>Editor open.</t>
        </is>
      </c>
      <c r="G1129" s="16" t="inlineStr">
        <is>
          <t>1. New request; method GET; URL to an echo endpoint.
2. Auth type ApiKeyHeader; configure minimum credentials.
3. Body type x-www-form-urlencoded; provide minimum valid content.
4. Send and inspect outgoing wire request (DevTools/proxy).</t>
        </is>
      </c>
      <c r="H1129" s="16" t="inlineStr">
        <is>
          <t>method=GET auth=ApiKeyHeader body=x-www-form-urlencoded</t>
        </is>
      </c>
      <c r="I1129" s="16" t="inlineStr">
        <is>
          <t>App allows configuring x-www-form-urlencoded body for GET; verifies wire behavior (sent or stripped) is consistent. Auth header sent regardless.</t>
        </is>
      </c>
      <c r="J1129" s="16" t="inlineStr"/>
      <c r="K1129" s="16" t="inlineStr">
        <is>
          <t>Not Run</t>
        </is>
      </c>
      <c r="L1129" s="16" t="inlineStr">
        <is>
          <t>Low</t>
        </is>
      </c>
      <c r="M1129" s="16" t="inlineStr"/>
      <c r="N1129" s="16" t="inlineStr"/>
      <c r="O1129" s="16" t="inlineStr"/>
    </row>
    <row r="1130" ht="72" customHeight="1">
      <c r="A1130" s="16" t="inlineStr">
        <is>
          <t>TC-MM-0087</t>
        </is>
      </c>
      <c r="B1130" s="16" t="inlineStr">
        <is>
          <t>Method x Body Matrix</t>
        </is>
      </c>
      <c r="C1130" s="16" t="inlineStr">
        <is>
          <t>GET + ApiKeyHeader + raw-json</t>
        </is>
      </c>
      <c r="D1130" s="16" t="inlineStr">
        <is>
          <t>Edge Case</t>
        </is>
      </c>
      <c r="E1130" s="16" t="inlineStr">
        <is>
          <t>GET with ApiKeyHeader auth and raw-json body</t>
        </is>
      </c>
      <c r="F1130" s="16" t="inlineStr">
        <is>
          <t>Editor open.</t>
        </is>
      </c>
      <c r="G1130" s="16" t="inlineStr">
        <is>
          <t>1. New request; method GET; URL to an echo endpoint.
2. Auth type ApiKeyHeader; configure minimum credentials.
3. Body type raw-json; provide minimum valid content.
4. Send and inspect outgoing wire request (DevTools/proxy).</t>
        </is>
      </c>
      <c r="H1130" s="16" t="inlineStr">
        <is>
          <t>method=GET auth=ApiKeyHeader body=raw-json</t>
        </is>
      </c>
      <c r="I1130" s="16" t="inlineStr">
        <is>
          <t>App allows configuring raw-json body for GET; verifies wire behavior (sent or stripped) is consistent. Auth header sent regardless.</t>
        </is>
      </c>
      <c r="J1130" s="16" t="inlineStr"/>
      <c r="K1130" s="16" t="inlineStr">
        <is>
          <t>Not Run</t>
        </is>
      </c>
      <c r="L1130" s="16" t="inlineStr">
        <is>
          <t>Low</t>
        </is>
      </c>
      <c r="M1130" s="16" t="inlineStr"/>
      <c r="N1130" s="16" t="inlineStr"/>
      <c r="O1130" s="16" t="inlineStr"/>
    </row>
    <row r="1131" ht="72" customHeight="1">
      <c r="A1131" s="16" t="inlineStr">
        <is>
          <t>TC-MM-0088</t>
        </is>
      </c>
      <c r="B1131" s="16" t="inlineStr">
        <is>
          <t>Method x Body Matrix</t>
        </is>
      </c>
      <c r="C1131" s="16" t="inlineStr">
        <is>
          <t>GET + ApiKeyHeader + raw-xml</t>
        </is>
      </c>
      <c r="D1131" s="16" t="inlineStr">
        <is>
          <t>Edge Case</t>
        </is>
      </c>
      <c r="E1131" s="16" t="inlineStr">
        <is>
          <t>GET with ApiKeyHeader auth and raw-xml body</t>
        </is>
      </c>
      <c r="F1131" s="16" t="inlineStr">
        <is>
          <t>Editor open.</t>
        </is>
      </c>
      <c r="G1131" s="16" t="inlineStr">
        <is>
          <t>1. New request; method GET; URL to an echo endpoint.
2. Auth type ApiKeyHeader; configure minimum credentials.
3. Body type raw-xml; provide minimum valid content.
4. Send and inspect outgoing wire request (DevTools/proxy).</t>
        </is>
      </c>
      <c r="H1131" s="16" t="inlineStr">
        <is>
          <t>method=GET auth=ApiKeyHeader body=raw-xml</t>
        </is>
      </c>
      <c r="I1131" s="16" t="inlineStr">
        <is>
          <t>App allows configuring raw-xml body for GET; verifies wire behavior (sent or stripped) is consistent. Auth header sent regardless.</t>
        </is>
      </c>
      <c r="J1131" s="16" t="inlineStr"/>
      <c r="K1131" s="16" t="inlineStr">
        <is>
          <t>Not Run</t>
        </is>
      </c>
      <c r="L1131" s="16" t="inlineStr">
        <is>
          <t>Low</t>
        </is>
      </c>
      <c r="M1131" s="16" t="inlineStr"/>
      <c r="N1131" s="16" t="inlineStr"/>
      <c r="O1131" s="16" t="inlineStr"/>
    </row>
    <row r="1132" ht="72" customHeight="1">
      <c r="A1132" s="16" t="inlineStr">
        <is>
          <t>TC-MM-0089</t>
        </is>
      </c>
      <c r="B1132" s="16" t="inlineStr">
        <is>
          <t>Method x Body Matrix</t>
        </is>
      </c>
      <c r="C1132" s="16" t="inlineStr">
        <is>
          <t>GET + ApiKeyHeader + raw-text</t>
        </is>
      </c>
      <c r="D1132" s="16" t="inlineStr">
        <is>
          <t>Edge Case</t>
        </is>
      </c>
      <c r="E1132" s="16" t="inlineStr">
        <is>
          <t>GET with ApiKeyHeader auth and raw-text body</t>
        </is>
      </c>
      <c r="F1132" s="16" t="inlineStr">
        <is>
          <t>Editor open.</t>
        </is>
      </c>
      <c r="G1132" s="16" t="inlineStr">
        <is>
          <t>1. New request; method GET; URL to an echo endpoint.
2. Auth type ApiKeyHeader; configure minimum credentials.
3. Body type raw-text; provide minimum valid content.
4. Send and inspect outgoing wire request (DevTools/proxy).</t>
        </is>
      </c>
      <c r="H1132" s="16" t="inlineStr">
        <is>
          <t>method=GET auth=ApiKeyHeader body=raw-text</t>
        </is>
      </c>
      <c r="I1132" s="16" t="inlineStr">
        <is>
          <t>App allows configuring raw-text body for GET; verifies wire behavior (sent or stripped) is consistent. Auth header sent regardless.</t>
        </is>
      </c>
      <c r="J1132" s="16" t="inlineStr"/>
      <c r="K1132" s="16" t="inlineStr">
        <is>
          <t>Not Run</t>
        </is>
      </c>
      <c r="L1132" s="16" t="inlineStr">
        <is>
          <t>Low</t>
        </is>
      </c>
      <c r="M1132" s="16" t="inlineStr"/>
      <c r="N1132" s="16" t="inlineStr"/>
      <c r="O1132" s="16" t="inlineStr"/>
    </row>
    <row r="1133" ht="72" customHeight="1">
      <c r="A1133" s="16" t="inlineStr">
        <is>
          <t>TC-MM-0090</t>
        </is>
      </c>
      <c r="B1133" s="16" t="inlineStr">
        <is>
          <t>Method x Body Matrix</t>
        </is>
      </c>
      <c r="C1133" s="16" t="inlineStr">
        <is>
          <t>GET + ApiKeyHeader + binary</t>
        </is>
      </c>
      <c r="D1133" s="16" t="inlineStr">
        <is>
          <t>Edge Case</t>
        </is>
      </c>
      <c r="E1133" s="16" t="inlineStr">
        <is>
          <t>GET with ApiKeyHeader auth and binary body</t>
        </is>
      </c>
      <c r="F1133" s="16" t="inlineStr">
        <is>
          <t>Editor open.</t>
        </is>
      </c>
      <c r="G1133" s="16" t="inlineStr">
        <is>
          <t>1. New request; method GET; URL to an echo endpoint.
2. Auth type ApiKeyHeader; configure minimum credentials.
3. Body type binary; provide minimum valid content.
4. Send and inspect outgoing wire request (DevTools/proxy).</t>
        </is>
      </c>
      <c r="H1133" s="16" t="inlineStr">
        <is>
          <t>method=GET auth=ApiKeyHeader body=binary</t>
        </is>
      </c>
      <c r="I1133" s="16" t="inlineStr">
        <is>
          <t>App allows configuring binary body for GET; verifies wire behavior (sent or stripped) is consistent. Auth header sent regardless.</t>
        </is>
      </c>
      <c r="J1133" s="16" t="inlineStr"/>
      <c r="K1133" s="16" t="inlineStr">
        <is>
          <t>Not Run</t>
        </is>
      </c>
      <c r="L1133" s="16" t="inlineStr">
        <is>
          <t>Low</t>
        </is>
      </c>
      <c r="M1133" s="16" t="inlineStr"/>
      <c r="N1133" s="16" t="inlineStr"/>
      <c r="O1133" s="16" t="inlineStr"/>
    </row>
    <row r="1134" ht="72" customHeight="1">
      <c r="A1134" s="16" t="inlineStr">
        <is>
          <t>TC-MM-0091</t>
        </is>
      </c>
      <c r="B1134" s="16" t="inlineStr">
        <is>
          <t>Method x Body Matrix</t>
        </is>
      </c>
      <c r="C1134" s="16" t="inlineStr">
        <is>
          <t>GET + ApiKeyQuery + none</t>
        </is>
      </c>
      <c r="D1134" s="16" t="inlineStr">
        <is>
          <t>Functional</t>
        </is>
      </c>
      <c r="E1134" s="16" t="inlineStr">
        <is>
          <t>GET with ApiKeyQuery auth and none body</t>
        </is>
      </c>
      <c r="F1134" s="16" t="inlineStr">
        <is>
          <t>Editor open.</t>
        </is>
      </c>
      <c r="G1134" s="16" t="inlineStr">
        <is>
          <t>1. New request; method GET; URL to an echo endpoint.
2. Auth type ApiKeyQuery; configure minimum credentials.
3. Body type none; provide minimum valid content.
4. Send and inspect outgoing wire request (DevTools/proxy).</t>
        </is>
      </c>
      <c r="H1134" s="16" t="inlineStr">
        <is>
          <t>method=GET auth=ApiKeyQuery body=none</t>
        </is>
      </c>
      <c r="I1134" s="16" t="inlineStr">
        <is>
          <t>ApiKeyQuery auth applied correctly; none body sent with right Content-Type; server returns expected status.</t>
        </is>
      </c>
      <c r="J1134" s="16" t="inlineStr"/>
      <c r="K1134" s="16" t="inlineStr">
        <is>
          <t>Not Run</t>
        </is>
      </c>
      <c r="L1134" s="16" t="inlineStr">
        <is>
          <t>Medium</t>
        </is>
      </c>
      <c r="M1134" s="16" t="inlineStr"/>
      <c r="N1134" s="16" t="inlineStr"/>
      <c r="O1134" s="16" t="inlineStr"/>
    </row>
    <row r="1135" ht="72" customHeight="1">
      <c r="A1135" s="16" t="inlineStr">
        <is>
          <t>TC-MM-0092</t>
        </is>
      </c>
      <c r="B1135" s="16" t="inlineStr">
        <is>
          <t>Method x Body Matrix</t>
        </is>
      </c>
      <c r="C1135" s="16" t="inlineStr">
        <is>
          <t>GET + ApiKeyQuery + form-data</t>
        </is>
      </c>
      <c r="D1135" s="16" t="inlineStr">
        <is>
          <t>Edge Case</t>
        </is>
      </c>
      <c r="E1135" s="16" t="inlineStr">
        <is>
          <t>GET with ApiKeyQuery auth and form-data body</t>
        </is>
      </c>
      <c r="F1135" s="16" t="inlineStr">
        <is>
          <t>Editor open.</t>
        </is>
      </c>
      <c r="G1135" s="16" t="inlineStr">
        <is>
          <t>1. New request; method GET; URL to an echo endpoint.
2. Auth type ApiKeyQuery; configure minimum credentials.
3. Body type form-data; provide minimum valid content.
4. Send and inspect outgoing wire request (DevTools/proxy).</t>
        </is>
      </c>
      <c r="H1135" s="16" t="inlineStr">
        <is>
          <t>method=GET auth=ApiKeyQuery body=form-data</t>
        </is>
      </c>
      <c r="I1135" s="16" t="inlineStr">
        <is>
          <t>App allows configuring form-data body for GET; verifies wire behavior (sent or stripped) is consistent. Auth header sent regardless.</t>
        </is>
      </c>
      <c r="J1135" s="16" t="inlineStr"/>
      <c r="K1135" s="16" t="inlineStr">
        <is>
          <t>Not Run</t>
        </is>
      </c>
      <c r="L1135" s="16" t="inlineStr">
        <is>
          <t>Low</t>
        </is>
      </c>
      <c r="M1135" s="16" t="inlineStr"/>
      <c r="N1135" s="16" t="inlineStr"/>
      <c r="O1135" s="16" t="inlineStr"/>
    </row>
    <row r="1136" ht="72" customHeight="1">
      <c r="A1136" s="16" t="inlineStr">
        <is>
          <t>TC-MM-0093</t>
        </is>
      </c>
      <c r="B1136" s="16" t="inlineStr">
        <is>
          <t>Method x Body Matrix</t>
        </is>
      </c>
      <c r="C1136" s="16" t="inlineStr">
        <is>
          <t>GET + ApiKeyQuery + x-www-form-urlencoded</t>
        </is>
      </c>
      <c r="D1136" s="16" t="inlineStr">
        <is>
          <t>Edge Case</t>
        </is>
      </c>
      <c r="E1136" s="16" t="inlineStr">
        <is>
          <t>GET with ApiKeyQuery auth and x-www-form-urlencoded body</t>
        </is>
      </c>
      <c r="F1136" s="16" t="inlineStr">
        <is>
          <t>Editor open.</t>
        </is>
      </c>
      <c r="G1136" s="16" t="inlineStr">
        <is>
          <t>1. New request; method GET; URL to an echo endpoint.
2. Auth type ApiKeyQuery; configure minimum credentials.
3. Body type x-www-form-urlencoded; provide minimum valid content.
4. Send and inspect outgoing wire request (DevTools/proxy).</t>
        </is>
      </c>
      <c r="H1136" s="16" t="inlineStr">
        <is>
          <t>method=GET auth=ApiKeyQuery body=x-www-form-urlencoded</t>
        </is>
      </c>
      <c r="I1136" s="16" t="inlineStr">
        <is>
          <t>App allows configuring x-www-form-urlencoded body for GET; verifies wire behavior (sent or stripped) is consistent. Auth header sent regardless.</t>
        </is>
      </c>
      <c r="J1136" s="16" t="inlineStr"/>
      <c r="K1136" s="16" t="inlineStr">
        <is>
          <t>Not Run</t>
        </is>
      </c>
      <c r="L1136" s="16" t="inlineStr">
        <is>
          <t>Low</t>
        </is>
      </c>
      <c r="M1136" s="16" t="inlineStr"/>
      <c r="N1136" s="16" t="inlineStr"/>
      <c r="O1136" s="16" t="inlineStr"/>
    </row>
    <row r="1137" ht="72" customHeight="1">
      <c r="A1137" s="16" t="inlineStr">
        <is>
          <t>TC-MM-0094</t>
        </is>
      </c>
      <c r="B1137" s="16" t="inlineStr">
        <is>
          <t>Method x Body Matrix</t>
        </is>
      </c>
      <c r="C1137" s="16" t="inlineStr">
        <is>
          <t>GET + ApiKeyQuery + raw-json</t>
        </is>
      </c>
      <c r="D1137" s="16" t="inlineStr">
        <is>
          <t>Edge Case</t>
        </is>
      </c>
      <c r="E1137" s="16" t="inlineStr">
        <is>
          <t>GET with ApiKeyQuery auth and raw-json body</t>
        </is>
      </c>
      <c r="F1137" s="16" t="inlineStr">
        <is>
          <t>Editor open.</t>
        </is>
      </c>
      <c r="G1137" s="16" t="inlineStr">
        <is>
          <t>1. New request; method GET; URL to an echo endpoint.
2. Auth type ApiKeyQuery; configure minimum credentials.
3. Body type raw-json; provide minimum valid content.
4. Send and inspect outgoing wire request (DevTools/proxy).</t>
        </is>
      </c>
      <c r="H1137" s="16" t="inlineStr">
        <is>
          <t>method=GET auth=ApiKeyQuery body=raw-json</t>
        </is>
      </c>
      <c r="I1137" s="16" t="inlineStr">
        <is>
          <t>App allows configuring raw-json body for GET; verifies wire behavior (sent or stripped) is consistent. Auth header sent regardless.</t>
        </is>
      </c>
      <c r="J1137" s="16" t="inlineStr"/>
      <c r="K1137" s="16" t="inlineStr">
        <is>
          <t>Not Run</t>
        </is>
      </c>
      <c r="L1137" s="16" t="inlineStr">
        <is>
          <t>Low</t>
        </is>
      </c>
      <c r="M1137" s="16" t="inlineStr"/>
      <c r="N1137" s="16" t="inlineStr"/>
      <c r="O1137" s="16" t="inlineStr"/>
    </row>
    <row r="1138" ht="72" customHeight="1">
      <c r="A1138" s="16" t="inlineStr">
        <is>
          <t>TC-MM-0095</t>
        </is>
      </c>
      <c r="B1138" s="16" t="inlineStr">
        <is>
          <t>Method x Body Matrix</t>
        </is>
      </c>
      <c r="C1138" s="16" t="inlineStr">
        <is>
          <t>GET + ApiKeyQuery + raw-xml</t>
        </is>
      </c>
      <c r="D1138" s="16" t="inlineStr">
        <is>
          <t>Edge Case</t>
        </is>
      </c>
      <c r="E1138" s="16" t="inlineStr">
        <is>
          <t>GET with ApiKeyQuery auth and raw-xml body</t>
        </is>
      </c>
      <c r="F1138" s="16" t="inlineStr">
        <is>
          <t>Editor open.</t>
        </is>
      </c>
      <c r="G1138" s="16" t="inlineStr">
        <is>
          <t>1. New request; method GET; URL to an echo endpoint.
2. Auth type ApiKeyQuery; configure minimum credentials.
3. Body type raw-xml; provide minimum valid content.
4. Send and inspect outgoing wire request (DevTools/proxy).</t>
        </is>
      </c>
      <c r="H1138" s="16" t="inlineStr">
        <is>
          <t>method=GET auth=ApiKeyQuery body=raw-xml</t>
        </is>
      </c>
      <c r="I1138" s="16" t="inlineStr">
        <is>
          <t>App allows configuring raw-xml body for GET; verifies wire behavior (sent or stripped) is consistent. Auth header sent regardless.</t>
        </is>
      </c>
      <c r="J1138" s="16" t="inlineStr"/>
      <c r="K1138" s="16" t="inlineStr">
        <is>
          <t>Not Run</t>
        </is>
      </c>
      <c r="L1138" s="16" t="inlineStr">
        <is>
          <t>Low</t>
        </is>
      </c>
      <c r="M1138" s="16" t="inlineStr"/>
      <c r="N1138" s="16" t="inlineStr"/>
      <c r="O1138" s="16" t="inlineStr"/>
    </row>
    <row r="1139" ht="72" customHeight="1">
      <c r="A1139" s="16" t="inlineStr">
        <is>
          <t>TC-MM-0096</t>
        </is>
      </c>
      <c r="B1139" s="16" t="inlineStr">
        <is>
          <t>Method x Body Matrix</t>
        </is>
      </c>
      <c r="C1139" s="16" t="inlineStr">
        <is>
          <t>GET + ApiKeyQuery + raw-text</t>
        </is>
      </c>
      <c r="D1139" s="16" t="inlineStr">
        <is>
          <t>Edge Case</t>
        </is>
      </c>
      <c r="E1139" s="16" t="inlineStr">
        <is>
          <t>GET with ApiKeyQuery auth and raw-text body</t>
        </is>
      </c>
      <c r="F1139" s="16" t="inlineStr">
        <is>
          <t>Editor open.</t>
        </is>
      </c>
      <c r="G1139" s="16" t="inlineStr">
        <is>
          <t>1. New request; method GET; URL to an echo endpoint.
2. Auth type ApiKeyQuery; configure minimum credentials.
3. Body type raw-text; provide minimum valid content.
4. Send and inspect outgoing wire request (DevTools/proxy).</t>
        </is>
      </c>
      <c r="H1139" s="16" t="inlineStr">
        <is>
          <t>method=GET auth=ApiKeyQuery body=raw-text</t>
        </is>
      </c>
      <c r="I1139" s="16" t="inlineStr">
        <is>
          <t>App allows configuring raw-text body for GET; verifies wire behavior (sent or stripped) is consistent. Auth header sent regardless.</t>
        </is>
      </c>
      <c r="J1139" s="16" t="inlineStr"/>
      <c r="K1139" s="16" t="inlineStr">
        <is>
          <t>Not Run</t>
        </is>
      </c>
      <c r="L1139" s="16" t="inlineStr">
        <is>
          <t>Low</t>
        </is>
      </c>
      <c r="M1139" s="16" t="inlineStr"/>
      <c r="N1139" s="16" t="inlineStr"/>
      <c r="O1139" s="16" t="inlineStr"/>
    </row>
    <row r="1140" ht="72" customHeight="1">
      <c r="A1140" s="16" t="inlineStr">
        <is>
          <t>TC-MM-0097</t>
        </is>
      </c>
      <c r="B1140" s="16" t="inlineStr">
        <is>
          <t>Method x Body Matrix</t>
        </is>
      </c>
      <c r="C1140" s="16" t="inlineStr">
        <is>
          <t>GET + ApiKeyQuery + binary</t>
        </is>
      </c>
      <c r="D1140" s="16" t="inlineStr">
        <is>
          <t>Edge Case</t>
        </is>
      </c>
      <c r="E1140" s="16" t="inlineStr">
        <is>
          <t>GET with ApiKeyQuery auth and binary body</t>
        </is>
      </c>
      <c r="F1140" s="16" t="inlineStr">
        <is>
          <t>Editor open.</t>
        </is>
      </c>
      <c r="G1140" s="16" t="inlineStr">
        <is>
          <t>1. New request; method GET; URL to an echo endpoint.
2. Auth type ApiKeyQuery; configure minimum credentials.
3. Body type binary; provide minimum valid content.
4. Send and inspect outgoing wire request (DevTools/proxy).</t>
        </is>
      </c>
      <c r="H1140" s="16" t="inlineStr">
        <is>
          <t>method=GET auth=ApiKeyQuery body=binary</t>
        </is>
      </c>
      <c r="I1140" s="16" t="inlineStr">
        <is>
          <t>App allows configuring binary body for GET; verifies wire behavior (sent or stripped) is consistent. Auth header sent regardless.</t>
        </is>
      </c>
      <c r="J1140" s="16" t="inlineStr"/>
      <c r="K1140" s="16" t="inlineStr">
        <is>
          <t>Not Run</t>
        </is>
      </c>
      <c r="L1140" s="16" t="inlineStr">
        <is>
          <t>Low</t>
        </is>
      </c>
      <c r="M1140" s="16" t="inlineStr"/>
      <c r="N1140" s="16" t="inlineStr"/>
      <c r="O1140" s="16" t="inlineStr"/>
    </row>
    <row r="1141" ht="72" customHeight="1">
      <c r="A1141" s="16" t="inlineStr">
        <is>
          <t>TC-MM-0098</t>
        </is>
      </c>
      <c r="B1141" s="16" t="inlineStr">
        <is>
          <t>Method x Body Matrix</t>
        </is>
      </c>
      <c r="C1141" s="16" t="inlineStr">
        <is>
          <t>GET + AwsSigV4 + none</t>
        </is>
      </c>
      <c r="D1141" s="16" t="inlineStr">
        <is>
          <t>Functional</t>
        </is>
      </c>
      <c r="E1141" s="16" t="inlineStr">
        <is>
          <t>GET with AwsSigV4 auth and none body</t>
        </is>
      </c>
      <c r="F1141" s="16" t="inlineStr">
        <is>
          <t>Editor open.</t>
        </is>
      </c>
      <c r="G1141" s="16" t="inlineStr">
        <is>
          <t>1. New request; method GET; URL to an echo endpoint.
2. Auth type AwsSigV4; configure minimum credentials.
3. Body type none; provide minimum valid content.
4. Send and inspect outgoing wire request (DevTools/proxy).</t>
        </is>
      </c>
      <c r="H1141" s="16" t="inlineStr">
        <is>
          <t>method=GET auth=AwsSigV4 body=none</t>
        </is>
      </c>
      <c r="I1141" s="16" t="inlineStr">
        <is>
          <t>AwsSigV4 auth applied correctly; none body sent with right Content-Type; server returns expected status.</t>
        </is>
      </c>
      <c r="J1141" s="16" t="inlineStr"/>
      <c r="K1141" s="16" t="inlineStr">
        <is>
          <t>Not Run</t>
        </is>
      </c>
      <c r="L1141" s="16" t="inlineStr">
        <is>
          <t>Medium</t>
        </is>
      </c>
      <c r="M1141" s="16" t="inlineStr"/>
      <c r="N1141" s="16" t="inlineStr"/>
      <c r="O1141" s="16" t="inlineStr"/>
    </row>
    <row r="1142" ht="72" customHeight="1">
      <c r="A1142" s="16" t="inlineStr">
        <is>
          <t>TC-MM-0099</t>
        </is>
      </c>
      <c r="B1142" s="16" t="inlineStr">
        <is>
          <t>Method x Body Matrix</t>
        </is>
      </c>
      <c r="C1142" s="16" t="inlineStr">
        <is>
          <t>GET + AwsSigV4 + form-data</t>
        </is>
      </c>
      <c r="D1142" s="16" t="inlineStr">
        <is>
          <t>Functional</t>
        </is>
      </c>
      <c r="E1142" s="16" t="inlineStr">
        <is>
          <t>GET with AwsSigV4 auth and form-data body</t>
        </is>
      </c>
      <c r="F1142" s="16" t="inlineStr">
        <is>
          <t>Editor open.</t>
        </is>
      </c>
      <c r="G1142" s="16" t="inlineStr">
        <is>
          <t>1. New request; method GET; URL to an echo endpoint.
2. Auth type AwsSigV4; configure minimum credentials.
3. Body type form-data; provide minimum valid content.
4. Send and inspect outgoing wire request (DevTools/proxy).</t>
        </is>
      </c>
      <c r="H1142" s="16" t="inlineStr">
        <is>
          <t>method=GET auth=AwsSigV4 body=form-data</t>
        </is>
      </c>
      <c r="I1142" s="16" t="inlineStr">
        <is>
          <t>AWS SigV4 signs canonical request including body bytes; x-amz-content-sha256 reflects SHA256 of body. Server returns expected status.</t>
        </is>
      </c>
      <c r="J1142" s="16" t="inlineStr"/>
      <c r="K1142" s="16" t="inlineStr">
        <is>
          <t>Not Run</t>
        </is>
      </c>
      <c r="L1142" s="16" t="inlineStr">
        <is>
          <t>High</t>
        </is>
      </c>
      <c r="M1142" s="16" t="inlineStr"/>
      <c r="N1142" s="16" t="inlineStr"/>
      <c r="O1142" s="16" t="inlineStr"/>
    </row>
    <row r="1143" ht="72" customHeight="1">
      <c r="A1143" s="16" t="inlineStr">
        <is>
          <t>TC-MM-0100</t>
        </is>
      </c>
      <c r="B1143" s="16" t="inlineStr">
        <is>
          <t>Method x Body Matrix</t>
        </is>
      </c>
      <c r="C1143" s="16" t="inlineStr">
        <is>
          <t>GET + AwsSigV4 + x-www-form-urlencoded</t>
        </is>
      </c>
      <c r="D1143" s="16" t="inlineStr">
        <is>
          <t>Functional</t>
        </is>
      </c>
      <c r="E1143" s="16" t="inlineStr">
        <is>
          <t>GET with AwsSigV4 auth and x-www-form-urlencoded body</t>
        </is>
      </c>
      <c r="F1143" s="16" t="inlineStr">
        <is>
          <t>Editor open.</t>
        </is>
      </c>
      <c r="G1143" s="16" t="inlineStr">
        <is>
          <t>1. New request; method GET; URL to an echo endpoint.
2. Auth type AwsSigV4; configure minimum credentials.
3. Body type x-www-form-urlencoded; provide minimum valid content.
4. Send and inspect outgoing wire request (DevTools/proxy).</t>
        </is>
      </c>
      <c r="H1143" s="16" t="inlineStr">
        <is>
          <t>method=GET auth=AwsSigV4 body=x-www-form-urlencoded</t>
        </is>
      </c>
      <c r="I1143" s="16" t="inlineStr">
        <is>
          <t>AWS SigV4 signs canonical request including body bytes; x-amz-content-sha256 reflects SHA256 of body. Server returns expected status.</t>
        </is>
      </c>
      <c r="J1143" s="16" t="inlineStr"/>
      <c r="K1143" s="16" t="inlineStr">
        <is>
          <t>Not Run</t>
        </is>
      </c>
      <c r="L1143" s="16" t="inlineStr">
        <is>
          <t>High</t>
        </is>
      </c>
      <c r="M1143" s="16" t="inlineStr"/>
      <c r="N1143" s="16" t="inlineStr"/>
      <c r="O1143" s="16" t="inlineStr"/>
    </row>
    <row r="1144" ht="72" customHeight="1">
      <c r="A1144" s="16" t="inlineStr">
        <is>
          <t>TC-MM-0101</t>
        </is>
      </c>
      <c r="B1144" s="16" t="inlineStr">
        <is>
          <t>Method x Body Matrix</t>
        </is>
      </c>
      <c r="C1144" s="16" t="inlineStr">
        <is>
          <t>GET + AwsSigV4 + raw-json</t>
        </is>
      </c>
      <c r="D1144" s="16" t="inlineStr">
        <is>
          <t>Functional</t>
        </is>
      </c>
      <c r="E1144" s="16" t="inlineStr">
        <is>
          <t>GET with AwsSigV4 auth and raw-json body</t>
        </is>
      </c>
      <c r="F1144" s="16" t="inlineStr">
        <is>
          <t>Editor open.</t>
        </is>
      </c>
      <c r="G1144" s="16" t="inlineStr">
        <is>
          <t>1. New request; method GET; URL to an echo endpoint.
2. Auth type AwsSigV4; configure minimum credentials.
3. Body type raw-json; provide minimum valid content.
4. Send and inspect outgoing wire request (DevTools/proxy).</t>
        </is>
      </c>
      <c r="H1144" s="16" t="inlineStr">
        <is>
          <t>method=GET auth=AwsSigV4 body=raw-json</t>
        </is>
      </c>
      <c r="I1144" s="16" t="inlineStr">
        <is>
          <t>AWS SigV4 signs canonical request including body bytes; x-amz-content-sha256 reflects SHA256 of body. Server returns expected status.</t>
        </is>
      </c>
      <c r="J1144" s="16" t="inlineStr"/>
      <c r="K1144" s="16" t="inlineStr">
        <is>
          <t>Not Run</t>
        </is>
      </c>
      <c r="L1144" s="16" t="inlineStr">
        <is>
          <t>High</t>
        </is>
      </c>
      <c r="M1144" s="16" t="inlineStr"/>
      <c r="N1144" s="16" t="inlineStr"/>
      <c r="O1144" s="16" t="inlineStr"/>
    </row>
    <row r="1145" ht="72" customHeight="1">
      <c r="A1145" s="16" t="inlineStr">
        <is>
          <t>TC-MM-0102</t>
        </is>
      </c>
      <c r="B1145" s="16" t="inlineStr">
        <is>
          <t>Method x Body Matrix</t>
        </is>
      </c>
      <c r="C1145" s="16" t="inlineStr">
        <is>
          <t>GET + AwsSigV4 + raw-xml</t>
        </is>
      </c>
      <c r="D1145" s="16" t="inlineStr">
        <is>
          <t>Functional</t>
        </is>
      </c>
      <c r="E1145" s="16" t="inlineStr">
        <is>
          <t>GET with AwsSigV4 auth and raw-xml body</t>
        </is>
      </c>
      <c r="F1145" s="16" t="inlineStr">
        <is>
          <t>Editor open.</t>
        </is>
      </c>
      <c r="G1145" s="16" t="inlineStr">
        <is>
          <t>1. New request; method GET; URL to an echo endpoint.
2. Auth type AwsSigV4; configure minimum credentials.
3. Body type raw-xml; provide minimum valid content.
4. Send and inspect outgoing wire request (DevTools/proxy).</t>
        </is>
      </c>
      <c r="H1145" s="16" t="inlineStr">
        <is>
          <t>method=GET auth=AwsSigV4 body=raw-xml</t>
        </is>
      </c>
      <c r="I1145" s="16" t="inlineStr">
        <is>
          <t>AWS SigV4 signs canonical request including body bytes; x-amz-content-sha256 reflects SHA256 of body. Server returns expected status.</t>
        </is>
      </c>
      <c r="J1145" s="16" t="inlineStr"/>
      <c r="K1145" s="16" t="inlineStr">
        <is>
          <t>Not Run</t>
        </is>
      </c>
      <c r="L1145" s="16" t="inlineStr">
        <is>
          <t>High</t>
        </is>
      </c>
      <c r="M1145" s="16" t="inlineStr"/>
      <c r="N1145" s="16" t="inlineStr"/>
      <c r="O1145" s="16" t="inlineStr"/>
    </row>
    <row r="1146" ht="72" customHeight="1">
      <c r="A1146" s="16" t="inlineStr">
        <is>
          <t>TC-MM-0103</t>
        </is>
      </c>
      <c r="B1146" s="16" t="inlineStr">
        <is>
          <t>Method x Body Matrix</t>
        </is>
      </c>
      <c r="C1146" s="16" t="inlineStr">
        <is>
          <t>GET + AwsSigV4 + raw-text</t>
        </is>
      </c>
      <c r="D1146" s="16" t="inlineStr">
        <is>
          <t>Functional</t>
        </is>
      </c>
      <c r="E1146" s="16" t="inlineStr">
        <is>
          <t>GET with AwsSigV4 auth and raw-text body</t>
        </is>
      </c>
      <c r="F1146" s="16" t="inlineStr">
        <is>
          <t>Editor open.</t>
        </is>
      </c>
      <c r="G1146" s="16" t="inlineStr">
        <is>
          <t>1. New request; method GET; URL to an echo endpoint.
2. Auth type AwsSigV4; configure minimum credentials.
3. Body type raw-text; provide minimum valid content.
4. Send and inspect outgoing wire request (DevTools/proxy).</t>
        </is>
      </c>
      <c r="H1146" s="16" t="inlineStr">
        <is>
          <t>method=GET auth=AwsSigV4 body=raw-text</t>
        </is>
      </c>
      <c r="I1146" s="16" t="inlineStr">
        <is>
          <t>AWS SigV4 signs canonical request including body bytes; x-amz-content-sha256 reflects SHA256 of body. Server returns expected status.</t>
        </is>
      </c>
      <c r="J1146" s="16" t="inlineStr"/>
      <c r="K1146" s="16" t="inlineStr">
        <is>
          <t>Not Run</t>
        </is>
      </c>
      <c r="L1146" s="16" t="inlineStr">
        <is>
          <t>High</t>
        </is>
      </c>
      <c r="M1146" s="16" t="inlineStr"/>
      <c r="N1146" s="16" t="inlineStr"/>
      <c r="O1146" s="16" t="inlineStr"/>
    </row>
    <row r="1147" ht="72" customHeight="1">
      <c r="A1147" s="16" t="inlineStr">
        <is>
          <t>TC-MM-0104</t>
        </is>
      </c>
      <c r="B1147" s="16" t="inlineStr">
        <is>
          <t>Method x Body Matrix</t>
        </is>
      </c>
      <c r="C1147" s="16" t="inlineStr">
        <is>
          <t>GET + AwsSigV4 + binary</t>
        </is>
      </c>
      <c r="D1147" s="16" t="inlineStr">
        <is>
          <t>Functional</t>
        </is>
      </c>
      <c r="E1147" s="16" t="inlineStr">
        <is>
          <t>GET with AwsSigV4 auth and binary body</t>
        </is>
      </c>
      <c r="F1147" s="16" t="inlineStr">
        <is>
          <t>Editor open.</t>
        </is>
      </c>
      <c r="G1147" s="16" t="inlineStr">
        <is>
          <t>1. New request; method GET; URL to an echo endpoint.
2. Auth type AwsSigV4; configure minimum credentials.
3. Body type binary; provide minimum valid content.
4. Send and inspect outgoing wire request (DevTools/proxy).</t>
        </is>
      </c>
      <c r="H1147" s="16" t="inlineStr">
        <is>
          <t>method=GET auth=AwsSigV4 body=binary</t>
        </is>
      </c>
      <c r="I1147" s="16" t="inlineStr">
        <is>
          <t>AWS SigV4 signs canonical request including body bytes; x-amz-content-sha256 reflects SHA256 of body. Server returns expected status.</t>
        </is>
      </c>
      <c r="J1147" s="16" t="inlineStr"/>
      <c r="K1147" s="16" t="inlineStr">
        <is>
          <t>Not Run</t>
        </is>
      </c>
      <c r="L1147" s="16" t="inlineStr">
        <is>
          <t>High</t>
        </is>
      </c>
      <c r="M1147" s="16" t="inlineStr"/>
      <c r="N1147" s="16" t="inlineStr"/>
      <c r="O1147" s="16" t="inlineStr"/>
    </row>
    <row r="1148" ht="72" customHeight="1">
      <c r="A1148" s="16" t="inlineStr">
        <is>
          <t>TC-MM-0105</t>
        </is>
      </c>
      <c r="B1148" s="16" t="inlineStr">
        <is>
          <t>Method x Body Matrix</t>
        </is>
      </c>
      <c r="C1148" s="16" t="inlineStr">
        <is>
          <t>GET + JwtHS256 + none</t>
        </is>
      </c>
      <c r="D1148" s="16" t="inlineStr">
        <is>
          <t>Functional</t>
        </is>
      </c>
      <c r="E1148" s="16" t="inlineStr">
        <is>
          <t>GET with JwtHS256 auth and none body</t>
        </is>
      </c>
      <c r="F1148" s="16" t="inlineStr">
        <is>
          <t>Editor open.</t>
        </is>
      </c>
      <c r="G1148" s="16" t="inlineStr">
        <is>
          <t>1. New request; method GET; URL to an echo endpoint.
2. Auth type JwtHS256; configure minimum credentials.
3. Body type none; provide minimum valid content.
4. Send and inspect outgoing wire request (DevTools/proxy).</t>
        </is>
      </c>
      <c r="H1148" s="16" t="inlineStr">
        <is>
          <t>method=GET auth=JwtHS256 body=none</t>
        </is>
      </c>
      <c r="I1148" s="16" t="inlineStr">
        <is>
          <t>JwtHS256 auth applied correctly; none body sent with right Content-Type; server returns expected status.</t>
        </is>
      </c>
      <c r="J1148" s="16" t="inlineStr"/>
      <c r="K1148" s="16" t="inlineStr">
        <is>
          <t>Not Run</t>
        </is>
      </c>
      <c r="L1148" s="16" t="inlineStr">
        <is>
          <t>Medium</t>
        </is>
      </c>
      <c r="M1148" s="16" t="inlineStr"/>
      <c r="N1148" s="16" t="inlineStr"/>
      <c r="O1148" s="16" t="inlineStr"/>
    </row>
    <row r="1149" ht="72" customHeight="1">
      <c r="A1149" s="16" t="inlineStr">
        <is>
          <t>TC-MM-0106</t>
        </is>
      </c>
      <c r="B1149" s="16" t="inlineStr">
        <is>
          <t>Method x Body Matrix</t>
        </is>
      </c>
      <c r="C1149" s="16" t="inlineStr">
        <is>
          <t>GET + JwtHS256 + form-data</t>
        </is>
      </c>
      <c r="D1149" s="16" t="inlineStr">
        <is>
          <t>Edge Case</t>
        </is>
      </c>
      <c r="E1149" s="16" t="inlineStr">
        <is>
          <t>GET with JwtHS256 auth and form-data body</t>
        </is>
      </c>
      <c r="F1149" s="16" t="inlineStr">
        <is>
          <t>Editor open.</t>
        </is>
      </c>
      <c r="G1149" s="16" t="inlineStr">
        <is>
          <t>1. New request; method GET; URL to an echo endpoint.
2. Auth type JwtHS256; configure minimum credentials.
3. Body type form-data; provide minimum valid content.
4. Send and inspect outgoing wire request (DevTools/proxy).</t>
        </is>
      </c>
      <c r="H1149" s="16" t="inlineStr">
        <is>
          <t>method=GET auth=JwtHS256 body=form-data</t>
        </is>
      </c>
      <c r="I1149" s="16" t="inlineStr">
        <is>
          <t>App allows configuring form-data body for GET; verifies wire behavior (sent or stripped) is consistent. Auth header sent regardless.</t>
        </is>
      </c>
      <c r="J1149" s="16" t="inlineStr"/>
      <c r="K1149" s="16" t="inlineStr">
        <is>
          <t>Not Run</t>
        </is>
      </c>
      <c r="L1149" s="16" t="inlineStr">
        <is>
          <t>Low</t>
        </is>
      </c>
      <c r="M1149" s="16" t="inlineStr"/>
      <c r="N1149" s="16" t="inlineStr"/>
      <c r="O1149" s="16" t="inlineStr"/>
    </row>
    <row r="1150" ht="72" customHeight="1">
      <c r="A1150" s="16" t="inlineStr">
        <is>
          <t>TC-MM-0107</t>
        </is>
      </c>
      <c r="B1150" s="16" t="inlineStr">
        <is>
          <t>Method x Body Matrix</t>
        </is>
      </c>
      <c r="C1150" s="16" t="inlineStr">
        <is>
          <t>GET + JwtHS256 + x-www-form-urlencoded</t>
        </is>
      </c>
      <c r="D1150" s="16" t="inlineStr">
        <is>
          <t>Edge Case</t>
        </is>
      </c>
      <c r="E1150" s="16" t="inlineStr">
        <is>
          <t>GET with JwtHS256 auth and x-www-form-urlencoded body</t>
        </is>
      </c>
      <c r="F1150" s="16" t="inlineStr">
        <is>
          <t>Editor open.</t>
        </is>
      </c>
      <c r="G1150" s="16" t="inlineStr">
        <is>
          <t>1. New request; method GET; URL to an echo endpoint.
2. Auth type JwtHS256; configure minimum credentials.
3. Body type x-www-form-urlencoded; provide minimum valid content.
4. Send and inspect outgoing wire request (DevTools/proxy).</t>
        </is>
      </c>
      <c r="H1150" s="16" t="inlineStr">
        <is>
          <t>method=GET auth=JwtHS256 body=x-www-form-urlencoded</t>
        </is>
      </c>
      <c r="I1150" s="16" t="inlineStr">
        <is>
          <t>App allows configuring x-www-form-urlencoded body for GET; verifies wire behavior (sent or stripped) is consistent. Auth header sent regardless.</t>
        </is>
      </c>
      <c r="J1150" s="16" t="inlineStr"/>
      <c r="K1150" s="16" t="inlineStr">
        <is>
          <t>Not Run</t>
        </is>
      </c>
      <c r="L1150" s="16" t="inlineStr">
        <is>
          <t>Low</t>
        </is>
      </c>
      <c r="M1150" s="16" t="inlineStr"/>
      <c r="N1150" s="16" t="inlineStr"/>
      <c r="O1150" s="16" t="inlineStr"/>
    </row>
    <row r="1151" ht="72" customHeight="1">
      <c r="A1151" s="16" t="inlineStr">
        <is>
          <t>TC-MM-0108</t>
        </is>
      </c>
      <c r="B1151" s="16" t="inlineStr">
        <is>
          <t>Method x Body Matrix</t>
        </is>
      </c>
      <c r="C1151" s="16" t="inlineStr">
        <is>
          <t>GET + JwtHS256 + raw-json</t>
        </is>
      </c>
      <c r="D1151" s="16" t="inlineStr">
        <is>
          <t>Edge Case</t>
        </is>
      </c>
      <c r="E1151" s="16" t="inlineStr">
        <is>
          <t>GET with JwtHS256 auth and raw-json body</t>
        </is>
      </c>
      <c r="F1151" s="16" t="inlineStr">
        <is>
          <t>Editor open.</t>
        </is>
      </c>
      <c r="G1151" s="16" t="inlineStr">
        <is>
          <t>1. New request; method GET; URL to an echo endpoint.
2. Auth type JwtHS256; configure minimum credentials.
3. Body type raw-json; provide minimum valid content.
4. Send and inspect outgoing wire request (DevTools/proxy).</t>
        </is>
      </c>
      <c r="H1151" s="16" t="inlineStr">
        <is>
          <t>method=GET auth=JwtHS256 body=raw-json</t>
        </is>
      </c>
      <c r="I1151" s="16" t="inlineStr">
        <is>
          <t>App allows configuring raw-json body for GET; verifies wire behavior (sent or stripped) is consistent. Auth header sent regardless.</t>
        </is>
      </c>
      <c r="J1151" s="16" t="inlineStr"/>
      <c r="K1151" s="16" t="inlineStr">
        <is>
          <t>Not Run</t>
        </is>
      </c>
      <c r="L1151" s="16" t="inlineStr">
        <is>
          <t>Low</t>
        </is>
      </c>
      <c r="M1151" s="16" t="inlineStr"/>
      <c r="N1151" s="16" t="inlineStr"/>
      <c r="O1151" s="16" t="inlineStr"/>
    </row>
    <row r="1152" ht="72" customHeight="1">
      <c r="A1152" s="16" t="inlineStr">
        <is>
          <t>TC-MM-0109</t>
        </is>
      </c>
      <c r="B1152" s="16" t="inlineStr">
        <is>
          <t>Method x Body Matrix</t>
        </is>
      </c>
      <c r="C1152" s="16" t="inlineStr">
        <is>
          <t>GET + JwtHS256 + raw-xml</t>
        </is>
      </c>
      <c r="D1152" s="16" t="inlineStr">
        <is>
          <t>Edge Case</t>
        </is>
      </c>
      <c r="E1152" s="16" t="inlineStr">
        <is>
          <t>GET with JwtHS256 auth and raw-xml body</t>
        </is>
      </c>
      <c r="F1152" s="16" t="inlineStr">
        <is>
          <t>Editor open.</t>
        </is>
      </c>
      <c r="G1152" s="16" t="inlineStr">
        <is>
          <t>1. New request; method GET; URL to an echo endpoint.
2. Auth type JwtHS256; configure minimum credentials.
3. Body type raw-xml; provide minimum valid content.
4. Send and inspect outgoing wire request (DevTools/proxy).</t>
        </is>
      </c>
      <c r="H1152" s="16" t="inlineStr">
        <is>
          <t>method=GET auth=JwtHS256 body=raw-xml</t>
        </is>
      </c>
      <c r="I1152" s="16" t="inlineStr">
        <is>
          <t>App allows configuring raw-xml body for GET; verifies wire behavior (sent or stripped) is consistent. Auth header sent regardless.</t>
        </is>
      </c>
      <c r="J1152" s="16" t="inlineStr"/>
      <c r="K1152" s="16" t="inlineStr">
        <is>
          <t>Not Run</t>
        </is>
      </c>
      <c r="L1152" s="16" t="inlineStr">
        <is>
          <t>Low</t>
        </is>
      </c>
      <c r="M1152" s="16" t="inlineStr"/>
      <c r="N1152" s="16" t="inlineStr"/>
      <c r="O1152" s="16" t="inlineStr"/>
    </row>
    <row r="1153" ht="72" customHeight="1">
      <c r="A1153" s="16" t="inlineStr">
        <is>
          <t>TC-MM-0110</t>
        </is>
      </c>
      <c r="B1153" s="16" t="inlineStr">
        <is>
          <t>Method x Body Matrix</t>
        </is>
      </c>
      <c r="C1153" s="16" t="inlineStr">
        <is>
          <t>GET + JwtHS256 + raw-text</t>
        </is>
      </c>
      <c r="D1153" s="16" t="inlineStr">
        <is>
          <t>Edge Case</t>
        </is>
      </c>
      <c r="E1153" s="16" t="inlineStr">
        <is>
          <t>GET with JwtHS256 auth and raw-text body</t>
        </is>
      </c>
      <c r="F1153" s="16" t="inlineStr">
        <is>
          <t>Editor open.</t>
        </is>
      </c>
      <c r="G1153" s="16" t="inlineStr">
        <is>
          <t>1. New request; method GET; URL to an echo endpoint.
2. Auth type JwtHS256; configure minimum credentials.
3. Body type raw-text; provide minimum valid content.
4. Send and inspect outgoing wire request (DevTools/proxy).</t>
        </is>
      </c>
      <c r="H1153" s="16" t="inlineStr">
        <is>
          <t>method=GET auth=JwtHS256 body=raw-text</t>
        </is>
      </c>
      <c r="I1153" s="16" t="inlineStr">
        <is>
          <t>App allows configuring raw-text body for GET; verifies wire behavior (sent or stripped) is consistent. Auth header sent regardless.</t>
        </is>
      </c>
      <c r="J1153" s="16" t="inlineStr"/>
      <c r="K1153" s="16" t="inlineStr">
        <is>
          <t>Not Run</t>
        </is>
      </c>
      <c r="L1153" s="16" t="inlineStr">
        <is>
          <t>Low</t>
        </is>
      </c>
      <c r="M1153" s="16" t="inlineStr"/>
      <c r="N1153" s="16" t="inlineStr"/>
      <c r="O1153" s="16" t="inlineStr"/>
    </row>
    <row r="1154" ht="72" customHeight="1">
      <c r="A1154" s="16" t="inlineStr">
        <is>
          <t>TC-MM-0111</t>
        </is>
      </c>
      <c r="B1154" s="16" t="inlineStr">
        <is>
          <t>Method x Body Matrix</t>
        </is>
      </c>
      <c r="C1154" s="16" t="inlineStr">
        <is>
          <t>GET + JwtHS256 + binary</t>
        </is>
      </c>
      <c r="D1154" s="16" t="inlineStr">
        <is>
          <t>Edge Case</t>
        </is>
      </c>
      <c r="E1154" s="16" t="inlineStr">
        <is>
          <t>GET with JwtHS256 auth and binary body</t>
        </is>
      </c>
      <c r="F1154" s="16" t="inlineStr">
        <is>
          <t>Editor open.</t>
        </is>
      </c>
      <c r="G1154" s="16" t="inlineStr">
        <is>
          <t>1. New request; method GET; URL to an echo endpoint.
2. Auth type JwtHS256; configure minimum credentials.
3. Body type binary; provide minimum valid content.
4. Send and inspect outgoing wire request (DevTools/proxy).</t>
        </is>
      </c>
      <c r="H1154" s="16" t="inlineStr">
        <is>
          <t>method=GET auth=JwtHS256 body=binary</t>
        </is>
      </c>
      <c r="I1154" s="16" t="inlineStr">
        <is>
          <t>App allows configuring binary body for GET; verifies wire behavior (sent or stripped) is consistent. Auth header sent regardless.</t>
        </is>
      </c>
      <c r="J1154" s="16" t="inlineStr"/>
      <c r="K1154" s="16" t="inlineStr">
        <is>
          <t>Not Run</t>
        </is>
      </c>
      <c r="L1154" s="16" t="inlineStr">
        <is>
          <t>Low</t>
        </is>
      </c>
      <c r="M1154" s="16" t="inlineStr"/>
      <c r="N1154" s="16" t="inlineStr"/>
      <c r="O1154" s="16" t="inlineStr"/>
    </row>
    <row r="1155" ht="72" customHeight="1">
      <c r="A1155" s="16" t="inlineStr">
        <is>
          <t>TC-MM-0112</t>
        </is>
      </c>
      <c r="B1155" s="16" t="inlineStr">
        <is>
          <t>Method x Body Matrix</t>
        </is>
      </c>
      <c r="C1155" s="16" t="inlineStr">
        <is>
          <t>GET + OAuth2ClientCreds + none</t>
        </is>
      </c>
      <c r="D1155" s="16" t="inlineStr">
        <is>
          <t>Functional</t>
        </is>
      </c>
      <c r="E1155" s="16" t="inlineStr">
        <is>
          <t>GET with OAuth2ClientCreds auth and none body</t>
        </is>
      </c>
      <c r="F1155" s="16" t="inlineStr">
        <is>
          <t>Editor open.</t>
        </is>
      </c>
      <c r="G1155" s="16" t="inlineStr">
        <is>
          <t>1. New request; method GET; URL to an echo endpoint.
2. Auth type OAuth2ClientCreds; configure minimum credentials.
3. Body type none; provide minimum valid content.
4. Send and inspect outgoing wire request (DevTools/proxy).</t>
        </is>
      </c>
      <c r="H1155" s="16" t="inlineStr">
        <is>
          <t>method=GET auth=OAuth2ClientCreds body=none</t>
        </is>
      </c>
      <c r="I1155" s="16" t="inlineStr">
        <is>
          <t>Access token acquired (or refreshed); attached as Bearer; GET sent with none body; server returns expected status.</t>
        </is>
      </c>
      <c r="J1155" s="16" t="inlineStr"/>
      <c r="K1155" s="16" t="inlineStr">
        <is>
          <t>Not Run</t>
        </is>
      </c>
      <c r="L1155" s="16" t="inlineStr">
        <is>
          <t>Medium</t>
        </is>
      </c>
      <c r="M1155" s="16" t="inlineStr"/>
      <c r="N1155" s="16" t="inlineStr"/>
      <c r="O1155" s="16" t="inlineStr"/>
    </row>
    <row r="1156" ht="72" customHeight="1">
      <c r="A1156" s="16" t="inlineStr">
        <is>
          <t>TC-MM-0113</t>
        </is>
      </c>
      <c r="B1156" s="16" t="inlineStr">
        <is>
          <t>Method x Body Matrix</t>
        </is>
      </c>
      <c r="C1156" s="16" t="inlineStr">
        <is>
          <t>GET + OAuth2ClientCreds + form-data</t>
        </is>
      </c>
      <c r="D1156" s="16" t="inlineStr">
        <is>
          <t>Functional</t>
        </is>
      </c>
      <c r="E1156" s="16" t="inlineStr">
        <is>
          <t>GET with OAuth2ClientCreds auth and form-data body</t>
        </is>
      </c>
      <c r="F1156" s="16" t="inlineStr">
        <is>
          <t>Editor open.</t>
        </is>
      </c>
      <c r="G1156" s="16" t="inlineStr">
        <is>
          <t>1. New request; method GET; URL to an echo endpoint.
2. Auth type OAuth2ClientCreds; configure minimum credentials.
3. Body type form-data; provide minimum valid content.
4. Send and inspect outgoing wire request (DevTools/proxy).</t>
        </is>
      </c>
      <c r="H1156" s="16" t="inlineStr">
        <is>
          <t>method=GET auth=OAuth2ClientCreds body=form-data</t>
        </is>
      </c>
      <c r="I1156" s="16" t="inlineStr">
        <is>
          <t>Access token acquired (or refreshed); attached as Bearer; GET sent with form-data body; server returns expected status.</t>
        </is>
      </c>
      <c r="J1156" s="16" t="inlineStr"/>
      <c r="K1156" s="16" t="inlineStr">
        <is>
          <t>Not Run</t>
        </is>
      </c>
      <c r="L1156" s="16" t="inlineStr">
        <is>
          <t>Medium</t>
        </is>
      </c>
      <c r="M1156" s="16" t="inlineStr"/>
      <c r="N1156" s="16" t="inlineStr"/>
      <c r="O1156" s="16" t="inlineStr"/>
    </row>
    <row r="1157" ht="72" customHeight="1">
      <c r="A1157" s="16" t="inlineStr">
        <is>
          <t>TC-MM-0114</t>
        </is>
      </c>
      <c r="B1157" s="16" t="inlineStr">
        <is>
          <t>Method x Body Matrix</t>
        </is>
      </c>
      <c r="C1157" s="16" t="inlineStr">
        <is>
          <t>GET + OAuth2ClientCreds + x-www-form-urlencoded</t>
        </is>
      </c>
      <c r="D1157" s="16" t="inlineStr">
        <is>
          <t>Functional</t>
        </is>
      </c>
      <c r="E1157" s="16" t="inlineStr">
        <is>
          <t>GET with OAuth2ClientCreds auth and x-www-form-urlencoded body</t>
        </is>
      </c>
      <c r="F1157" s="16" t="inlineStr">
        <is>
          <t>Editor open.</t>
        </is>
      </c>
      <c r="G1157" s="16" t="inlineStr">
        <is>
          <t>1. New request; method GET; URL to an echo endpoint.
2. Auth type OAuth2ClientCreds; configure minimum credentials.
3. Body type x-www-form-urlencoded; provide minimum valid content.
4. Send and inspect outgoing wire request (DevTools/proxy).</t>
        </is>
      </c>
      <c r="H1157" s="16" t="inlineStr">
        <is>
          <t>method=GET auth=OAuth2ClientCreds body=x-www-form-urlencoded</t>
        </is>
      </c>
      <c r="I1157" s="16" t="inlineStr">
        <is>
          <t>Access token acquired (or refreshed); attached as Bearer; GET sent with x-www-form-urlencoded body; server returns expected status.</t>
        </is>
      </c>
      <c r="J1157" s="16" t="inlineStr"/>
      <c r="K1157" s="16" t="inlineStr">
        <is>
          <t>Not Run</t>
        </is>
      </c>
      <c r="L1157" s="16" t="inlineStr">
        <is>
          <t>Medium</t>
        </is>
      </c>
      <c r="M1157" s="16" t="inlineStr"/>
      <c r="N1157" s="16" t="inlineStr"/>
      <c r="O1157" s="16" t="inlineStr"/>
    </row>
    <row r="1158" ht="72" customHeight="1">
      <c r="A1158" s="16" t="inlineStr">
        <is>
          <t>TC-MM-0115</t>
        </is>
      </c>
      <c r="B1158" s="16" t="inlineStr">
        <is>
          <t>Method x Body Matrix</t>
        </is>
      </c>
      <c r="C1158" s="16" t="inlineStr">
        <is>
          <t>GET + OAuth2ClientCreds + raw-json</t>
        </is>
      </c>
      <c r="D1158" s="16" t="inlineStr">
        <is>
          <t>Functional</t>
        </is>
      </c>
      <c r="E1158" s="16" t="inlineStr">
        <is>
          <t>GET with OAuth2ClientCreds auth and raw-json body</t>
        </is>
      </c>
      <c r="F1158" s="16" t="inlineStr">
        <is>
          <t>Editor open.</t>
        </is>
      </c>
      <c r="G1158" s="16" t="inlineStr">
        <is>
          <t>1. New request; method GET; URL to an echo endpoint.
2. Auth type OAuth2ClientCreds; configure minimum credentials.
3. Body type raw-json; provide minimum valid content.
4. Send and inspect outgoing wire request (DevTools/proxy).</t>
        </is>
      </c>
      <c r="H1158" s="16" t="inlineStr">
        <is>
          <t>method=GET auth=OAuth2ClientCreds body=raw-json</t>
        </is>
      </c>
      <c r="I1158" s="16" t="inlineStr">
        <is>
          <t>Access token acquired (or refreshed); attached as Bearer; GET sent with raw-json body; server returns expected status.</t>
        </is>
      </c>
      <c r="J1158" s="16" t="inlineStr"/>
      <c r="K1158" s="16" t="inlineStr">
        <is>
          <t>Not Run</t>
        </is>
      </c>
      <c r="L1158" s="16" t="inlineStr">
        <is>
          <t>Medium</t>
        </is>
      </c>
      <c r="M1158" s="16" t="inlineStr"/>
      <c r="N1158" s="16" t="inlineStr"/>
      <c r="O1158" s="16" t="inlineStr"/>
    </row>
    <row r="1159" ht="72" customHeight="1">
      <c r="A1159" s="16" t="inlineStr">
        <is>
          <t>TC-MM-0116</t>
        </is>
      </c>
      <c r="B1159" s="16" t="inlineStr">
        <is>
          <t>Method x Body Matrix</t>
        </is>
      </c>
      <c r="C1159" s="16" t="inlineStr">
        <is>
          <t>GET + OAuth2ClientCreds + raw-xml</t>
        </is>
      </c>
      <c r="D1159" s="16" t="inlineStr">
        <is>
          <t>Functional</t>
        </is>
      </c>
      <c r="E1159" s="16" t="inlineStr">
        <is>
          <t>GET with OAuth2ClientCreds auth and raw-xml body</t>
        </is>
      </c>
      <c r="F1159" s="16" t="inlineStr">
        <is>
          <t>Editor open.</t>
        </is>
      </c>
      <c r="G1159" s="16" t="inlineStr">
        <is>
          <t>1. New request; method GET; URL to an echo endpoint.
2. Auth type OAuth2ClientCreds; configure minimum credentials.
3. Body type raw-xml; provide minimum valid content.
4. Send and inspect outgoing wire request (DevTools/proxy).</t>
        </is>
      </c>
      <c r="H1159" s="16" t="inlineStr">
        <is>
          <t>method=GET auth=OAuth2ClientCreds body=raw-xml</t>
        </is>
      </c>
      <c r="I1159" s="16" t="inlineStr">
        <is>
          <t>Access token acquired (or refreshed); attached as Bearer; GET sent with raw-xml body; server returns expected status.</t>
        </is>
      </c>
      <c r="J1159" s="16" t="inlineStr"/>
      <c r="K1159" s="16" t="inlineStr">
        <is>
          <t>Not Run</t>
        </is>
      </c>
      <c r="L1159" s="16" t="inlineStr">
        <is>
          <t>Medium</t>
        </is>
      </c>
      <c r="M1159" s="16" t="inlineStr"/>
      <c r="N1159" s="16" t="inlineStr"/>
      <c r="O1159" s="16" t="inlineStr"/>
    </row>
    <row r="1160" ht="72" customHeight="1">
      <c r="A1160" s="16" t="inlineStr">
        <is>
          <t>TC-MM-0117</t>
        </is>
      </c>
      <c r="B1160" s="16" t="inlineStr">
        <is>
          <t>Method x Body Matrix</t>
        </is>
      </c>
      <c r="C1160" s="16" t="inlineStr">
        <is>
          <t>GET + OAuth2ClientCreds + raw-text</t>
        </is>
      </c>
      <c r="D1160" s="16" t="inlineStr">
        <is>
          <t>Functional</t>
        </is>
      </c>
      <c r="E1160" s="16" t="inlineStr">
        <is>
          <t>GET with OAuth2ClientCreds auth and raw-text body</t>
        </is>
      </c>
      <c r="F1160" s="16" t="inlineStr">
        <is>
          <t>Editor open.</t>
        </is>
      </c>
      <c r="G1160" s="16" t="inlineStr">
        <is>
          <t>1. New request; method GET; URL to an echo endpoint.
2. Auth type OAuth2ClientCreds; configure minimum credentials.
3. Body type raw-text; provide minimum valid content.
4. Send and inspect outgoing wire request (DevTools/proxy).</t>
        </is>
      </c>
      <c r="H1160" s="16" t="inlineStr">
        <is>
          <t>method=GET auth=OAuth2ClientCreds body=raw-text</t>
        </is>
      </c>
      <c r="I1160" s="16" t="inlineStr">
        <is>
          <t>Access token acquired (or refreshed); attached as Bearer; GET sent with raw-text body; server returns expected status.</t>
        </is>
      </c>
      <c r="J1160" s="16" t="inlineStr"/>
      <c r="K1160" s="16" t="inlineStr">
        <is>
          <t>Not Run</t>
        </is>
      </c>
      <c r="L1160" s="16" t="inlineStr">
        <is>
          <t>Medium</t>
        </is>
      </c>
      <c r="M1160" s="16" t="inlineStr"/>
      <c r="N1160" s="16" t="inlineStr"/>
      <c r="O1160" s="16" t="inlineStr"/>
    </row>
    <row r="1161" ht="72" customHeight="1">
      <c r="A1161" s="16" t="inlineStr">
        <is>
          <t>TC-MM-0118</t>
        </is>
      </c>
      <c r="B1161" s="16" t="inlineStr">
        <is>
          <t>Method x Body Matrix</t>
        </is>
      </c>
      <c r="C1161" s="16" t="inlineStr">
        <is>
          <t>GET + OAuth2ClientCreds + binary</t>
        </is>
      </c>
      <c r="D1161" s="16" t="inlineStr">
        <is>
          <t>Functional</t>
        </is>
      </c>
      <c r="E1161" s="16" t="inlineStr">
        <is>
          <t>GET with OAuth2ClientCreds auth and binary body</t>
        </is>
      </c>
      <c r="F1161" s="16" t="inlineStr">
        <is>
          <t>Editor open.</t>
        </is>
      </c>
      <c r="G1161" s="16" t="inlineStr">
        <is>
          <t>1. New request; method GET; URL to an echo endpoint.
2. Auth type OAuth2ClientCreds; configure minimum credentials.
3. Body type binary; provide minimum valid content.
4. Send and inspect outgoing wire request (DevTools/proxy).</t>
        </is>
      </c>
      <c r="H1161" s="16" t="inlineStr">
        <is>
          <t>method=GET auth=OAuth2ClientCreds body=binary</t>
        </is>
      </c>
      <c r="I1161" s="16" t="inlineStr">
        <is>
          <t>Access token acquired (or refreshed); attached as Bearer; GET sent with binary body; server returns expected status.</t>
        </is>
      </c>
      <c r="J1161" s="16" t="inlineStr"/>
      <c r="K1161" s="16" t="inlineStr">
        <is>
          <t>Not Run</t>
        </is>
      </c>
      <c r="L1161" s="16" t="inlineStr">
        <is>
          <t>Medium</t>
        </is>
      </c>
      <c r="M1161" s="16" t="inlineStr"/>
      <c r="N1161" s="16" t="inlineStr"/>
      <c r="O1161" s="16" t="inlineStr"/>
    </row>
    <row r="1162" ht="72" customHeight="1">
      <c r="A1162" s="16" t="inlineStr">
        <is>
          <t>TC-MM-0119</t>
        </is>
      </c>
      <c r="B1162" s="16" t="inlineStr">
        <is>
          <t>Method x Body Matrix</t>
        </is>
      </c>
      <c r="C1162" s="16" t="inlineStr">
        <is>
          <t>GET + OAuth2PKCE + none</t>
        </is>
      </c>
      <c r="D1162" s="16" t="inlineStr">
        <is>
          <t>Functional</t>
        </is>
      </c>
      <c r="E1162" s="16" t="inlineStr">
        <is>
          <t>GET with OAuth2PKCE auth and none body</t>
        </is>
      </c>
      <c r="F1162" s="16" t="inlineStr">
        <is>
          <t>Editor open.</t>
        </is>
      </c>
      <c r="G1162" s="16" t="inlineStr">
        <is>
          <t>1. New request; method GET; URL to an echo endpoint.
2. Auth type OAuth2PKCE; configure minimum credentials.
3. Body type none; provide minimum valid content.
4. Send and inspect outgoing wire request (DevTools/proxy).</t>
        </is>
      </c>
      <c r="H1162" s="16" t="inlineStr">
        <is>
          <t>method=GET auth=OAuth2PKCE body=none</t>
        </is>
      </c>
      <c r="I1162" s="16" t="inlineStr">
        <is>
          <t>Access token acquired (or refreshed); attached as Bearer; GET sent with none body; server returns expected status.</t>
        </is>
      </c>
      <c r="J1162" s="16" t="inlineStr"/>
      <c r="K1162" s="16" t="inlineStr">
        <is>
          <t>Not Run</t>
        </is>
      </c>
      <c r="L1162" s="16" t="inlineStr">
        <is>
          <t>Medium</t>
        </is>
      </c>
      <c r="M1162" s="16" t="inlineStr"/>
      <c r="N1162" s="16" t="inlineStr"/>
      <c r="O1162" s="16" t="inlineStr"/>
    </row>
    <row r="1163" ht="72" customHeight="1">
      <c r="A1163" s="16" t="inlineStr">
        <is>
          <t>TC-MM-0120</t>
        </is>
      </c>
      <c r="B1163" s="16" t="inlineStr">
        <is>
          <t>Method x Body Matrix</t>
        </is>
      </c>
      <c r="C1163" s="16" t="inlineStr">
        <is>
          <t>GET + OAuth2PKCE + form-data</t>
        </is>
      </c>
      <c r="D1163" s="16" t="inlineStr">
        <is>
          <t>Functional</t>
        </is>
      </c>
      <c r="E1163" s="16" t="inlineStr">
        <is>
          <t>GET with OAuth2PKCE auth and form-data body</t>
        </is>
      </c>
      <c r="F1163" s="16" t="inlineStr">
        <is>
          <t>Editor open.</t>
        </is>
      </c>
      <c r="G1163" s="16" t="inlineStr">
        <is>
          <t>1. New request; method GET; URL to an echo endpoint.
2. Auth type OAuth2PKCE; configure minimum credentials.
3. Body type form-data; provide minimum valid content.
4. Send and inspect outgoing wire request (DevTools/proxy).</t>
        </is>
      </c>
      <c r="H1163" s="16" t="inlineStr">
        <is>
          <t>method=GET auth=OAuth2PKCE body=form-data</t>
        </is>
      </c>
      <c r="I1163" s="16" t="inlineStr">
        <is>
          <t>Access token acquired (or refreshed); attached as Bearer; GET sent with form-data body; server returns expected status.</t>
        </is>
      </c>
      <c r="J1163" s="16" t="inlineStr"/>
      <c r="K1163" s="16" t="inlineStr">
        <is>
          <t>Not Run</t>
        </is>
      </c>
      <c r="L1163" s="16" t="inlineStr">
        <is>
          <t>Medium</t>
        </is>
      </c>
      <c r="M1163" s="16" t="inlineStr"/>
      <c r="N1163" s="16" t="inlineStr"/>
      <c r="O1163" s="16" t="inlineStr"/>
    </row>
    <row r="1164" ht="72" customHeight="1">
      <c r="A1164" s="16" t="inlineStr">
        <is>
          <t>TC-MM-0121</t>
        </is>
      </c>
      <c r="B1164" s="16" t="inlineStr">
        <is>
          <t>Method x Body Matrix</t>
        </is>
      </c>
      <c r="C1164" s="16" t="inlineStr">
        <is>
          <t>GET + OAuth2PKCE + x-www-form-urlencoded</t>
        </is>
      </c>
      <c r="D1164" s="16" t="inlineStr">
        <is>
          <t>Functional</t>
        </is>
      </c>
      <c r="E1164" s="16" t="inlineStr">
        <is>
          <t>GET with OAuth2PKCE auth and x-www-form-urlencoded body</t>
        </is>
      </c>
      <c r="F1164" s="16" t="inlineStr">
        <is>
          <t>Editor open.</t>
        </is>
      </c>
      <c r="G1164" s="16" t="inlineStr">
        <is>
          <t>1. New request; method GET; URL to an echo endpoint.
2. Auth type OAuth2PKCE; configure minimum credentials.
3. Body type x-www-form-urlencoded; provide minimum valid content.
4. Send and inspect outgoing wire request (DevTools/proxy).</t>
        </is>
      </c>
      <c r="H1164" s="16" t="inlineStr">
        <is>
          <t>method=GET auth=OAuth2PKCE body=x-www-form-urlencoded</t>
        </is>
      </c>
      <c r="I1164" s="16" t="inlineStr">
        <is>
          <t>Access token acquired (or refreshed); attached as Bearer; GET sent with x-www-form-urlencoded body; server returns expected status.</t>
        </is>
      </c>
      <c r="J1164" s="16" t="inlineStr"/>
      <c r="K1164" s="16" t="inlineStr">
        <is>
          <t>Not Run</t>
        </is>
      </c>
      <c r="L1164" s="16" t="inlineStr">
        <is>
          <t>Medium</t>
        </is>
      </c>
      <c r="M1164" s="16" t="inlineStr"/>
      <c r="N1164" s="16" t="inlineStr"/>
      <c r="O1164" s="16" t="inlineStr"/>
    </row>
    <row r="1165" ht="72" customHeight="1">
      <c r="A1165" s="16" t="inlineStr">
        <is>
          <t>TC-MM-0122</t>
        </is>
      </c>
      <c r="B1165" s="16" t="inlineStr">
        <is>
          <t>Method x Body Matrix</t>
        </is>
      </c>
      <c r="C1165" s="16" t="inlineStr">
        <is>
          <t>GET + OAuth2PKCE + raw-json</t>
        </is>
      </c>
      <c r="D1165" s="16" t="inlineStr">
        <is>
          <t>Functional</t>
        </is>
      </c>
      <c r="E1165" s="16" t="inlineStr">
        <is>
          <t>GET with OAuth2PKCE auth and raw-json body</t>
        </is>
      </c>
      <c r="F1165" s="16" t="inlineStr">
        <is>
          <t>Editor open.</t>
        </is>
      </c>
      <c r="G1165" s="16" t="inlineStr">
        <is>
          <t>1. New request; method GET; URL to an echo endpoint.
2. Auth type OAuth2PKCE; configure minimum credentials.
3. Body type raw-json; provide minimum valid content.
4. Send and inspect outgoing wire request (DevTools/proxy).</t>
        </is>
      </c>
      <c r="H1165" s="16" t="inlineStr">
        <is>
          <t>method=GET auth=OAuth2PKCE body=raw-json</t>
        </is>
      </c>
      <c r="I1165" s="16" t="inlineStr">
        <is>
          <t>Access token acquired (or refreshed); attached as Bearer; GET sent with raw-json body; server returns expected status.</t>
        </is>
      </c>
      <c r="J1165" s="16" t="inlineStr"/>
      <c r="K1165" s="16" t="inlineStr">
        <is>
          <t>Not Run</t>
        </is>
      </c>
      <c r="L1165" s="16" t="inlineStr">
        <is>
          <t>Medium</t>
        </is>
      </c>
      <c r="M1165" s="16" t="inlineStr"/>
      <c r="N1165" s="16" t="inlineStr"/>
      <c r="O1165" s="16" t="inlineStr"/>
    </row>
    <row r="1166" ht="72" customHeight="1">
      <c r="A1166" s="16" t="inlineStr">
        <is>
          <t>TC-MM-0123</t>
        </is>
      </c>
      <c r="B1166" s="16" t="inlineStr">
        <is>
          <t>Method x Body Matrix</t>
        </is>
      </c>
      <c r="C1166" s="16" t="inlineStr">
        <is>
          <t>GET + OAuth2PKCE + raw-xml</t>
        </is>
      </c>
      <c r="D1166" s="16" t="inlineStr">
        <is>
          <t>Functional</t>
        </is>
      </c>
      <c r="E1166" s="16" t="inlineStr">
        <is>
          <t>GET with OAuth2PKCE auth and raw-xml body</t>
        </is>
      </c>
      <c r="F1166" s="16" t="inlineStr">
        <is>
          <t>Editor open.</t>
        </is>
      </c>
      <c r="G1166" s="16" t="inlineStr">
        <is>
          <t>1. New request; method GET; URL to an echo endpoint.
2. Auth type OAuth2PKCE; configure minimum credentials.
3. Body type raw-xml; provide minimum valid content.
4. Send and inspect outgoing wire request (DevTools/proxy).</t>
        </is>
      </c>
      <c r="H1166" s="16" t="inlineStr">
        <is>
          <t>method=GET auth=OAuth2PKCE body=raw-xml</t>
        </is>
      </c>
      <c r="I1166" s="16" t="inlineStr">
        <is>
          <t>Access token acquired (or refreshed); attached as Bearer; GET sent with raw-xml body; server returns expected status.</t>
        </is>
      </c>
      <c r="J1166" s="16" t="inlineStr"/>
      <c r="K1166" s="16" t="inlineStr">
        <is>
          <t>Not Run</t>
        </is>
      </c>
      <c r="L1166" s="16" t="inlineStr">
        <is>
          <t>Medium</t>
        </is>
      </c>
      <c r="M1166" s="16" t="inlineStr"/>
      <c r="N1166" s="16" t="inlineStr"/>
      <c r="O1166" s="16" t="inlineStr"/>
    </row>
    <row r="1167" ht="72" customHeight="1">
      <c r="A1167" s="16" t="inlineStr">
        <is>
          <t>TC-MM-0124</t>
        </is>
      </c>
      <c r="B1167" s="16" t="inlineStr">
        <is>
          <t>Method x Body Matrix</t>
        </is>
      </c>
      <c r="C1167" s="16" t="inlineStr">
        <is>
          <t>GET + OAuth2PKCE + raw-text</t>
        </is>
      </c>
      <c r="D1167" s="16" t="inlineStr">
        <is>
          <t>Functional</t>
        </is>
      </c>
      <c r="E1167" s="16" t="inlineStr">
        <is>
          <t>GET with OAuth2PKCE auth and raw-text body</t>
        </is>
      </c>
      <c r="F1167" s="16" t="inlineStr">
        <is>
          <t>Editor open.</t>
        </is>
      </c>
      <c r="G1167" s="16" t="inlineStr">
        <is>
          <t>1. New request; method GET; URL to an echo endpoint.
2. Auth type OAuth2PKCE; configure minimum credentials.
3. Body type raw-text; provide minimum valid content.
4. Send and inspect outgoing wire request (DevTools/proxy).</t>
        </is>
      </c>
      <c r="H1167" s="16" t="inlineStr">
        <is>
          <t>method=GET auth=OAuth2PKCE body=raw-text</t>
        </is>
      </c>
      <c r="I1167" s="16" t="inlineStr">
        <is>
          <t>Access token acquired (or refreshed); attached as Bearer; GET sent with raw-text body; server returns expected status.</t>
        </is>
      </c>
      <c r="J1167" s="16" t="inlineStr"/>
      <c r="K1167" s="16" t="inlineStr">
        <is>
          <t>Not Run</t>
        </is>
      </c>
      <c r="L1167" s="16" t="inlineStr">
        <is>
          <t>Medium</t>
        </is>
      </c>
      <c r="M1167" s="16" t="inlineStr"/>
      <c r="N1167" s="16" t="inlineStr"/>
      <c r="O1167" s="16" t="inlineStr"/>
    </row>
    <row r="1168" ht="72" customHeight="1">
      <c r="A1168" s="16" t="inlineStr">
        <is>
          <t>TC-MM-0125</t>
        </is>
      </c>
      <c r="B1168" s="16" t="inlineStr">
        <is>
          <t>Method x Body Matrix</t>
        </is>
      </c>
      <c r="C1168" s="16" t="inlineStr">
        <is>
          <t>GET + OAuth2PKCE + binary</t>
        </is>
      </c>
      <c r="D1168" s="16" t="inlineStr">
        <is>
          <t>Functional</t>
        </is>
      </c>
      <c r="E1168" s="16" t="inlineStr">
        <is>
          <t>GET with OAuth2PKCE auth and binary body</t>
        </is>
      </c>
      <c r="F1168" s="16" t="inlineStr">
        <is>
          <t>Editor open.</t>
        </is>
      </c>
      <c r="G1168" s="16" t="inlineStr">
        <is>
          <t>1. New request; method GET; URL to an echo endpoint.
2. Auth type OAuth2PKCE; configure minimum credentials.
3. Body type binary; provide minimum valid content.
4. Send and inspect outgoing wire request (DevTools/proxy).</t>
        </is>
      </c>
      <c r="H1168" s="16" t="inlineStr">
        <is>
          <t>method=GET auth=OAuth2PKCE body=binary</t>
        </is>
      </c>
      <c r="I1168" s="16" t="inlineStr">
        <is>
          <t>Access token acquired (or refreshed); attached as Bearer; GET sent with binary body; server returns expected status.</t>
        </is>
      </c>
      <c r="J1168" s="16" t="inlineStr"/>
      <c r="K1168" s="16" t="inlineStr">
        <is>
          <t>Not Run</t>
        </is>
      </c>
      <c r="L1168" s="16" t="inlineStr">
        <is>
          <t>Medium</t>
        </is>
      </c>
      <c r="M1168" s="16" t="inlineStr"/>
      <c r="N1168" s="16" t="inlineStr"/>
      <c r="O1168" s="16" t="inlineStr"/>
    </row>
    <row r="1169" ht="72" customHeight="1">
      <c r="A1169" s="16" t="inlineStr">
        <is>
          <t>TC-MM-0126</t>
        </is>
      </c>
      <c r="B1169" s="16" t="inlineStr">
        <is>
          <t>Method x Body Matrix</t>
        </is>
      </c>
      <c r="C1169" s="16" t="inlineStr">
        <is>
          <t>GET + Digest + none</t>
        </is>
      </c>
      <c r="D1169" s="16" t="inlineStr">
        <is>
          <t>Functional</t>
        </is>
      </c>
      <c r="E1169" s="16" t="inlineStr">
        <is>
          <t>GET with Digest auth and none body</t>
        </is>
      </c>
      <c r="F1169" s="16" t="inlineStr">
        <is>
          <t>Editor open.</t>
        </is>
      </c>
      <c r="G1169" s="16" t="inlineStr">
        <is>
          <t>1. New request; method GET; URL to an echo endpoint.
2. Auth type Digest; configure minimum credentials.
3. Body type none; provide minimum valid content.
4. Send and inspect outgoing wire request (DevTools/proxy).</t>
        </is>
      </c>
      <c r="H1169" s="16" t="inlineStr">
        <is>
          <t>method=GET auth=Digest body=none</t>
        </is>
      </c>
      <c r="I1169" s="16" t="inlineStr">
        <is>
          <t>Digest auth applied correctly; none body sent with right Content-Type; server returns expected status.</t>
        </is>
      </c>
      <c r="J1169" s="16" t="inlineStr"/>
      <c r="K1169" s="16" t="inlineStr">
        <is>
          <t>Not Run</t>
        </is>
      </c>
      <c r="L1169" s="16" t="inlineStr">
        <is>
          <t>Medium</t>
        </is>
      </c>
      <c r="M1169" s="16" t="inlineStr"/>
      <c r="N1169" s="16" t="inlineStr"/>
      <c r="O1169" s="16" t="inlineStr"/>
    </row>
    <row r="1170" ht="72" customHeight="1">
      <c r="A1170" s="16" t="inlineStr">
        <is>
          <t>TC-MM-0127</t>
        </is>
      </c>
      <c r="B1170" s="16" t="inlineStr">
        <is>
          <t>Method x Body Matrix</t>
        </is>
      </c>
      <c r="C1170" s="16" t="inlineStr">
        <is>
          <t>GET + Digest + form-data</t>
        </is>
      </c>
      <c r="D1170" s="16" t="inlineStr">
        <is>
          <t>Edge Case</t>
        </is>
      </c>
      <c r="E1170" s="16" t="inlineStr">
        <is>
          <t>GET with Digest auth and form-data body</t>
        </is>
      </c>
      <c r="F1170" s="16" t="inlineStr">
        <is>
          <t>Editor open.</t>
        </is>
      </c>
      <c r="G1170" s="16" t="inlineStr">
        <is>
          <t>1. New request; method GET; URL to an echo endpoint.
2. Auth type Digest; configure minimum credentials.
3. Body type form-data; provide minimum valid content.
4. Send and inspect outgoing wire request (DevTools/proxy).</t>
        </is>
      </c>
      <c r="H1170" s="16" t="inlineStr">
        <is>
          <t>method=GET auth=Digest body=form-data</t>
        </is>
      </c>
      <c r="I1170" s="16" t="inlineStr">
        <is>
          <t>App allows configuring form-data body for GET; verifies wire behavior (sent or stripped) is consistent. Auth header sent regardless.</t>
        </is>
      </c>
      <c r="J1170" s="16" t="inlineStr"/>
      <c r="K1170" s="16" t="inlineStr">
        <is>
          <t>Not Run</t>
        </is>
      </c>
      <c r="L1170" s="16" t="inlineStr">
        <is>
          <t>Low</t>
        </is>
      </c>
      <c r="M1170" s="16" t="inlineStr"/>
      <c r="N1170" s="16" t="inlineStr"/>
      <c r="O1170" s="16" t="inlineStr"/>
    </row>
    <row r="1171" ht="72" customHeight="1">
      <c r="A1171" s="16" t="inlineStr">
        <is>
          <t>TC-MM-0128</t>
        </is>
      </c>
      <c r="B1171" s="16" t="inlineStr">
        <is>
          <t>Method x Body Matrix</t>
        </is>
      </c>
      <c r="C1171" s="16" t="inlineStr">
        <is>
          <t>GET + Digest + x-www-form-urlencoded</t>
        </is>
      </c>
      <c r="D1171" s="16" t="inlineStr">
        <is>
          <t>Edge Case</t>
        </is>
      </c>
      <c r="E1171" s="16" t="inlineStr">
        <is>
          <t>GET with Digest auth and x-www-form-urlencoded body</t>
        </is>
      </c>
      <c r="F1171" s="16" t="inlineStr">
        <is>
          <t>Editor open.</t>
        </is>
      </c>
      <c r="G1171" s="16" t="inlineStr">
        <is>
          <t>1. New request; method GET; URL to an echo endpoint.
2. Auth type Digest; configure minimum credentials.
3. Body type x-www-form-urlencoded; provide minimum valid content.
4. Send and inspect outgoing wire request (DevTools/proxy).</t>
        </is>
      </c>
      <c r="H1171" s="16" t="inlineStr">
        <is>
          <t>method=GET auth=Digest body=x-www-form-urlencoded</t>
        </is>
      </c>
      <c r="I1171" s="16" t="inlineStr">
        <is>
          <t>App allows configuring x-www-form-urlencoded body for GET; verifies wire behavior (sent or stripped) is consistent. Auth header sent regardless.</t>
        </is>
      </c>
      <c r="J1171" s="16" t="inlineStr"/>
      <c r="K1171" s="16" t="inlineStr">
        <is>
          <t>Not Run</t>
        </is>
      </c>
      <c r="L1171" s="16" t="inlineStr">
        <is>
          <t>Low</t>
        </is>
      </c>
      <c r="M1171" s="16" t="inlineStr"/>
      <c r="N1171" s="16" t="inlineStr"/>
      <c r="O1171" s="16" t="inlineStr"/>
    </row>
    <row r="1172" ht="72" customHeight="1">
      <c r="A1172" s="16" t="inlineStr">
        <is>
          <t>TC-MM-0129</t>
        </is>
      </c>
      <c r="B1172" s="16" t="inlineStr">
        <is>
          <t>Method x Body Matrix</t>
        </is>
      </c>
      <c r="C1172" s="16" t="inlineStr">
        <is>
          <t>GET + Digest + raw-json</t>
        </is>
      </c>
      <c r="D1172" s="16" t="inlineStr">
        <is>
          <t>Edge Case</t>
        </is>
      </c>
      <c r="E1172" s="16" t="inlineStr">
        <is>
          <t>GET with Digest auth and raw-json body</t>
        </is>
      </c>
      <c r="F1172" s="16" t="inlineStr">
        <is>
          <t>Editor open.</t>
        </is>
      </c>
      <c r="G1172" s="16" t="inlineStr">
        <is>
          <t>1. New request; method GET; URL to an echo endpoint.
2. Auth type Digest; configure minimum credentials.
3. Body type raw-json; provide minimum valid content.
4. Send and inspect outgoing wire request (DevTools/proxy).</t>
        </is>
      </c>
      <c r="H1172" s="16" t="inlineStr">
        <is>
          <t>method=GET auth=Digest body=raw-json</t>
        </is>
      </c>
      <c r="I1172" s="16" t="inlineStr">
        <is>
          <t>App allows configuring raw-json body for GET; verifies wire behavior (sent or stripped) is consistent. Auth header sent regardless.</t>
        </is>
      </c>
      <c r="J1172" s="16" t="inlineStr"/>
      <c r="K1172" s="16" t="inlineStr">
        <is>
          <t>Not Run</t>
        </is>
      </c>
      <c r="L1172" s="16" t="inlineStr">
        <is>
          <t>Low</t>
        </is>
      </c>
      <c r="M1172" s="16" t="inlineStr"/>
      <c r="N1172" s="16" t="inlineStr"/>
      <c r="O1172" s="16" t="inlineStr"/>
    </row>
    <row r="1173" ht="72" customHeight="1">
      <c r="A1173" s="16" t="inlineStr">
        <is>
          <t>TC-MM-0130</t>
        </is>
      </c>
      <c r="B1173" s="16" t="inlineStr">
        <is>
          <t>Method x Body Matrix</t>
        </is>
      </c>
      <c r="C1173" s="16" t="inlineStr">
        <is>
          <t>GET + Digest + raw-xml</t>
        </is>
      </c>
      <c r="D1173" s="16" t="inlineStr">
        <is>
          <t>Edge Case</t>
        </is>
      </c>
      <c r="E1173" s="16" t="inlineStr">
        <is>
          <t>GET with Digest auth and raw-xml body</t>
        </is>
      </c>
      <c r="F1173" s="16" t="inlineStr">
        <is>
          <t>Editor open.</t>
        </is>
      </c>
      <c r="G1173" s="16" t="inlineStr">
        <is>
          <t>1. New request; method GET; URL to an echo endpoint.
2. Auth type Digest; configure minimum credentials.
3. Body type raw-xml; provide minimum valid content.
4. Send and inspect outgoing wire request (DevTools/proxy).</t>
        </is>
      </c>
      <c r="H1173" s="16" t="inlineStr">
        <is>
          <t>method=GET auth=Digest body=raw-xml</t>
        </is>
      </c>
      <c r="I1173" s="16" t="inlineStr">
        <is>
          <t>App allows configuring raw-xml body for GET; verifies wire behavior (sent or stripped) is consistent. Auth header sent regardless.</t>
        </is>
      </c>
      <c r="J1173" s="16" t="inlineStr"/>
      <c r="K1173" s="16" t="inlineStr">
        <is>
          <t>Not Run</t>
        </is>
      </c>
      <c r="L1173" s="16" t="inlineStr">
        <is>
          <t>Low</t>
        </is>
      </c>
      <c r="M1173" s="16" t="inlineStr"/>
      <c r="N1173" s="16" t="inlineStr"/>
      <c r="O1173" s="16" t="inlineStr"/>
    </row>
    <row r="1174" ht="72" customHeight="1">
      <c r="A1174" s="16" t="inlineStr">
        <is>
          <t>TC-MM-0131</t>
        </is>
      </c>
      <c r="B1174" s="16" t="inlineStr">
        <is>
          <t>Method x Body Matrix</t>
        </is>
      </c>
      <c r="C1174" s="16" t="inlineStr">
        <is>
          <t>GET + Digest + raw-text</t>
        </is>
      </c>
      <c r="D1174" s="16" t="inlineStr">
        <is>
          <t>Edge Case</t>
        </is>
      </c>
      <c r="E1174" s="16" t="inlineStr">
        <is>
          <t>GET with Digest auth and raw-text body</t>
        </is>
      </c>
      <c r="F1174" s="16" t="inlineStr">
        <is>
          <t>Editor open.</t>
        </is>
      </c>
      <c r="G1174" s="16" t="inlineStr">
        <is>
          <t>1. New request; method GET; URL to an echo endpoint.
2. Auth type Digest; configure minimum credentials.
3. Body type raw-text; provide minimum valid content.
4. Send and inspect outgoing wire request (DevTools/proxy).</t>
        </is>
      </c>
      <c r="H1174" s="16" t="inlineStr">
        <is>
          <t>method=GET auth=Digest body=raw-text</t>
        </is>
      </c>
      <c r="I1174" s="16" t="inlineStr">
        <is>
          <t>App allows configuring raw-text body for GET; verifies wire behavior (sent or stripped) is consistent. Auth header sent regardless.</t>
        </is>
      </c>
      <c r="J1174" s="16" t="inlineStr"/>
      <c r="K1174" s="16" t="inlineStr">
        <is>
          <t>Not Run</t>
        </is>
      </c>
      <c r="L1174" s="16" t="inlineStr">
        <is>
          <t>Low</t>
        </is>
      </c>
      <c r="M1174" s="16" t="inlineStr"/>
      <c r="N1174" s="16" t="inlineStr"/>
      <c r="O1174" s="16" t="inlineStr"/>
    </row>
    <row r="1175" ht="72" customHeight="1">
      <c r="A1175" s="16" t="inlineStr">
        <is>
          <t>TC-MM-0132</t>
        </is>
      </c>
      <c r="B1175" s="16" t="inlineStr">
        <is>
          <t>Method x Body Matrix</t>
        </is>
      </c>
      <c r="C1175" s="16" t="inlineStr">
        <is>
          <t>GET + Digest + binary</t>
        </is>
      </c>
      <c r="D1175" s="16" t="inlineStr">
        <is>
          <t>Edge Case</t>
        </is>
      </c>
      <c r="E1175" s="16" t="inlineStr">
        <is>
          <t>GET with Digest auth and binary body</t>
        </is>
      </c>
      <c r="F1175" s="16" t="inlineStr">
        <is>
          <t>Editor open.</t>
        </is>
      </c>
      <c r="G1175" s="16" t="inlineStr">
        <is>
          <t>1. New request; method GET; URL to an echo endpoint.
2. Auth type Digest; configure minimum credentials.
3. Body type binary; provide minimum valid content.
4. Send and inspect outgoing wire request (DevTools/proxy).</t>
        </is>
      </c>
      <c r="H1175" s="16" t="inlineStr">
        <is>
          <t>method=GET auth=Digest body=binary</t>
        </is>
      </c>
      <c r="I1175" s="16" t="inlineStr">
        <is>
          <t>App allows configuring binary body for GET; verifies wire behavior (sent or stripped) is consistent. Auth header sent regardless.</t>
        </is>
      </c>
      <c r="J1175" s="16" t="inlineStr"/>
      <c r="K1175" s="16" t="inlineStr">
        <is>
          <t>Not Run</t>
        </is>
      </c>
      <c r="L1175" s="16" t="inlineStr">
        <is>
          <t>Low</t>
        </is>
      </c>
      <c r="M1175" s="16" t="inlineStr"/>
      <c r="N1175" s="16" t="inlineStr"/>
      <c r="O1175" s="16" t="inlineStr"/>
    </row>
    <row r="1176" ht="72" customHeight="1">
      <c r="A1176" s="16" t="inlineStr">
        <is>
          <t>TC-MM-0133</t>
        </is>
      </c>
      <c r="B1176" s="16" t="inlineStr">
        <is>
          <t>Method x Body Matrix</t>
        </is>
      </c>
      <c r="C1176" s="16" t="inlineStr">
        <is>
          <t>GET + NTLM + none</t>
        </is>
      </c>
      <c r="D1176" s="16" t="inlineStr">
        <is>
          <t>Functional</t>
        </is>
      </c>
      <c r="E1176" s="16" t="inlineStr">
        <is>
          <t>GET with NTLM auth and none body</t>
        </is>
      </c>
      <c r="F1176" s="16" t="inlineStr">
        <is>
          <t>Editor open.</t>
        </is>
      </c>
      <c r="G1176" s="16" t="inlineStr">
        <is>
          <t>1. New request; method GET; URL to an echo endpoint.
2. Auth type NTLM; configure minimum credentials.
3. Body type none; provide minimum valid content.
4. Send and inspect outgoing wire request (DevTools/proxy).</t>
        </is>
      </c>
      <c r="H1176" s="16" t="inlineStr">
        <is>
          <t>method=GET auth=NTLM body=none</t>
        </is>
      </c>
      <c r="I1176" s="16" t="inlineStr">
        <is>
          <t>NTLM auth applied correctly; none body sent with right Content-Type; server returns expected status.</t>
        </is>
      </c>
      <c r="J1176" s="16" t="inlineStr"/>
      <c r="K1176" s="16" t="inlineStr">
        <is>
          <t>Not Run</t>
        </is>
      </c>
      <c r="L1176" s="16" t="inlineStr">
        <is>
          <t>Medium</t>
        </is>
      </c>
      <c r="M1176" s="16" t="inlineStr"/>
      <c r="N1176" s="16" t="inlineStr"/>
      <c r="O1176" s="16" t="inlineStr"/>
    </row>
    <row r="1177" ht="72" customHeight="1">
      <c r="A1177" s="16" t="inlineStr">
        <is>
          <t>TC-MM-0134</t>
        </is>
      </c>
      <c r="B1177" s="16" t="inlineStr">
        <is>
          <t>Method x Body Matrix</t>
        </is>
      </c>
      <c r="C1177" s="16" t="inlineStr">
        <is>
          <t>GET + NTLM + form-data</t>
        </is>
      </c>
      <c r="D1177" s="16" t="inlineStr">
        <is>
          <t>Edge Case</t>
        </is>
      </c>
      <c r="E1177" s="16" t="inlineStr">
        <is>
          <t>GET with NTLM auth and form-data body</t>
        </is>
      </c>
      <c r="F1177" s="16" t="inlineStr">
        <is>
          <t>Editor open.</t>
        </is>
      </c>
      <c r="G1177" s="16" t="inlineStr">
        <is>
          <t>1. New request; method GET; URL to an echo endpoint.
2. Auth type NTLM; configure minimum credentials.
3. Body type form-data; provide minimum valid content.
4. Send and inspect outgoing wire request (DevTools/proxy).</t>
        </is>
      </c>
      <c r="H1177" s="16" t="inlineStr">
        <is>
          <t>method=GET auth=NTLM body=form-data</t>
        </is>
      </c>
      <c r="I1177" s="16" t="inlineStr">
        <is>
          <t>App allows configuring form-data body for GET; verifies wire behavior (sent or stripped) is consistent. Auth header sent regardless.</t>
        </is>
      </c>
      <c r="J1177" s="16" t="inlineStr"/>
      <c r="K1177" s="16" t="inlineStr">
        <is>
          <t>Not Run</t>
        </is>
      </c>
      <c r="L1177" s="16" t="inlineStr">
        <is>
          <t>Low</t>
        </is>
      </c>
      <c r="M1177" s="16" t="inlineStr"/>
      <c r="N1177" s="16" t="inlineStr"/>
      <c r="O1177" s="16" t="inlineStr"/>
    </row>
    <row r="1178" ht="72" customHeight="1">
      <c r="A1178" s="16" t="inlineStr">
        <is>
          <t>TC-MM-0135</t>
        </is>
      </c>
      <c r="B1178" s="16" t="inlineStr">
        <is>
          <t>Method x Body Matrix</t>
        </is>
      </c>
      <c r="C1178" s="16" t="inlineStr">
        <is>
          <t>GET + NTLM + x-www-form-urlencoded</t>
        </is>
      </c>
      <c r="D1178" s="16" t="inlineStr">
        <is>
          <t>Edge Case</t>
        </is>
      </c>
      <c r="E1178" s="16" t="inlineStr">
        <is>
          <t>GET with NTLM auth and x-www-form-urlencoded body</t>
        </is>
      </c>
      <c r="F1178" s="16" t="inlineStr">
        <is>
          <t>Editor open.</t>
        </is>
      </c>
      <c r="G1178" s="16" t="inlineStr">
        <is>
          <t>1. New request; method GET; URL to an echo endpoint.
2. Auth type NTLM; configure minimum credentials.
3. Body type x-www-form-urlencoded; provide minimum valid content.
4. Send and inspect outgoing wire request (DevTools/proxy).</t>
        </is>
      </c>
      <c r="H1178" s="16" t="inlineStr">
        <is>
          <t>method=GET auth=NTLM body=x-www-form-urlencoded</t>
        </is>
      </c>
      <c r="I1178" s="16" t="inlineStr">
        <is>
          <t>App allows configuring x-www-form-urlencoded body for GET; verifies wire behavior (sent or stripped) is consistent. Auth header sent regardless.</t>
        </is>
      </c>
      <c r="J1178" s="16" t="inlineStr"/>
      <c r="K1178" s="16" t="inlineStr">
        <is>
          <t>Not Run</t>
        </is>
      </c>
      <c r="L1178" s="16" t="inlineStr">
        <is>
          <t>Low</t>
        </is>
      </c>
      <c r="M1178" s="16" t="inlineStr"/>
      <c r="N1178" s="16" t="inlineStr"/>
      <c r="O1178" s="16" t="inlineStr"/>
    </row>
    <row r="1179" ht="72" customHeight="1">
      <c r="A1179" s="16" t="inlineStr">
        <is>
          <t>TC-MM-0136</t>
        </is>
      </c>
      <c r="B1179" s="16" t="inlineStr">
        <is>
          <t>Method x Body Matrix</t>
        </is>
      </c>
      <c r="C1179" s="16" t="inlineStr">
        <is>
          <t>GET + NTLM + raw-json</t>
        </is>
      </c>
      <c r="D1179" s="16" t="inlineStr">
        <is>
          <t>Edge Case</t>
        </is>
      </c>
      <c r="E1179" s="16" t="inlineStr">
        <is>
          <t>GET with NTLM auth and raw-json body</t>
        </is>
      </c>
      <c r="F1179" s="16" t="inlineStr">
        <is>
          <t>Editor open.</t>
        </is>
      </c>
      <c r="G1179" s="16" t="inlineStr">
        <is>
          <t>1. New request; method GET; URL to an echo endpoint.
2. Auth type NTLM; configure minimum credentials.
3. Body type raw-json; provide minimum valid content.
4. Send and inspect outgoing wire request (DevTools/proxy).</t>
        </is>
      </c>
      <c r="H1179" s="16" t="inlineStr">
        <is>
          <t>method=GET auth=NTLM body=raw-json</t>
        </is>
      </c>
      <c r="I1179" s="16" t="inlineStr">
        <is>
          <t>App allows configuring raw-json body for GET; verifies wire behavior (sent or stripped) is consistent. Auth header sent regardless.</t>
        </is>
      </c>
      <c r="J1179" s="16" t="inlineStr"/>
      <c r="K1179" s="16" t="inlineStr">
        <is>
          <t>Not Run</t>
        </is>
      </c>
      <c r="L1179" s="16" t="inlineStr">
        <is>
          <t>Low</t>
        </is>
      </c>
      <c r="M1179" s="16" t="inlineStr"/>
      <c r="N1179" s="16" t="inlineStr"/>
      <c r="O1179" s="16" t="inlineStr"/>
    </row>
    <row r="1180" ht="72" customHeight="1">
      <c r="A1180" s="16" t="inlineStr">
        <is>
          <t>TC-MM-0137</t>
        </is>
      </c>
      <c r="B1180" s="16" t="inlineStr">
        <is>
          <t>Method x Body Matrix</t>
        </is>
      </c>
      <c r="C1180" s="16" t="inlineStr">
        <is>
          <t>GET + NTLM + raw-xml</t>
        </is>
      </c>
      <c r="D1180" s="16" t="inlineStr">
        <is>
          <t>Edge Case</t>
        </is>
      </c>
      <c r="E1180" s="16" t="inlineStr">
        <is>
          <t>GET with NTLM auth and raw-xml body</t>
        </is>
      </c>
      <c r="F1180" s="16" t="inlineStr">
        <is>
          <t>Editor open.</t>
        </is>
      </c>
      <c r="G1180" s="16" t="inlineStr">
        <is>
          <t>1. New request; method GET; URL to an echo endpoint.
2. Auth type NTLM; configure minimum credentials.
3. Body type raw-xml; provide minimum valid content.
4. Send and inspect outgoing wire request (DevTools/proxy).</t>
        </is>
      </c>
      <c r="H1180" s="16" t="inlineStr">
        <is>
          <t>method=GET auth=NTLM body=raw-xml</t>
        </is>
      </c>
      <c r="I1180" s="16" t="inlineStr">
        <is>
          <t>App allows configuring raw-xml body for GET; verifies wire behavior (sent or stripped) is consistent. Auth header sent regardless.</t>
        </is>
      </c>
      <c r="J1180" s="16" t="inlineStr"/>
      <c r="K1180" s="16" t="inlineStr">
        <is>
          <t>Not Run</t>
        </is>
      </c>
      <c r="L1180" s="16" t="inlineStr">
        <is>
          <t>Low</t>
        </is>
      </c>
      <c r="M1180" s="16" t="inlineStr"/>
      <c r="N1180" s="16" t="inlineStr"/>
      <c r="O1180" s="16" t="inlineStr"/>
    </row>
    <row r="1181" ht="72" customHeight="1">
      <c r="A1181" s="16" t="inlineStr">
        <is>
          <t>TC-MM-0138</t>
        </is>
      </c>
      <c r="B1181" s="16" t="inlineStr">
        <is>
          <t>Method x Body Matrix</t>
        </is>
      </c>
      <c r="C1181" s="16" t="inlineStr">
        <is>
          <t>GET + NTLM + raw-text</t>
        </is>
      </c>
      <c r="D1181" s="16" t="inlineStr">
        <is>
          <t>Edge Case</t>
        </is>
      </c>
      <c r="E1181" s="16" t="inlineStr">
        <is>
          <t>GET with NTLM auth and raw-text body</t>
        </is>
      </c>
      <c r="F1181" s="16" t="inlineStr">
        <is>
          <t>Editor open.</t>
        </is>
      </c>
      <c r="G1181" s="16" t="inlineStr">
        <is>
          <t>1. New request; method GET; URL to an echo endpoint.
2. Auth type NTLM; configure minimum credentials.
3. Body type raw-text; provide minimum valid content.
4. Send and inspect outgoing wire request (DevTools/proxy).</t>
        </is>
      </c>
      <c r="H1181" s="16" t="inlineStr">
        <is>
          <t>method=GET auth=NTLM body=raw-text</t>
        </is>
      </c>
      <c r="I1181" s="16" t="inlineStr">
        <is>
          <t>App allows configuring raw-text body for GET; verifies wire behavior (sent or stripped) is consistent. Auth header sent regardless.</t>
        </is>
      </c>
      <c r="J1181" s="16" t="inlineStr"/>
      <c r="K1181" s="16" t="inlineStr">
        <is>
          <t>Not Run</t>
        </is>
      </c>
      <c r="L1181" s="16" t="inlineStr">
        <is>
          <t>Low</t>
        </is>
      </c>
      <c r="M1181" s="16" t="inlineStr"/>
      <c r="N1181" s="16" t="inlineStr"/>
      <c r="O1181" s="16" t="inlineStr"/>
    </row>
    <row r="1182" ht="72" customHeight="1">
      <c r="A1182" s="16" t="inlineStr">
        <is>
          <t>TC-MM-0139</t>
        </is>
      </c>
      <c r="B1182" s="16" t="inlineStr">
        <is>
          <t>Method x Body Matrix</t>
        </is>
      </c>
      <c r="C1182" s="16" t="inlineStr">
        <is>
          <t>GET + NTLM + binary</t>
        </is>
      </c>
      <c r="D1182" s="16" t="inlineStr">
        <is>
          <t>Edge Case</t>
        </is>
      </c>
      <c r="E1182" s="16" t="inlineStr">
        <is>
          <t>GET with NTLM auth and binary body</t>
        </is>
      </c>
      <c r="F1182" s="16" t="inlineStr">
        <is>
          <t>Editor open.</t>
        </is>
      </c>
      <c r="G1182" s="16" t="inlineStr">
        <is>
          <t>1. New request; method GET; URL to an echo endpoint.
2. Auth type NTLM; configure minimum credentials.
3. Body type binary; provide minimum valid content.
4. Send and inspect outgoing wire request (DevTools/proxy).</t>
        </is>
      </c>
      <c r="H1182" s="16" t="inlineStr">
        <is>
          <t>method=GET auth=NTLM body=binary</t>
        </is>
      </c>
      <c r="I1182" s="16" t="inlineStr">
        <is>
          <t>App allows configuring binary body for GET; verifies wire behavior (sent or stripped) is consistent. Auth header sent regardless.</t>
        </is>
      </c>
      <c r="J1182" s="16" t="inlineStr"/>
      <c r="K1182" s="16" t="inlineStr">
        <is>
          <t>Not Run</t>
        </is>
      </c>
      <c r="L1182" s="16" t="inlineStr">
        <is>
          <t>Low</t>
        </is>
      </c>
      <c r="M1182" s="16" t="inlineStr"/>
      <c r="N1182" s="16" t="inlineStr"/>
      <c r="O1182" s="16" t="inlineStr"/>
    </row>
    <row r="1183" ht="72" customHeight="1">
      <c r="A1183" s="16" t="inlineStr">
        <is>
          <t>TC-MM-0140</t>
        </is>
      </c>
      <c r="B1183" s="16" t="inlineStr">
        <is>
          <t>Method x Body Matrix</t>
        </is>
      </c>
      <c r="C1183" s="16" t="inlineStr">
        <is>
          <t>POST + None + none</t>
        </is>
      </c>
      <c r="D1183" s="16" t="inlineStr">
        <is>
          <t>Functional</t>
        </is>
      </c>
      <c r="E1183" s="16" t="inlineStr">
        <is>
          <t>POST with None auth and none body</t>
        </is>
      </c>
      <c r="F1183" s="16" t="inlineStr">
        <is>
          <t>Editor open.</t>
        </is>
      </c>
      <c r="G1183" s="16" t="inlineStr">
        <is>
          <t>1. New request; method POST; URL to an echo endpoint.
2. Auth type None; configure minimum credentials.
3. Body type none; provide minimum valid content.
4. Send and inspect outgoing wire request (DevTools/proxy).</t>
        </is>
      </c>
      <c r="H1183" s="16" t="inlineStr">
        <is>
          <t>method=POST auth=None body=none</t>
        </is>
      </c>
      <c r="I1183" s="16" t="inlineStr">
        <is>
          <t>No Authorization header on POST; none body sent if applicable.</t>
        </is>
      </c>
      <c r="J1183" s="16" t="inlineStr"/>
      <c r="K1183" s="16" t="inlineStr">
        <is>
          <t>Not Run</t>
        </is>
      </c>
      <c r="L1183" s="16" t="inlineStr">
        <is>
          <t>Low</t>
        </is>
      </c>
      <c r="M1183" s="16" t="inlineStr"/>
      <c r="N1183" s="16" t="inlineStr"/>
      <c r="O1183" s="16" t="inlineStr"/>
    </row>
    <row r="1184" ht="72" customHeight="1">
      <c r="A1184" s="16" t="inlineStr">
        <is>
          <t>TC-MM-0141</t>
        </is>
      </c>
      <c r="B1184" s="16" t="inlineStr">
        <is>
          <t>Method x Body Matrix</t>
        </is>
      </c>
      <c r="C1184" s="16" t="inlineStr">
        <is>
          <t>POST + None + form-data</t>
        </is>
      </c>
      <c r="D1184" s="16" t="inlineStr">
        <is>
          <t>Functional</t>
        </is>
      </c>
      <c r="E1184" s="16" t="inlineStr">
        <is>
          <t>POST with None auth and form-data body</t>
        </is>
      </c>
      <c r="F1184" s="16" t="inlineStr">
        <is>
          <t>Editor open.</t>
        </is>
      </c>
      <c r="G1184" s="16" t="inlineStr">
        <is>
          <t>1. New request; method POST; URL to an echo endpoint.
2. Auth type None; configure minimum credentials.
3. Body type form-data; provide minimum valid content.
4. Send and inspect outgoing wire request (DevTools/proxy).</t>
        </is>
      </c>
      <c r="H1184" s="16" t="inlineStr">
        <is>
          <t>method=POST auth=None body=form-data</t>
        </is>
      </c>
      <c r="I1184" s="16" t="inlineStr">
        <is>
          <t>No Authorization header on POST; form-data body sent if applicable.</t>
        </is>
      </c>
      <c r="J1184" s="16" t="inlineStr"/>
      <c r="K1184" s="16" t="inlineStr">
        <is>
          <t>Not Run</t>
        </is>
      </c>
      <c r="L1184" s="16" t="inlineStr">
        <is>
          <t>Low</t>
        </is>
      </c>
      <c r="M1184" s="16" t="inlineStr"/>
      <c r="N1184" s="16" t="inlineStr"/>
      <c r="O1184" s="16" t="inlineStr"/>
    </row>
    <row r="1185" ht="72" customHeight="1">
      <c r="A1185" s="16" t="inlineStr">
        <is>
          <t>TC-MM-0142</t>
        </is>
      </c>
      <c r="B1185" s="16" t="inlineStr">
        <is>
          <t>Method x Body Matrix</t>
        </is>
      </c>
      <c r="C1185" s="16" t="inlineStr">
        <is>
          <t>POST + None + x-www-form-urlencoded</t>
        </is>
      </c>
      <c r="D1185" s="16" t="inlineStr">
        <is>
          <t>Functional</t>
        </is>
      </c>
      <c r="E1185" s="16" t="inlineStr">
        <is>
          <t>POST with None auth and x-www-form-urlencoded body</t>
        </is>
      </c>
      <c r="F1185" s="16" t="inlineStr">
        <is>
          <t>Editor open.</t>
        </is>
      </c>
      <c r="G1185" s="16" t="inlineStr">
        <is>
          <t>1. New request; method POST; URL to an echo endpoint.
2. Auth type None; configure minimum credentials.
3. Body type x-www-form-urlencoded; provide minimum valid content.
4. Send and inspect outgoing wire request (DevTools/proxy).</t>
        </is>
      </c>
      <c r="H1185" s="16" t="inlineStr">
        <is>
          <t>method=POST auth=None body=x-www-form-urlencoded</t>
        </is>
      </c>
      <c r="I1185" s="16" t="inlineStr">
        <is>
          <t>No Authorization header on POST; x-www-form-urlencoded body sent if applicable.</t>
        </is>
      </c>
      <c r="J1185" s="16" t="inlineStr"/>
      <c r="K1185" s="16" t="inlineStr">
        <is>
          <t>Not Run</t>
        </is>
      </c>
      <c r="L1185" s="16" t="inlineStr">
        <is>
          <t>Low</t>
        </is>
      </c>
      <c r="M1185" s="16" t="inlineStr"/>
      <c r="N1185" s="16" t="inlineStr"/>
      <c r="O1185" s="16" t="inlineStr"/>
    </row>
    <row r="1186" ht="72" customHeight="1">
      <c r="A1186" s="16" t="inlineStr">
        <is>
          <t>TC-MM-0143</t>
        </is>
      </c>
      <c r="B1186" s="16" t="inlineStr">
        <is>
          <t>Method x Body Matrix</t>
        </is>
      </c>
      <c r="C1186" s="16" t="inlineStr">
        <is>
          <t>POST + None + raw-json</t>
        </is>
      </c>
      <c r="D1186" s="16" t="inlineStr">
        <is>
          <t>Functional</t>
        </is>
      </c>
      <c r="E1186" s="16" t="inlineStr">
        <is>
          <t>POST with None auth and raw-json body</t>
        </is>
      </c>
      <c r="F1186" s="16" t="inlineStr">
        <is>
          <t>Editor open.</t>
        </is>
      </c>
      <c r="G1186" s="16" t="inlineStr">
        <is>
          <t>1. New request; method POST; URL to an echo endpoint.
2. Auth type None; configure minimum credentials.
3. Body type raw-json; provide minimum valid content.
4. Send and inspect outgoing wire request (DevTools/proxy).</t>
        </is>
      </c>
      <c r="H1186" s="16" t="inlineStr">
        <is>
          <t>method=POST auth=None body=raw-json</t>
        </is>
      </c>
      <c r="I1186" s="16" t="inlineStr">
        <is>
          <t>No Authorization header on POST; raw-json body sent if applicable.</t>
        </is>
      </c>
      <c r="J1186" s="16" t="inlineStr"/>
      <c r="K1186" s="16" t="inlineStr">
        <is>
          <t>Not Run</t>
        </is>
      </c>
      <c r="L1186" s="16" t="inlineStr">
        <is>
          <t>Low</t>
        </is>
      </c>
      <c r="M1186" s="16" t="inlineStr"/>
      <c r="N1186" s="16" t="inlineStr"/>
      <c r="O1186" s="16" t="inlineStr"/>
    </row>
    <row r="1187" ht="72" customHeight="1">
      <c r="A1187" s="16" t="inlineStr">
        <is>
          <t>TC-MM-0144</t>
        </is>
      </c>
      <c r="B1187" s="16" t="inlineStr">
        <is>
          <t>Method x Body Matrix</t>
        </is>
      </c>
      <c r="C1187" s="16" t="inlineStr">
        <is>
          <t>POST + None + raw-xml</t>
        </is>
      </c>
      <c r="D1187" s="16" t="inlineStr">
        <is>
          <t>Functional</t>
        </is>
      </c>
      <c r="E1187" s="16" t="inlineStr">
        <is>
          <t>POST with None auth and raw-xml body</t>
        </is>
      </c>
      <c r="F1187" s="16" t="inlineStr">
        <is>
          <t>Editor open.</t>
        </is>
      </c>
      <c r="G1187" s="16" t="inlineStr">
        <is>
          <t>1. New request; method POST; URL to an echo endpoint.
2. Auth type None; configure minimum credentials.
3. Body type raw-xml; provide minimum valid content.
4. Send and inspect outgoing wire request (DevTools/proxy).</t>
        </is>
      </c>
      <c r="H1187" s="16" t="inlineStr">
        <is>
          <t>method=POST auth=None body=raw-xml</t>
        </is>
      </c>
      <c r="I1187" s="16" t="inlineStr">
        <is>
          <t>No Authorization header on POST; raw-xml body sent if applicable.</t>
        </is>
      </c>
      <c r="J1187" s="16" t="inlineStr"/>
      <c r="K1187" s="16" t="inlineStr">
        <is>
          <t>Not Run</t>
        </is>
      </c>
      <c r="L1187" s="16" t="inlineStr">
        <is>
          <t>Low</t>
        </is>
      </c>
      <c r="M1187" s="16" t="inlineStr"/>
      <c r="N1187" s="16" t="inlineStr"/>
      <c r="O1187" s="16" t="inlineStr"/>
    </row>
    <row r="1188" ht="72" customHeight="1">
      <c r="A1188" s="16" t="inlineStr">
        <is>
          <t>TC-MM-0145</t>
        </is>
      </c>
      <c r="B1188" s="16" t="inlineStr">
        <is>
          <t>Method x Body Matrix</t>
        </is>
      </c>
      <c r="C1188" s="16" t="inlineStr">
        <is>
          <t>POST + None + raw-text</t>
        </is>
      </c>
      <c r="D1188" s="16" t="inlineStr">
        <is>
          <t>Functional</t>
        </is>
      </c>
      <c r="E1188" s="16" t="inlineStr">
        <is>
          <t>POST with None auth and raw-text body</t>
        </is>
      </c>
      <c r="F1188" s="16" t="inlineStr">
        <is>
          <t>Editor open.</t>
        </is>
      </c>
      <c r="G1188" s="16" t="inlineStr">
        <is>
          <t>1. New request; method POST; URL to an echo endpoint.
2. Auth type None; configure minimum credentials.
3. Body type raw-text; provide minimum valid content.
4. Send and inspect outgoing wire request (DevTools/proxy).</t>
        </is>
      </c>
      <c r="H1188" s="16" t="inlineStr">
        <is>
          <t>method=POST auth=None body=raw-text</t>
        </is>
      </c>
      <c r="I1188" s="16" t="inlineStr">
        <is>
          <t>No Authorization header on POST; raw-text body sent if applicable.</t>
        </is>
      </c>
      <c r="J1188" s="16" t="inlineStr"/>
      <c r="K1188" s="16" t="inlineStr">
        <is>
          <t>Not Run</t>
        </is>
      </c>
      <c r="L1188" s="16" t="inlineStr">
        <is>
          <t>Low</t>
        </is>
      </c>
      <c r="M1188" s="16" t="inlineStr"/>
      <c r="N1188" s="16" t="inlineStr"/>
      <c r="O1188" s="16" t="inlineStr"/>
    </row>
    <row r="1189" ht="72" customHeight="1">
      <c r="A1189" s="16" t="inlineStr">
        <is>
          <t>TC-MM-0146</t>
        </is>
      </c>
      <c r="B1189" s="16" t="inlineStr">
        <is>
          <t>Method x Body Matrix</t>
        </is>
      </c>
      <c r="C1189" s="16" t="inlineStr">
        <is>
          <t>POST + None + binary</t>
        </is>
      </c>
      <c r="D1189" s="16" t="inlineStr">
        <is>
          <t>Functional</t>
        </is>
      </c>
      <c r="E1189" s="16" t="inlineStr">
        <is>
          <t>POST with None auth and binary body</t>
        </is>
      </c>
      <c r="F1189" s="16" t="inlineStr">
        <is>
          <t>Editor open.</t>
        </is>
      </c>
      <c r="G1189" s="16" t="inlineStr">
        <is>
          <t>1. New request; method POST; URL to an echo endpoint.
2. Auth type None; configure minimum credentials.
3. Body type binary; provide minimum valid content.
4. Send and inspect outgoing wire request (DevTools/proxy).</t>
        </is>
      </c>
      <c r="H1189" s="16" t="inlineStr">
        <is>
          <t>method=POST auth=None body=binary</t>
        </is>
      </c>
      <c r="I1189" s="16" t="inlineStr">
        <is>
          <t>No Authorization header on POST; binary body sent if applicable.</t>
        </is>
      </c>
      <c r="J1189" s="16" t="inlineStr"/>
      <c r="K1189" s="16" t="inlineStr">
        <is>
          <t>Not Run</t>
        </is>
      </c>
      <c r="L1189" s="16" t="inlineStr">
        <is>
          <t>Low</t>
        </is>
      </c>
      <c r="M1189" s="16" t="inlineStr"/>
      <c r="N1189" s="16" t="inlineStr"/>
      <c r="O1189" s="16" t="inlineStr"/>
    </row>
    <row r="1190" ht="72" customHeight="1">
      <c r="A1190" s="16" t="inlineStr">
        <is>
          <t>TC-MM-0147</t>
        </is>
      </c>
      <c r="B1190" s="16" t="inlineStr">
        <is>
          <t>Method x Body Matrix</t>
        </is>
      </c>
      <c r="C1190" s="16" t="inlineStr">
        <is>
          <t>POST + None + graphql</t>
        </is>
      </c>
      <c r="D1190" s="16" t="inlineStr">
        <is>
          <t>Functional</t>
        </is>
      </c>
      <c r="E1190" s="16" t="inlineStr">
        <is>
          <t>POST with None auth and graphql body</t>
        </is>
      </c>
      <c r="F1190" s="16" t="inlineStr">
        <is>
          <t>Editor open.</t>
        </is>
      </c>
      <c r="G1190" s="16" t="inlineStr">
        <is>
          <t>1. New request; method POST; URL to an echo endpoint.
2. Auth type None; configure minimum credentials.
3. Body type graphql; provide minimum valid content.
4. Send and inspect outgoing wire request (DevTools/proxy).</t>
        </is>
      </c>
      <c r="H1190" s="16" t="inlineStr">
        <is>
          <t>method=POST auth=None body=graphql</t>
        </is>
      </c>
      <c r="I1190" s="16" t="inlineStr">
        <is>
          <t>No Authorization header on POST; graphql body sent if applicable.</t>
        </is>
      </c>
      <c r="J1190" s="16" t="inlineStr"/>
      <c r="K1190" s="16" t="inlineStr">
        <is>
          <t>Not Run</t>
        </is>
      </c>
      <c r="L1190" s="16" t="inlineStr">
        <is>
          <t>Low</t>
        </is>
      </c>
      <c r="M1190" s="16" t="inlineStr"/>
      <c r="N1190" s="16" t="inlineStr"/>
      <c r="O1190" s="16" t="inlineStr"/>
    </row>
    <row r="1191" ht="72" customHeight="1">
      <c r="A1191" s="16" t="inlineStr">
        <is>
          <t>TC-MM-0148</t>
        </is>
      </c>
      <c r="B1191" s="16" t="inlineStr">
        <is>
          <t>Method x Body Matrix</t>
        </is>
      </c>
      <c r="C1191" s="16" t="inlineStr">
        <is>
          <t>POST + Bearer + none</t>
        </is>
      </c>
      <c r="D1191" s="16" t="inlineStr">
        <is>
          <t>Functional</t>
        </is>
      </c>
      <c r="E1191" s="16" t="inlineStr">
        <is>
          <t>POST with Bearer auth and none body</t>
        </is>
      </c>
      <c r="F1191" s="16" t="inlineStr">
        <is>
          <t>Editor open.</t>
        </is>
      </c>
      <c r="G1191" s="16" t="inlineStr">
        <is>
          <t>1. New request; method POST; URL to an echo endpoint.
2. Auth type Bearer; configure minimum credentials.
3. Body type none; provide minimum valid content.
4. Send and inspect outgoing wire request (DevTools/proxy).</t>
        </is>
      </c>
      <c r="H1191" s="16" t="inlineStr">
        <is>
          <t>method=POST auth=Bearer body=none</t>
        </is>
      </c>
      <c r="I1191" s="16" t="inlineStr">
        <is>
          <t>Bearer auth applied correctly; none body sent with right Content-Type; server returns expected status.</t>
        </is>
      </c>
      <c r="J1191" s="16" t="inlineStr"/>
      <c r="K1191" s="16" t="inlineStr">
        <is>
          <t>Not Run</t>
        </is>
      </c>
      <c r="L1191" s="16" t="inlineStr">
        <is>
          <t>Medium</t>
        </is>
      </c>
      <c r="M1191" s="16" t="inlineStr"/>
      <c r="N1191" s="16" t="inlineStr"/>
      <c r="O1191" s="16" t="inlineStr"/>
    </row>
    <row r="1192" ht="72" customHeight="1">
      <c r="A1192" s="16" t="inlineStr">
        <is>
          <t>TC-MM-0149</t>
        </is>
      </c>
      <c r="B1192" s="16" t="inlineStr">
        <is>
          <t>Method x Body Matrix</t>
        </is>
      </c>
      <c r="C1192" s="16" t="inlineStr">
        <is>
          <t>POST + Bearer + form-data</t>
        </is>
      </c>
      <c r="D1192" s="16" t="inlineStr">
        <is>
          <t>Functional</t>
        </is>
      </c>
      <c r="E1192" s="16" t="inlineStr">
        <is>
          <t>POST with Bearer auth and form-data body</t>
        </is>
      </c>
      <c r="F1192" s="16" t="inlineStr">
        <is>
          <t>Editor open.</t>
        </is>
      </c>
      <c r="G1192" s="16" t="inlineStr">
        <is>
          <t>1. New request; method POST; URL to an echo endpoint.
2. Auth type Bearer; configure minimum credentials.
3. Body type form-data; provide minimum valid content.
4. Send and inspect outgoing wire request (DevTools/proxy).</t>
        </is>
      </c>
      <c r="H1192" s="16" t="inlineStr">
        <is>
          <t>method=POST auth=Bearer body=form-data</t>
        </is>
      </c>
      <c r="I1192" s="16" t="inlineStr">
        <is>
          <t>Bearer auth applied correctly; form-data body sent with right Content-Type; server returns expected status.</t>
        </is>
      </c>
      <c r="J1192" s="16" t="inlineStr"/>
      <c r="K1192" s="16" t="inlineStr">
        <is>
          <t>Not Run</t>
        </is>
      </c>
      <c r="L1192" s="16" t="inlineStr">
        <is>
          <t>Medium</t>
        </is>
      </c>
      <c r="M1192" s="16" t="inlineStr"/>
      <c r="N1192" s="16" t="inlineStr"/>
      <c r="O1192" s="16" t="inlineStr"/>
    </row>
    <row r="1193" ht="72" customHeight="1">
      <c r="A1193" s="16" t="inlineStr">
        <is>
          <t>TC-MM-0150</t>
        </is>
      </c>
      <c r="B1193" s="16" t="inlineStr">
        <is>
          <t>Method x Body Matrix</t>
        </is>
      </c>
      <c r="C1193" s="16" t="inlineStr">
        <is>
          <t>POST + Bearer + x-www-form-urlencoded</t>
        </is>
      </c>
      <c r="D1193" s="16" t="inlineStr">
        <is>
          <t>Functional</t>
        </is>
      </c>
      <c r="E1193" s="16" t="inlineStr">
        <is>
          <t>POST with Bearer auth and x-www-form-urlencoded body</t>
        </is>
      </c>
      <c r="F1193" s="16" t="inlineStr">
        <is>
          <t>Editor open.</t>
        </is>
      </c>
      <c r="G1193" s="16" t="inlineStr">
        <is>
          <t>1. New request; method POST; URL to an echo endpoint.
2. Auth type Bearer; configure minimum credentials.
3. Body type x-www-form-urlencoded; provide minimum valid content.
4. Send and inspect outgoing wire request (DevTools/proxy).</t>
        </is>
      </c>
      <c r="H1193" s="16" t="inlineStr">
        <is>
          <t>method=POST auth=Bearer body=x-www-form-urlencoded</t>
        </is>
      </c>
      <c r="I1193" s="16" t="inlineStr">
        <is>
          <t>Bearer auth applied correctly; x-www-form-urlencoded body sent with right Content-Type; server returns expected status.</t>
        </is>
      </c>
      <c r="J1193" s="16" t="inlineStr"/>
      <c r="K1193" s="16" t="inlineStr">
        <is>
          <t>Not Run</t>
        </is>
      </c>
      <c r="L1193" s="16" t="inlineStr">
        <is>
          <t>Medium</t>
        </is>
      </c>
      <c r="M1193" s="16" t="inlineStr"/>
      <c r="N1193" s="16" t="inlineStr"/>
      <c r="O1193" s="16" t="inlineStr"/>
    </row>
    <row r="1194" ht="72" customHeight="1">
      <c r="A1194" s="16" t="inlineStr">
        <is>
          <t>TC-MM-0151</t>
        </is>
      </c>
      <c r="B1194" s="16" t="inlineStr">
        <is>
          <t>Method x Body Matrix</t>
        </is>
      </c>
      <c r="C1194" s="16" t="inlineStr">
        <is>
          <t>POST + Bearer + raw-json</t>
        </is>
      </c>
      <c r="D1194" s="16" t="inlineStr">
        <is>
          <t>Functional</t>
        </is>
      </c>
      <c r="E1194" s="16" t="inlineStr">
        <is>
          <t>POST with Bearer auth and raw-json body</t>
        </is>
      </c>
      <c r="F1194" s="16" t="inlineStr">
        <is>
          <t>Editor open.</t>
        </is>
      </c>
      <c r="G1194" s="16" t="inlineStr">
        <is>
          <t>1. New request; method POST; URL to an echo endpoint.
2. Auth type Bearer; configure minimum credentials.
3. Body type raw-json; provide minimum valid content.
4. Send and inspect outgoing wire request (DevTools/proxy).</t>
        </is>
      </c>
      <c r="H1194" s="16" t="inlineStr">
        <is>
          <t>method=POST auth=Bearer body=raw-json</t>
        </is>
      </c>
      <c r="I1194" s="16" t="inlineStr">
        <is>
          <t>Bearer auth applied correctly; raw-json body sent with right Content-Type; server returns expected status.</t>
        </is>
      </c>
      <c r="J1194" s="16" t="inlineStr"/>
      <c r="K1194" s="16" t="inlineStr">
        <is>
          <t>Not Run</t>
        </is>
      </c>
      <c r="L1194" s="16" t="inlineStr">
        <is>
          <t>Medium</t>
        </is>
      </c>
      <c r="M1194" s="16" t="inlineStr"/>
      <c r="N1194" s="16" t="inlineStr"/>
      <c r="O1194" s="16" t="inlineStr"/>
    </row>
    <row r="1195" ht="72" customHeight="1">
      <c r="A1195" s="16" t="inlineStr">
        <is>
          <t>TC-MM-0152</t>
        </is>
      </c>
      <c r="B1195" s="16" t="inlineStr">
        <is>
          <t>Method x Body Matrix</t>
        </is>
      </c>
      <c r="C1195" s="16" t="inlineStr">
        <is>
          <t>POST + Bearer + raw-xml</t>
        </is>
      </c>
      <c r="D1195" s="16" t="inlineStr">
        <is>
          <t>Functional</t>
        </is>
      </c>
      <c r="E1195" s="16" t="inlineStr">
        <is>
          <t>POST with Bearer auth and raw-xml body</t>
        </is>
      </c>
      <c r="F1195" s="16" t="inlineStr">
        <is>
          <t>Editor open.</t>
        </is>
      </c>
      <c r="G1195" s="16" t="inlineStr">
        <is>
          <t>1. New request; method POST; URL to an echo endpoint.
2. Auth type Bearer; configure minimum credentials.
3. Body type raw-xml; provide minimum valid content.
4. Send and inspect outgoing wire request (DevTools/proxy).</t>
        </is>
      </c>
      <c r="H1195" s="16" t="inlineStr">
        <is>
          <t>method=POST auth=Bearer body=raw-xml</t>
        </is>
      </c>
      <c r="I1195" s="16" t="inlineStr">
        <is>
          <t>Bearer auth applied correctly; raw-xml body sent with right Content-Type; server returns expected status.</t>
        </is>
      </c>
      <c r="J1195" s="16" t="inlineStr"/>
      <c r="K1195" s="16" t="inlineStr">
        <is>
          <t>Not Run</t>
        </is>
      </c>
      <c r="L1195" s="16" t="inlineStr">
        <is>
          <t>Medium</t>
        </is>
      </c>
      <c r="M1195" s="16" t="inlineStr"/>
      <c r="N1195" s="16" t="inlineStr"/>
      <c r="O1195" s="16" t="inlineStr"/>
    </row>
    <row r="1196" ht="72" customHeight="1">
      <c r="A1196" s="16" t="inlineStr">
        <is>
          <t>TC-MM-0153</t>
        </is>
      </c>
      <c r="B1196" s="16" t="inlineStr">
        <is>
          <t>Method x Body Matrix</t>
        </is>
      </c>
      <c r="C1196" s="16" t="inlineStr">
        <is>
          <t>POST + Bearer + raw-text</t>
        </is>
      </c>
      <c r="D1196" s="16" t="inlineStr">
        <is>
          <t>Functional</t>
        </is>
      </c>
      <c r="E1196" s="16" t="inlineStr">
        <is>
          <t>POST with Bearer auth and raw-text body</t>
        </is>
      </c>
      <c r="F1196" s="16" t="inlineStr">
        <is>
          <t>Editor open.</t>
        </is>
      </c>
      <c r="G1196" s="16" t="inlineStr">
        <is>
          <t>1. New request; method POST; URL to an echo endpoint.
2. Auth type Bearer; configure minimum credentials.
3. Body type raw-text; provide minimum valid content.
4. Send and inspect outgoing wire request (DevTools/proxy).</t>
        </is>
      </c>
      <c r="H1196" s="16" t="inlineStr">
        <is>
          <t>method=POST auth=Bearer body=raw-text</t>
        </is>
      </c>
      <c r="I1196" s="16" t="inlineStr">
        <is>
          <t>Bearer auth applied correctly; raw-text body sent with right Content-Type; server returns expected status.</t>
        </is>
      </c>
      <c r="J1196" s="16" t="inlineStr"/>
      <c r="K1196" s="16" t="inlineStr">
        <is>
          <t>Not Run</t>
        </is>
      </c>
      <c r="L1196" s="16" t="inlineStr">
        <is>
          <t>Medium</t>
        </is>
      </c>
      <c r="M1196" s="16" t="inlineStr"/>
      <c r="N1196" s="16" t="inlineStr"/>
      <c r="O1196" s="16" t="inlineStr"/>
    </row>
    <row r="1197" ht="72" customHeight="1">
      <c r="A1197" s="16" t="inlineStr">
        <is>
          <t>TC-MM-0154</t>
        </is>
      </c>
      <c r="B1197" s="16" t="inlineStr">
        <is>
          <t>Method x Body Matrix</t>
        </is>
      </c>
      <c r="C1197" s="16" t="inlineStr">
        <is>
          <t>POST + Bearer + binary</t>
        </is>
      </c>
      <c r="D1197" s="16" t="inlineStr">
        <is>
          <t>Functional</t>
        </is>
      </c>
      <c r="E1197" s="16" t="inlineStr">
        <is>
          <t>POST with Bearer auth and binary body</t>
        </is>
      </c>
      <c r="F1197" s="16" t="inlineStr">
        <is>
          <t>Editor open.</t>
        </is>
      </c>
      <c r="G1197" s="16" t="inlineStr">
        <is>
          <t>1. New request; method POST; URL to an echo endpoint.
2. Auth type Bearer; configure minimum credentials.
3. Body type binary; provide minimum valid content.
4. Send and inspect outgoing wire request (DevTools/proxy).</t>
        </is>
      </c>
      <c r="H1197" s="16" t="inlineStr">
        <is>
          <t>method=POST auth=Bearer body=binary</t>
        </is>
      </c>
      <c r="I1197" s="16" t="inlineStr">
        <is>
          <t>Bearer auth applied correctly; binary body sent with right Content-Type; server returns expected status.</t>
        </is>
      </c>
      <c r="J1197" s="16" t="inlineStr"/>
      <c r="K1197" s="16" t="inlineStr">
        <is>
          <t>Not Run</t>
        </is>
      </c>
      <c r="L1197" s="16" t="inlineStr">
        <is>
          <t>Medium</t>
        </is>
      </c>
      <c r="M1197" s="16" t="inlineStr"/>
      <c r="N1197" s="16" t="inlineStr"/>
      <c r="O1197" s="16" t="inlineStr"/>
    </row>
    <row r="1198" ht="72" customHeight="1">
      <c r="A1198" s="16" t="inlineStr">
        <is>
          <t>TC-MM-0155</t>
        </is>
      </c>
      <c r="B1198" s="16" t="inlineStr">
        <is>
          <t>Method x Body Matrix</t>
        </is>
      </c>
      <c r="C1198" s="16" t="inlineStr">
        <is>
          <t>POST + Bearer + graphql</t>
        </is>
      </c>
      <c r="D1198" s="16" t="inlineStr">
        <is>
          <t>Functional</t>
        </is>
      </c>
      <c r="E1198" s="16" t="inlineStr">
        <is>
          <t>POST with Bearer auth and graphql body</t>
        </is>
      </c>
      <c r="F1198" s="16" t="inlineStr">
        <is>
          <t>Editor open.</t>
        </is>
      </c>
      <c r="G1198" s="16" t="inlineStr">
        <is>
          <t>1. New request; method POST; URL to an echo endpoint.
2. Auth type Bearer; configure minimum credentials.
3. Body type graphql; provide minimum valid content.
4. Send and inspect outgoing wire request (DevTools/proxy).</t>
        </is>
      </c>
      <c r="H1198" s="16" t="inlineStr">
        <is>
          <t>method=POST auth=Bearer body=graphql</t>
        </is>
      </c>
      <c r="I1198" s="16" t="inlineStr">
        <is>
          <t>Bearer auth applied correctly; graphql body sent with right Content-Type; server returns expected status.</t>
        </is>
      </c>
      <c r="J1198" s="16" t="inlineStr"/>
      <c r="K1198" s="16" t="inlineStr">
        <is>
          <t>Not Run</t>
        </is>
      </c>
      <c r="L1198" s="16" t="inlineStr">
        <is>
          <t>Medium</t>
        </is>
      </c>
      <c r="M1198" s="16" t="inlineStr"/>
      <c r="N1198" s="16" t="inlineStr"/>
      <c r="O1198" s="16" t="inlineStr"/>
    </row>
    <row r="1199" ht="72" customHeight="1">
      <c r="A1199" s="16" t="inlineStr">
        <is>
          <t>TC-MM-0156</t>
        </is>
      </c>
      <c r="B1199" s="16" t="inlineStr">
        <is>
          <t>Method x Body Matrix</t>
        </is>
      </c>
      <c r="C1199" s="16" t="inlineStr">
        <is>
          <t>POST + Basic + none</t>
        </is>
      </c>
      <c r="D1199" s="16" t="inlineStr">
        <is>
          <t>Functional</t>
        </is>
      </c>
      <c r="E1199" s="16" t="inlineStr">
        <is>
          <t>POST with Basic auth and none body</t>
        </is>
      </c>
      <c r="F1199" s="16" t="inlineStr">
        <is>
          <t>Editor open.</t>
        </is>
      </c>
      <c r="G1199" s="16" t="inlineStr">
        <is>
          <t>1. New request; method POST; URL to an echo endpoint.
2. Auth type Basic; configure minimum credentials.
3. Body type none; provide minimum valid content.
4. Send and inspect outgoing wire request (DevTools/proxy).</t>
        </is>
      </c>
      <c r="H1199" s="16" t="inlineStr">
        <is>
          <t>method=POST auth=Basic body=none</t>
        </is>
      </c>
      <c r="I1199" s="16" t="inlineStr">
        <is>
          <t>Basic auth applied correctly; none body sent with right Content-Type; server returns expected status.</t>
        </is>
      </c>
      <c r="J1199" s="16" t="inlineStr"/>
      <c r="K1199" s="16" t="inlineStr">
        <is>
          <t>Not Run</t>
        </is>
      </c>
      <c r="L1199" s="16" t="inlineStr">
        <is>
          <t>Medium</t>
        </is>
      </c>
      <c r="M1199" s="16" t="inlineStr"/>
      <c r="N1199" s="16" t="inlineStr"/>
      <c r="O1199" s="16" t="inlineStr"/>
    </row>
    <row r="1200" ht="72" customHeight="1">
      <c r="A1200" s="16" t="inlineStr">
        <is>
          <t>TC-MM-0157</t>
        </is>
      </c>
      <c r="B1200" s="16" t="inlineStr">
        <is>
          <t>Method x Body Matrix</t>
        </is>
      </c>
      <c r="C1200" s="16" t="inlineStr">
        <is>
          <t>POST + Basic + form-data</t>
        </is>
      </c>
      <c r="D1200" s="16" t="inlineStr">
        <is>
          <t>Functional</t>
        </is>
      </c>
      <c r="E1200" s="16" t="inlineStr">
        <is>
          <t>POST with Basic auth and form-data body</t>
        </is>
      </c>
      <c r="F1200" s="16" t="inlineStr">
        <is>
          <t>Editor open.</t>
        </is>
      </c>
      <c r="G1200" s="16" t="inlineStr">
        <is>
          <t>1. New request; method POST; URL to an echo endpoint.
2. Auth type Basic; configure minimum credentials.
3. Body type form-data; provide minimum valid content.
4. Send and inspect outgoing wire request (DevTools/proxy).</t>
        </is>
      </c>
      <c r="H1200" s="16" t="inlineStr">
        <is>
          <t>method=POST auth=Basic body=form-data</t>
        </is>
      </c>
      <c r="I1200" s="16" t="inlineStr">
        <is>
          <t>Basic auth applied correctly; form-data body sent with right Content-Type; server returns expected status.</t>
        </is>
      </c>
      <c r="J1200" s="16" t="inlineStr"/>
      <c r="K1200" s="16" t="inlineStr">
        <is>
          <t>Not Run</t>
        </is>
      </c>
      <c r="L1200" s="16" t="inlineStr">
        <is>
          <t>Medium</t>
        </is>
      </c>
      <c r="M1200" s="16" t="inlineStr"/>
      <c r="N1200" s="16" t="inlineStr"/>
      <c r="O1200" s="16" t="inlineStr"/>
    </row>
    <row r="1201" ht="72" customHeight="1">
      <c r="A1201" s="16" t="inlineStr">
        <is>
          <t>TC-MM-0158</t>
        </is>
      </c>
      <c r="B1201" s="16" t="inlineStr">
        <is>
          <t>Method x Body Matrix</t>
        </is>
      </c>
      <c r="C1201" s="16" t="inlineStr">
        <is>
          <t>POST + Basic + x-www-form-urlencoded</t>
        </is>
      </c>
      <c r="D1201" s="16" t="inlineStr">
        <is>
          <t>Functional</t>
        </is>
      </c>
      <c r="E1201" s="16" t="inlineStr">
        <is>
          <t>POST with Basic auth and x-www-form-urlencoded body</t>
        </is>
      </c>
      <c r="F1201" s="16" t="inlineStr">
        <is>
          <t>Editor open.</t>
        </is>
      </c>
      <c r="G1201" s="16" t="inlineStr">
        <is>
          <t>1. New request; method POST; URL to an echo endpoint.
2. Auth type Basic; configure minimum credentials.
3. Body type x-www-form-urlencoded; provide minimum valid content.
4. Send and inspect outgoing wire request (DevTools/proxy).</t>
        </is>
      </c>
      <c r="H1201" s="16" t="inlineStr">
        <is>
          <t>method=POST auth=Basic body=x-www-form-urlencoded</t>
        </is>
      </c>
      <c r="I1201" s="16" t="inlineStr">
        <is>
          <t>Basic auth applied correctly; x-www-form-urlencoded body sent with right Content-Type; server returns expected status.</t>
        </is>
      </c>
      <c r="J1201" s="16" t="inlineStr"/>
      <c r="K1201" s="16" t="inlineStr">
        <is>
          <t>Not Run</t>
        </is>
      </c>
      <c r="L1201" s="16" t="inlineStr">
        <is>
          <t>Medium</t>
        </is>
      </c>
      <c r="M1201" s="16" t="inlineStr"/>
      <c r="N1201" s="16" t="inlineStr"/>
      <c r="O1201" s="16" t="inlineStr"/>
    </row>
    <row r="1202" ht="72" customHeight="1">
      <c r="A1202" s="16" t="inlineStr">
        <is>
          <t>TC-MM-0159</t>
        </is>
      </c>
      <c r="B1202" s="16" t="inlineStr">
        <is>
          <t>Method x Body Matrix</t>
        </is>
      </c>
      <c r="C1202" s="16" t="inlineStr">
        <is>
          <t>POST + Basic + raw-json</t>
        </is>
      </c>
      <c r="D1202" s="16" t="inlineStr">
        <is>
          <t>Functional</t>
        </is>
      </c>
      <c r="E1202" s="16" t="inlineStr">
        <is>
          <t>POST with Basic auth and raw-json body</t>
        </is>
      </c>
      <c r="F1202" s="16" t="inlineStr">
        <is>
          <t>Editor open.</t>
        </is>
      </c>
      <c r="G1202" s="16" t="inlineStr">
        <is>
          <t>1. New request; method POST; URL to an echo endpoint.
2. Auth type Basic; configure minimum credentials.
3. Body type raw-json; provide minimum valid content.
4. Send and inspect outgoing wire request (DevTools/proxy).</t>
        </is>
      </c>
      <c r="H1202" s="16" t="inlineStr">
        <is>
          <t>method=POST auth=Basic body=raw-json</t>
        </is>
      </c>
      <c r="I1202" s="16" t="inlineStr">
        <is>
          <t>Basic auth applied correctly; raw-json body sent with right Content-Type; server returns expected status.</t>
        </is>
      </c>
      <c r="J1202" s="16" t="inlineStr"/>
      <c r="K1202" s="16" t="inlineStr">
        <is>
          <t>Not Run</t>
        </is>
      </c>
      <c r="L1202" s="16" t="inlineStr">
        <is>
          <t>Medium</t>
        </is>
      </c>
      <c r="M1202" s="16" t="inlineStr"/>
      <c r="N1202" s="16" t="inlineStr"/>
      <c r="O1202" s="16" t="inlineStr"/>
    </row>
    <row r="1203" ht="72" customHeight="1">
      <c r="A1203" s="16" t="inlineStr">
        <is>
          <t>TC-MM-0160</t>
        </is>
      </c>
      <c r="B1203" s="16" t="inlineStr">
        <is>
          <t>Method x Body Matrix</t>
        </is>
      </c>
      <c r="C1203" s="16" t="inlineStr">
        <is>
          <t>POST + Basic + raw-xml</t>
        </is>
      </c>
      <c r="D1203" s="16" t="inlineStr">
        <is>
          <t>Functional</t>
        </is>
      </c>
      <c r="E1203" s="16" t="inlineStr">
        <is>
          <t>POST with Basic auth and raw-xml body</t>
        </is>
      </c>
      <c r="F1203" s="16" t="inlineStr">
        <is>
          <t>Editor open.</t>
        </is>
      </c>
      <c r="G1203" s="16" t="inlineStr">
        <is>
          <t>1. New request; method POST; URL to an echo endpoint.
2. Auth type Basic; configure minimum credentials.
3. Body type raw-xml; provide minimum valid content.
4. Send and inspect outgoing wire request (DevTools/proxy).</t>
        </is>
      </c>
      <c r="H1203" s="16" t="inlineStr">
        <is>
          <t>method=POST auth=Basic body=raw-xml</t>
        </is>
      </c>
      <c r="I1203" s="16" t="inlineStr">
        <is>
          <t>Basic auth applied correctly; raw-xml body sent with right Content-Type; server returns expected status.</t>
        </is>
      </c>
      <c r="J1203" s="16" t="inlineStr"/>
      <c r="K1203" s="16" t="inlineStr">
        <is>
          <t>Not Run</t>
        </is>
      </c>
      <c r="L1203" s="16" t="inlineStr">
        <is>
          <t>Medium</t>
        </is>
      </c>
      <c r="M1203" s="16" t="inlineStr"/>
      <c r="N1203" s="16" t="inlineStr"/>
      <c r="O1203" s="16" t="inlineStr"/>
    </row>
    <row r="1204" ht="72" customHeight="1">
      <c r="A1204" s="16" t="inlineStr">
        <is>
          <t>TC-MM-0161</t>
        </is>
      </c>
      <c r="B1204" s="16" t="inlineStr">
        <is>
          <t>Method x Body Matrix</t>
        </is>
      </c>
      <c r="C1204" s="16" t="inlineStr">
        <is>
          <t>POST + Basic + raw-text</t>
        </is>
      </c>
      <c r="D1204" s="16" t="inlineStr">
        <is>
          <t>Functional</t>
        </is>
      </c>
      <c r="E1204" s="16" t="inlineStr">
        <is>
          <t>POST with Basic auth and raw-text body</t>
        </is>
      </c>
      <c r="F1204" s="16" t="inlineStr">
        <is>
          <t>Editor open.</t>
        </is>
      </c>
      <c r="G1204" s="16" t="inlineStr">
        <is>
          <t>1. New request; method POST; URL to an echo endpoint.
2. Auth type Basic; configure minimum credentials.
3. Body type raw-text; provide minimum valid content.
4. Send and inspect outgoing wire request (DevTools/proxy).</t>
        </is>
      </c>
      <c r="H1204" s="16" t="inlineStr">
        <is>
          <t>method=POST auth=Basic body=raw-text</t>
        </is>
      </c>
      <c r="I1204" s="16" t="inlineStr">
        <is>
          <t>Basic auth applied correctly; raw-text body sent with right Content-Type; server returns expected status.</t>
        </is>
      </c>
      <c r="J1204" s="16" t="inlineStr"/>
      <c r="K1204" s="16" t="inlineStr">
        <is>
          <t>Not Run</t>
        </is>
      </c>
      <c r="L1204" s="16" t="inlineStr">
        <is>
          <t>Medium</t>
        </is>
      </c>
      <c r="M1204" s="16" t="inlineStr"/>
      <c r="N1204" s="16" t="inlineStr"/>
      <c r="O1204" s="16" t="inlineStr"/>
    </row>
    <row r="1205" ht="72" customHeight="1">
      <c r="A1205" s="16" t="inlineStr">
        <is>
          <t>TC-MM-0162</t>
        </is>
      </c>
      <c r="B1205" s="16" t="inlineStr">
        <is>
          <t>Method x Body Matrix</t>
        </is>
      </c>
      <c r="C1205" s="16" t="inlineStr">
        <is>
          <t>POST + Basic + binary</t>
        </is>
      </c>
      <c r="D1205" s="16" t="inlineStr">
        <is>
          <t>Functional</t>
        </is>
      </c>
      <c r="E1205" s="16" t="inlineStr">
        <is>
          <t>POST with Basic auth and binary body</t>
        </is>
      </c>
      <c r="F1205" s="16" t="inlineStr">
        <is>
          <t>Editor open.</t>
        </is>
      </c>
      <c r="G1205" s="16" t="inlineStr">
        <is>
          <t>1. New request; method POST; URL to an echo endpoint.
2. Auth type Basic; configure minimum credentials.
3. Body type binary; provide minimum valid content.
4. Send and inspect outgoing wire request (DevTools/proxy).</t>
        </is>
      </c>
      <c r="H1205" s="16" t="inlineStr">
        <is>
          <t>method=POST auth=Basic body=binary</t>
        </is>
      </c>
      <c r="I1205" s="16" t="inlineStr">
        <is>
          <t>Basic auth applied correctly; binary body sent with right Content-Type; server returns expected status.</t>
        </is>
      </c>
      <c r="J1205" s="16" t="inlineStr"/>
      <c r="K1205" s="16" t="inlineStr">
        <is>
          <t>Not Run</t>
        </is>
      </c>
      <c r="L1205" s="16" t="inlineStr">
        <is>
          <t>Medium</t>
        </is>
      </c>
      <c r="M1205" s="16" t="inlineStr"/>
      <c r="N1205" s="16" t="inlineStr"/>
      <c r="O1205" s="16" t="inlineStr"/>
    </row>
    <row r="1206" ht="72" customHeight="1">
      <c r="A1206" s="16" t="inlineStr">
        <is>
          <t>TC-MM-0163</t>
        </is>
      </c>
      <c r="B1206" s="16" t="inlineStr">
        <is>
          <t>Method x Body Matrix</t>
        </is>
      </c>
      <c r="C1206" s="16" t="inlineStr">
        <is>
          <t>POST + Basic + graphql</t>
        </is>
      </c>
      <c r="D1206" s="16" t="inlineStr">
        <is>
          <t>Functional</t>
        </is>
      </c>
      <c r="E1206" s="16" t="inlineStr">
        <is>
          <t>POST with Basic auth and graphql body</t>
        </is>
      </c>
      <c r="F1206" s="16" t="inlineStr">
        <is>
          <t>Editor open.</t>
        </is>
      </c>
      <c r="G1206" s="16" t="inlineStr">
        <is>
          <t>1. New request; method POST; URL to an echo endpoint.
2. Auth type Basic; configure minimum credentials.
3. Body type graphql; provide minimum valid content.
4. Send and inspect outgoing wire request (DevTools/proxy).</t>
        </is>
      </c>
      <c r="H1206" s="16" t="inlineStr">
        <is>
          <t>method=POST auth=Basic body=graphql</t>
        </is>
      </c>
      <c r="I1206" s="16" t="inlineStr">
        <is>
          <t>Basic auth applied correctly; graphql body sent with right Content-Type; server returns expected status.</t>
        </is>
      </c>
      <c r="J1206" s="16" t="inlineStr"/>
      <c r="K1206" s="16" t="inlineStr">
        <is>
          <t>Not Run</t>
        </is>
      </c>
      <c r="L1206" s="16" t="inlineStr">
        <is>
          <t>Medium</t>
        </is>
      </c>
      <c r="M1206" s="16" t="inlineStr"/>
      <c r="N1206" s="16" t="inlineStr"/>
      <c r="O1206" s="16" t="inlineStr"/>
    </row>
    <row r="1207" ht="72" customHeight="1">
      <c r="A1207" s="16" t="inlineStr">
        <is>
          <t>TC-MM-0164</t>
        </is>
      </c>
      <c r="B1207" s="16" t="inlineStr">
        <is>
          <t>Method x Body Matrix</t>
        </is>
      </c>
      <c r="C1207" s="16" t="inlineStr">
        <is>
          <t>POST + ApiKeyHeader + none</t>
        </is>
      </c>
      <c r="D1207" s="16" t="inlineStr">
        <is>
          <t>Functional</t>
        </is>
      </c>
      <c r="E1207" s="16" t="inlineStr">
        <is>
          <t>POST with ApiKeyHeader auth and none body</t>
        </is>
      </c>
      <c r="F1207" s="16" t="inlineStr">
        <is>
          <t>Editor open.</t>
        </is>
      </c>
      <c r="G1207" s="16" t="inlineStr">
        <is>
          <t>1. New request; method POST; URL to an echo endpoint.
2. Auth type ApiKeyHeader; configure minimum credentials.
3. Body type none; provide minimum valid content.
4. Send and inspect outgoing wire request (DevTools/proxy).</t>
        </is>
      </c>
      <c r="H1207" s="16" t="inlineStr">
        <is>
          <t>method=POST auth=ApiKeyHeader body=none</t>
        </is>
      </c>
      <c r="I1207" s="16" t="inlineStr">
        <is>
          <t>ApiKeyHeader auth applied correctly; none body sent with right Content-Type; server returns expected status.</t>
        </is>
      </c>
      <c r="J1207" s="16" t="inlineStr"/>
      <c r="K1207" s="16" t="inlineStr">
        <is>
          <t>Not Run</t>
        </is>
      </c>
      <c r="L1207" s="16" t="inlineStr">
        <is>
          <t>Medium</t>
        </is>
      </c>
      <c r="M1207" s="16" t="inlineStr"/>
      <c r="N1207" s="16" t="inlineStr"/>
      <c r="O1207" s="16" t="inlineStr"/>
    </row>
    <row r="1208" ht="72" customHeight="1">
      <c r="A1208" s="16" t="inlineStr">
        <is>
          <t>TC-MM-0165</t>
        </is>
      </c>
      <c r="B1208" s="16" t="inlineStr">
        <is>
          <t>Method x Body Matrix</t>
        </is>
      </c>
      <c r="C1208" s="16" t="inlineStr">
        <is>
          <t>POST + ApiKeyHeader + form-data</t>
        </is>
      </c>
      <c r="D1208" s="16" t="inlineStr">
        <is>
          <t>Functional</t>
        </is>
      </c>
      <c r="E1208" s="16" t="inlineStr">
        <is>
          <t>POST with ApiKeyHeader auth and form-data body</t>
        </is>
      </c>
      <c r="F1208" s="16" t="inlineStr">
        <is>
          <t>Editor open.</t>
        </is>
      </c>
      <c r="G1208" s="16" t="inlineStr">
        <is>
          <t>1. New request; method POST; URL to an echo endpoint.
2. Auth type ApiKeyHeader; configure minimum credentials.
3. Body type form-data; provide minimum valid content.
4. Send and inspect outgoing wire request (DevTools/proxy).</t>
        </is>
      </c>
      <c r="H1208" s="16" t="inlineStr">
        <is>
          <t>method=POST auth=ApiKeyHeader body=form-data</t>
        </is>
      </c>
      <c r="I1208" s="16" t="inlineStr">
        <is>
          <t>ApiKeyHeader auth applied correctly; form-data body sent with right Content-Type; server returns expected status.</t>
        </is>
      </c>
      <c r="J1208" s="16" t="inlineStr"/>
      <c r="K1208" s="16" t="inlineStr">
        <is>
          <t>Not Run</t>
        </is>
      </c>
      <c r="L1208" s="16" t="inlineStr">
        <is>
          <t>Medium</t>
        </is>
      </c>
      <c r="M1208" s="16" t="inlineStr"/>
      <c r="N1208" s="16" t="inlineStr"/>
      <c r="O1208" s="16" t="inlineStr"/>
    </row>
    <row r="1209" ht="72" customHeight="1">
      <c r="A1209" s="16" t="inlineStr">
        <is>
          <t>TC-MM-0166</t>
        </is>
      </c>
      <c r="B1209" s="16" t="inlineStr">
        <is>
          <t>Method x Body Matrix</t>
        </is>
      </c>
      <c r="C1209" s="16" t="inlineStr">
        <is>
          <t>POST + ApiKeyHeader + x-www-form-urlencoded</t>
        </is>
      </c>
      <c r="D1209" s="16" t="inlineStr">
        <is>
          <t>Functional</t>
        </is>
      </c>
      <c r="E1209" s="16" t="inlineStr">
        <is>
          <t>POST with ApiKeyHeader auth and x-www-form-urlencoded body</t>
        </is>
      </c>
      <c r="F1209" s="16" t="inlineStr">
        <is>
          <t>Editor open.</t>
        </is>
      </c>
      <c r="G1209" s="16" t="inlineStr">
        <is>
          <t>1. New request; method POST; URL to an echo endpoint.
2. Auth type ApiKeyHeader; configure minimum credentials.
3. Body type x-www-form-urlencoded; provide minimum valid content.
4. Send and inspect outgoing wire request (DevTools/proxy).</t>
        </is>
      </c>
      <c r="H1209" s="16" t="inlineStr">
        <is>
          <t>method=POST auth=ApiKeyHeader body=x-www-form-urlencoded</t>
        </is>
      </c>
      <c r="I1209" s="16" t="inlineStr">
        <is>
          <t>ApiKeyHeader auth applied correctly; x-www-form-urlencoded body sent with right Content-Type; server returns expected status.</t>
        </is>
      </c>
      <c r="J1209" s="16" t="inlineStr"/>
      <c r="K1209" s="16" t="inlineStr">
        <is>
          <t>Not Run</t>
        </is>
      </c>
      <c r="L1209" s="16" t="inlineStr">
        <is>
          <t>Medium</t>
        </is>
      </c>
      <c r="M1209" s="16" t="inlineStr"/>
      <c r="N1209" s="16" t="inlineStr"/>
      <c r="O1209" s="16" t="inlineStr"/>
    </row>
    <row r="1210" ht="72" customHeight="1">
      <c r="A1210" s="16" t="inlineStr">
        <is>
          <t>TC-MM-0167</t>
        </is>
      </c>
      <c r="B1210" s="16" t="inlineStr">
        <is>
          <t>Method x Body Matrix</t>
        </is>
      </c>
      <c r="C1210" s="16" t="inlineStr">
        <is>
          <t>POST + ApiKeyHeader + raw-json</t>
        </is>
      </c>
      <c r="D1210" s="16" t="inlineStr">
        <is>
          <t>Functional</t>
        </is>
      </c>
      <c r="E1210" s="16" t="inlineStr">
        <is>
          <t>POST with ApiKeyHeader auth and raw-json body</t>
        </is>
      </c>
      <c r="F1210" s="16" t="inlineStr">
        <is>
          <t>Editor open.</t>
        </is>
      </c>
      <c r="G1210" s="16" t="inlineStr">
        <is>
          <t>1. New request; method POST; URL to an echo endpoint.
2. Auth type ApiKeyHeader; configure minimum credentials.
3. Body type raw-json; provide minimum valid content.
4. Send and inspect outgoing wire request (DevTools/proxy).</t>
        </is>
      </c>
      <c r="H1210" s="16" t="inlineStr">
        <is>
          <t>method=POST auth=ApiKeyHeader body=raw-json</t>
        </is>
      </c>
      <c r="I1210" s="16" t="inlineStr">
        <is>
          <t>ApiKeyHeader auth applied correctly; raw-json body sent with right Content-Type; server returns expected status.</t>
        </is>
      </c>
      <c r="J1210" s="16" t="inlineStr"/>
      <c r="K1210" s="16" t="inlineStr">
        <is>
          <t>Not Run</t>
        </is>
      </c>
      <c r="L1210" s="16" t="inlineStr">
        <is>
          <t>Medium</t>
        </is>
      </c>
      <c r="M1210" s="16" t="inlineStr"/>
      <c r="N1210" s="16" t="inlineStr"/>
      <c r="O1210" s="16" t="inlineStr"/>
    </row>
    <row r="1211" ht="72" customHeight="1">
      <c r="A1211" s="16" t="inlineStr">
        <is>
          <t>TC-MM-0168</t>
        </is>
      </c>
      <c r="B1211" s="16" t="inlineStr">
        <is>
          <t>Method x Body Matrix</t>
        </is>
      </c>
      <c r="C1211" s="16" t="inlineStr">
        <is>
          <t>POST + ApiKeyHeader + raw-xml</t>
        </is>
      </c>
      <c r="D1211" s="16" t="inlineStr">
        <is>
          <t>Functional</t>
        </is>
      </c>
      <c r="E1211" s="16" t="inlineStr">
        <is>
          <t>POST with ApiKeyHeader auth and raw-xml body</t>
        </is>
      </c>
      <c r="F1211" s="16" t="inlineStr">
        <is>
          <t>Editor open.</t>
        </is>
      </c>
      <c r="G1211" s="16" t="inlineStr">
        <is>
          <t>1. New request; method POST; URL to an echo endpoint.
2. Auth type ApiKeyHeader; configure minimum credentials.
3. Body type raw-xml; provide minimum valid content.
4. Send and inspect outgoing wire request (DevTools/proxy).</t>
        </is>
      </c>
      <c r="H1211" s="16" t="inlineStr">
        <is>
          <t>method=POST auth=ApiKeyHeader body=raw-xml</t>
        </is>
      </c>
      <c r="I1211" s="16" t="inlineStr">
        <is>
          <t>ApiKeyHeader auth applied correctly; raw-xml body sent with right Content-Type; server returns expected status.</t>
        </is>
      </c>
      <c r="J1211" s="16" t="inlineStr"/>
      <c r="K1211" s="16" t="inlineStr">
        <is>
          <t>Not Run</t>
        </is>
      </c>
      <c r="L1211" s="16" t="inlineStr">
        <is>
          <t>Medium</t>
        </is>
      </c>
      <c r="M1211" s="16" t="inlineStr"/>
      <c r="N1211" s="16" t="inlineStr"/>
      <c r="O1211" s="16" t="inlineStr"/>
    </row>
    <row r="1212" ht="72" customHeight="1">
      <c r="A1212" s="16" t="inlineStr">
        <is>
          <t>TC-MM-0169</t>
        </is>
      </c>
      <c r="B1212" s="16" t="inlineStr">
        <is>
          <t>Method x Body Matrix</t>
        </is>
      </c>
      <c r="C1212" s="16" t="inlineStr">
        <is>
          <t>POST + ApiKeyHeader + raw-text</t>
        </is>
      </c>
      <c r="D1212" s="16" t="inlineStr">
        <is>
          <t>Functional</t>
        </is>
      </c>
      <c r="E1212" s="16" t="inlineStr">
        <is>
          <t>POST with ApiKeyHeader auth and raw-text body</t>
        </is>
      </c>
      <c r="F1212" s="16" t="inlineStr">
        <is>
          <t>Editor open.</t>
        </is>
      </c>
      <c r="G1212" s="16" t="inlineStr">
        <is>
          <t>1. New request; method POST; URL to an echo endpoint.
2. Auth type ApiKeyHeader; configure minimum credentials.
3. Body type raw-text; provide minimum valid content.
4. Send and inspect outgoing wire request (DevTools/proxy).</t>
        </is>
      </c>
      <c r="H1212" s="16" t="inlineStr">
        <is>
          <t>method=POST auth=ApiKeyHeader body=raw-text</t>
        </is>
      </c>
      <c r="I1212" s="16" t="inlineStr">
        <is>
          <t>ApiKeyHeader auth applied correctly; raw-text body sent with right Content-Type; server returns expected status.</t>
        </is>
      </c>
      <c r="J1212" s="16" t="inlineStr"/>
      <c r="K1212" s="16" t="inlineStr">
        <is>
          <t>Not Run</t>
        </is>
      </c>
      <c r="L1212" s="16" t="inlineStr">
        <is>
          <t>Medium</t>
        </is>
      </c>
      <c r="M1212" s="16" t="inlineStr"/>
      <c r="N1212" s="16" t="inlineStr"/>
      <c r="O1212" s="16" t="inlineStr"/>
    </row>
    <row r="1213" ht="72" customHeight="1">
      <c r="A1213" s="16" t="inlineStr">
        <is>
          <t>TC-MM-0170</t>
        </is>
      </c>
      <c r="B1213" s="16" t="inlineStr">
        <is>
          <t>Method x Body Matrix</t>
        </is>
      </c>
      <c r="C1213" s="16" t="inlineStr">
        <is>
          <t>POST + ApiKeyHeader + binary</t>
        </is>
      </c>
      <c r="D1213" s="16" t="inlineStr">
        <is>
          <t>Functional</t>
        </is>
      </c>
      <c r="E1213" s="16" t="inlineStr">
        <is>
          <t>POST with ApiKeyHeader auth and binary body</t>
        </is>
      </c>
      <c r="F1213" s="16" t="inlineStr">
        <is>
          <t>Editor open.</t>
        </is>
      </c>
      <c r="G1213" s="16" t="inlineStr">
        <is>
          <t>1. New request; method POST; URL to an echo endpoint.
2. Auth type ApiKeyHeader; configure minimum credentials.
3. Body type binary; provide minimum valid content.
4. Send and inspect outgoing wire request (DevTools/proxy).</t>
        </is>
      </c>
      <c r="H1213" s="16" t="inlineStr">
        <is>
          <t>method=POST auth=ApiKeyHeader body=binary</t>
        </is>
      </c>
      <c r="I1213" s="16" t="inlineStr">
        <is>
          <t>ApiKeyHeader auth applied correctly; binary body sent with right Content-Type; server returns expected status.</t>
        </is>
      </c>
      <c r="J1213" s="16" t="inlineStr"/>
      <c r="K1213" s="16" t="inlineStr">
        <is>
          <t>Not Run</t>
        </is>
      </c>
      <c r="L1213" s="16" t="inlineStr">
        <is>
          <t>Medium</t>
        </is>
      </c>
      <c r="M1213" s="16" t="inlineStr"/>
      <c r="N1213" s="16" t="inlineStr"/>
      <c r="O1213" s="16" t="inlineStr"/>
    </row>
    <row r="1214" ht="72" customHeight="1">
      <c r="A1214" s="16" t="inlineStr">
        <is>
          <t>TC-MM-0171</t>
        </is>
      </c>
      <c r="B1214" s="16" t="inlineStr">
        <is>
          <t>Method x Body Matrix</t>
        </is>
      </c>
      <c r="C1214" s="16" t="inlineStr">
        <is>
          <t>POST + ApiKeyHeader + graphql</t>
        </is>
      </c>
      <c r="D1214" s="16" t="inlineStr">
        <is>
          <t>Functional</t>
        </is>
      </c>
      <c r="E1214" s="16" t="inlineStr">
        <is>
          <t>POST with ApiKeyHeader auth and graphql body</t>
        </is>
      </c>
      <c r="F1214" s="16" t="inlineStr">
        <is>
          <t>Editor open.</t>
        </is>
      </c>
      <c r="G1214" s="16" t="inlineStr">
        <is>
          <t>1. New request; method POST; URL to an echo endpoint.
2. Auth type ApiKeyHeader; configure minimum credentials.
3. Body type graphql; provide minimum valid content.
4. Send and inspect outgoing wire request (DevTools/proxy).</t>
        </is>
      </c>
      <c r="H1214" s="16" t="inlineStr">
        <is>
          <t>method=POST auth=ApiKeyHeader body=graphql</t>
        </is>
      </c>
      <c r="I1214" s="16" t="inlineStr">
        <is>
          <t>ApiKeyHeader auth applied correctly; graphql body sent with right Content-Type; server returns expected status.</t>
        </is>
      </c>
      <c r="J1214" s="16" t="inlineStr"/>
      <c r="K1214" s="16" t="inlineStr">
        <is>
          <t>Not Run</t>
        </is>
      </c>
      <c r="L1214" s="16" t="inlineStr">
        <is>
          <t>Medium</t>
        </is>
      </c>
      <c r="M1214" s="16" t="inlineStr"/>
      <c r="N1214" s="16" t="inlineStr"/>
      <c r="O1214" s="16" t="inlineStr"/>
    </row>
    <row r="1215" ht="72" customHeight="1">
      <c r="A1215" s="16" t="inlineStr">
        <is>
          <t>TC-MM-0172</t>
        </is>
      </c>
      <c r="B1215" s="16" t="inlineStr">
        <is>
          <t>Method x Body Matrix</t>
        </is>
      </c>
      <c r="C1215" s="16" t="inlineStr">
        <is>
          <t>POST + ApiKeyQuery + none</t>
        </is>
      </c>
      <c r="D1215" s="16" t="inlineStr">
        <is>
          <t>Functional</t>
        </is>
      </c>
      <c r="E1215" s="16" t="inlineStr">
        <is>
          <t>POST with ApiKeyQuery auth and none body</t>
        </is>
      </c>
      <c r="F1215" s="16" t="inlineStr">
        <is>
          <t>Editor open.</t>
        </is>
      </c>
      <c r="G1215" s="16" t="inlineStr">
        <is>
          <t>1. New request; method POST; URL to an echo endpoint.
2. Auth type ApiKeyQuery; configure minimum credentials.
3. Body type none; provide minimum valid content.
4. Send and inspect outgoing wire request (DevTools/proxy).</t>
        </is>
      </c>
      <c r="H1215" s="16" t="inlineStr">
        <is>
          <t>method=POST auth=ApiKeyQuery body=none</t>
        </is>
      </c>
      <c r="I1215" s="16" t="inlineStr">
        <is>
          <t>ApiKeyQuery auth applied correctly; none body sent with right Content-Type; server returns expected status.</t>
        </is>
      </c>
      <c r="J1215" s="16" t="inlineStr"/>
      <c r="K1215" s="16" t="inlineStr">
        <is>
          <t>Not Run</t>
        </is>
      </c>
      <c r="L1215" s="16" t="inlineStr">
        <is>
          <t>Medium</t>
        </is>
      </c>
      <c r="M1215" s="16" t="inlineStr"/>
      <c r="N1215" s="16" t="inlineStr"/>
      <c r="O1215" s="16" t="inlineStr"/>
    </row>
    <row r="1216" ht="72" customHeight="1">
      <c r="A1216" s="16" t="inlineStr">
        <is>
          <t>TC-MM-0173</t>
        </is>
      </c>
      <c r="B1216" s="16" t="inlineStr">
        <is>
          <t>Method x Body Matrix</t>
        </is>
      </c>
      <c r="C1216" s="16" t="inlineStr">
        <is>
          <t>POST + ApiKeyQuery + form-data</t>
        </is>
      </c>
      <c r="D1216" s="16" t="inlineStr">
        <is>
          <t>Functional</t>
        </is>
      </c>
      <c r="E1216" s="16" t="inlineStr">
        <is>
          <t>POST with ApiKeyQuery auth and form-data body</t>
        </is>
      </c>
      <c r="F1216" s="16" t="inlineStr">
        <is>
          <t>Editor open.</t>
        </is>
      </c>
      <c r="G1216" s="16" t="inlineStr">
        <is>
          <t>1. New request; method POST; URL to an echo endpoint.
2. Auth type ApiKeyQuery; configure minimum credentials.
3. Body type form-data; provide minimum valid content.
4. Send and inspect outgoing wire request (DevTools/proxy).</t>
        </is>
      </c>
      <c r="H1216" s="16" t="inlineStr">
        <is>
          <t>method=POST auth=ApiKeyQuery body=form-data</t>
        </is>
      </c>
      <c r="I1216" s="16" t="inlineStr">
        <is>
          <t>ApiKeyQuery auth applied correctly; form-data body sent with right Content-Type; server returns expected status.</t>
        </is>
      </c>
      <c r="J1216" s="16" t="inlineStr"/>
      <c r="K1216" s="16" t="inlineStr">
        <is>
          <t>Not Run</t>
        </is>
      </c>
      <c r="L1216" s="16" t="inlineStr">
        <is>
          <t>Medium</t>
        </is>
      </c>
      <c r="M1216" s="16" t="inlineStr"/>
      <c r="N1216" s="16" t="inlineStr"/>
      <c r="O1216" s="16" t="inlineStr"/>
    </row>
    <row r="1217" ht="72" customHeight="1">
      <c r="A1217" s="16" t="inlineStr">
        <is>
          <t>TC-MM-0174</t>
        </is>
      </c>
      <c r="B1217" s="16" t="inlineStr">
        <is>
          <t>Method x Body Matrix</t>
        </is>
      </c>
      <c r="C1217" s="16" t="inlineStr">
        <is>
          <t>POST + ApiKeyQuery + x-www-form-urlencoded</t>
        </is>
      </c>
      <c r="D1217" s="16" t="inlineStr">
        <is>
          <t>Functional</t>
        </is>
      </c>
      <c r="E1217" s="16" t="inlineStr">
        <is>
          <t>POST with ApiKeyQuery auth and x-www-form-urlencoded body</t>
        </is>
      </c>
      <c r="F1217" s="16" t="inlineStr">
        <is>
          <t>Editor open.</t>
        </is>
      </c>
      <c r="G1217" s="16" t="inlineStr">
        <is>
          <t>1. New request; method POST; URL to an echo endpoint.
2. Auth type ApiKeyQuery; configure minimum credentials.
3. Body type x-www-form-urlencoded; provide minimum valid content.
4. Send and inspect outgoing wire request (DevTools/proxy).</t>
        </is>
      </c>
      <c r="H1217" s="16" t="inlineStr">
        <is>
          <t>method=POST auth=ApiKeyQuery body=x-www-form-urlencoded</t>
        </is>
      </c>
      <c r="I1217" s="16" t="inlineStr">
        <is>
          <t>ApiKeyQuery auth applied correctly; x-www-form-urlencoded body sent with right Content-Type; server returns expected status.</t>
        </is>
      </c>
      <c r="J1217" s="16" t="inlineStr"/>
      <c r="K1217" s="16" t="inlineStr">
        <is>
          <t>Not Run</t>
        </is>
      </c>
      <c r="L1217" s="16" t="inlineStr">
        <is>
          <t>Medium</t>
        </is>
      </c>
      <c r="M1217" s="16" t="inlineStr"/>
      <c r="N1217" s="16" t="inlineStr"/>
      <c r="O1217" s="16" t="inlineStr"/>
    </row>
    <row r="1218" ht="72" customHeight="1">
      <c r="A1218" s="16" t="inlineStr">
        <is>
          <t>TC-MM-0175</t>
        </is>
      </c>
      <c r="B1218" s="16" t="inlineStr">
        <is>
          <t>Method x Body Matrix</t>
        </is>
      </c>
      <c r="C1218" s="16" t="inlineStr">
        <is>
          <t>POST + ApiKeyQuery + raw-json</t>
        </is>
      </c>
      <c r="D1218" s="16" t="inlineStr">
        <is>
          <t>Functional</t>
        </is>
      </c>
      <c r="E1218" s="16" t="inlineStr">
        <is>
          <t>POST with ApiKeyQuery auth and raw-json body</t>
        </is>
      </c>
      <c r="F1218" s="16" t="inlineStr">
        <is>
          <t>Editor open.</t>
        </is>
      </c>
      <c r="G1218" s="16" t="inlineStr">
        <is>
          <t>1. New request; method POST; URL to an echo endpoint.
2. Auth type ApiKeyQuery; configure minimum credentials.
3. Body type raw-json; provide minimum valid content.
4. Send and inspect outgoing wire request (DevTools/proxy).</t>
        </is>
      </c>
      <c r="H1218" s="16" t="inlineStr">
        <is>
          <t>method=POST auth=ApiKeyQuery body=raw-json</t>
        </is>
      </c>
      <c r="I1218" s="16" t="inlineStr">
        <is>
          <t>ApiKeyQuery auth applied correctly; raw-json body sent with right Content-Type; server returns expected status.</t>
        </is>
      </c>
      <c r="J1218" s="16" t="inlineStr"/>
      <c r="K1218" s="16" t="inlineStr">
        <is>
          <t>Not Run</t>
        </is>
      </c>
      <c r="L1218" s="16" t="inlineStr">
        <is>
          <t>Medium</t>
        </is>
      </c>
      <c r="M1218" s="16" t="inlineStr"/>
      <c r="N1218" s="16" t="inlineStr"/>
      <c r="O1218" s="16" t="inlineStr"/>
    </row>
    <row r="1219" ht="72" customHeight="1">
      <c r="A1219" s="16" t="inlineStr">
        <is>
          <t>TC-MM-0176</t>
        </is>
      </c>
      <c r="B1219" s="16" t="inlineStr">
        <is>
          <t>Method x Body Matrix</t>
        </is>
      </c>
      <c r="C1219" s="16" t="inlineStr">
        <is>
          <t>POST + ApiKeyQuery + raw-xml</t>
        </is>
      </c>
      <c r="D1219" s="16" t="inlineStr">
        <is>
          <t>Functional</t>
        </is>
      </c>
      <c r="E1219" s="16" t="inlineStr">
        <is>
          <t>POST with ApiKeyQuery auth and raw-xml body</t>
        </is>
      </c>
      <c r="F1219" s="16" t="inlineStr">
        <is>
          <t>Editor open.</t>
        </is>
      </c>
      <c r="G1219" s="16" t="inlineStr">
        <is>
          <t>1. New request; method POST; URL to an echo endpoint.
2. Auth type ApiKeyQuery; configure minimum credentials.
3. Body type raw-xml; provide minimum valid content.
4. Send and inspect outgoing wire request (DevTools/proxy).</t>
        </is>
      </c>
      <c r="H1219" s="16" t="inlineStr">
        <is>
          <t>method=POST auth=ApiKeyQuery body=raw-xml</t>
        </is>
      </c>
      <c r="I1219" s="16" t="inlineStr">
        <is>
          <t>ApiKeyQuery auth applied correctly; raw-xml body sent with right Content-Type; server returns expected status.</t>
        </is>
      </c>
      <c r="J1219" s="16" t="inlineStr"/>
      <c r="K1219" s="16" t="inlineStr">
        <is>
          <t>Not Run</t>
        </is>
      </c>
      <c r="L1219" s="16" t="inlineStr">
        <is>
          <t>Medium</t>
        </is>
      </c>
      <c r="M1219" s="16" t="inlineStr"/>
      <c r="N1219" s="16" t="inlineStr"/>
      <c r="O1219" s="16" t="inlineStr"/>
    </row>
    <row r="1220" ht="72" customHeight="1">
      <c r="A1220" s="16" t="inlineStr">
        <is>
          <t>TC-MM-0177</t>
        </is>
      </c>
      <c r="B1220" s="16" t="inlineStr">
        <is>
          <t>Method x Body Matrix</t>
        </is>
      </c>
      <c r="C1220" s="16" t="inlineStr">
        <is>
          <t>POST + ApiKeyQuery + raw-text</t>
        </is>
      </c>
      <c r="D1220" s="16" t="inlineStr">
        <is>
          <t>Functional</t>
        </is>
      </c>
      <c r="E1220" s="16" t="inlineStr">
        <is>
          <t>POST with ApiKeyQuery auth and raw-text body</t>
        </is>
      </c>
      <c r="F1220" s="16" t="inlineStr">
        <is>
          <t>Editor open.</t>
        </is>
      </c>
      <c r="G1220" s="16" t="inlineStr">
        <is>
          <t>1. New request; method POST; URL to an echo endpoint.
2. Auth type ApiKeyQuery; configure minimum credentials.
3. Body type raw-text; provide minimum valid content.
4. Send and inspect outgoing wire request (DevTools/proxy).</t>
        </is>
      </c>
      <c r="H1220" s="16" t="inlineStr">
        <is>
          <t>method=POST auth=ApiKeyQuery body=raw-text</t>
        </is>
      </c>
      <c r="I1220" s="16" t="inlineStr">
        <is>
          <t>ApiKeyQuery auth applied correctly; raw-text body sent with right Content-Type; server returns expected status.</t>
        </is>
      </c>
      <c r="J1220" s="16" t="inlineStr"/>
      <c r="K1220" s="16" t="inlineStr">
        <is>
          <t>Not Run</t>
        </is>
      </c>
      <c r="L1220" s="16" t="inlineStr">
        <is>
          <t>Medium</t>
        </is>
      </c>
      <c r="M1220" s="16" t="inlineStr"/>
      <c r="N1220" s="16" t="inlineStr"/>
      <c r="O1220" s="16" t="inlineStr"/>
    </row>
    <row r="1221" ht="72" customHeight="1">
      <c r="A1221" s="16" t="inlineStr">
        <is>
          <t>TC-MM-0178</t>
        </is>
      </c>
      <c r="B1221" s="16" t="inlineStr">
        <is>
          <t>Method x Body Matrix</t>
        </is>
      </c>
      <c r="C1221" s="16" t="inlineStr">
        <is>
          <t>POST + ApiKeyQuery + binary</t>
        </is>
      </c>
      <c r="D1221" s="16" t="inlineStr">
        <is>
          <t>Functional</t>
        </is>
      </c>
      <c r="E1221" s="16" t="inlineStr">
        <is>
          <t>POST with ApiKeyQuery auth and binary body</t>
        </is>
      </c>
      <c r="F1221" s="16" t="inlineStr">
        <is>
          <t>Editor open.</t>
        </is>
      </c>
      <c r="G1221" s="16" t="inlineStr">
        <is>
          <t>1. New request; method POST; URL to an echo endpoint.
2. Auth type ApiKeyQuery; configure minimum credentials.
3. Body type binary; provide minimum valid content.
4. Send and inspect outgoing wire request (DevTools/proxy).</t>
        </is>
      </c>
      <c r="H1221" s="16" t="inlineStr">
        <is>
          <t>method=POST auth=ApiKeyQuery body=binary</t>
        </is>
      </c>
      <c r="I1221" s="16" t="inlineStr">
        <is>
          <t>ApiKeyQuery auth applied correctly; binary body sent with right Content-Type; server returns expected status.</t>
        </is>
      </c>
      <c r="J1221" s="16" t="inlineStr"/>
      <c r="K1221" s="16" t="inlineStr">
        <is>
          <t>Not Run</t>
        </is>
      </c>
      <c r="L1221" s="16" t="inlineStr">
        <is>
          <t>Medium</t>
        </is>
      </c>
      <c r="M1221" s="16" t="inlineStr"/>
      <c r="N1221" s="16" t="inlineStr"/>
      <c r="O1221" s="16" t="inlineStr"/>
    </row>
    <row r="1222" ht="72" customHeight="1">
      <c r="A1222" s="16" t="inlineStr">
        <is>
          <t>TC-MM-0179</t>
        </is>
      </c>
      <c r="B1222" s="16" t="inlineStr">
        <is>
          <t>Method x Body Matrix</t>
        </is>
      </c>
      <c r="C1222" s="16" t="inlineStr">
        <is>
          <t>POST + ApiKeyQuery + graphql</t>
        </is>
      </c>
      <c r="D1222" s="16" t="inlineStr">
        <is>
          <t>Functional</t>
        </is>
      </c>
      <c r="E1222" s="16" t="inlineStr">
        <is>
          <t>POST with ApiKeyQuery auth and graphql body</t>
        </is>
      </c>
      <c r="F1222" s="16" t="inlineStr">
        <is>
          <t>Editor open.</t>
        </is>
      </c>
      <c r="G1222" s="16" t="inlineStr">
        <is>
          <t>1. New request; method POST; URL to an echo endpoint.
2. Auth type ApiKeyQuery; configure minimum credentials.
3. Body type graphql; provide minimum valid content.
4. Send and inspect outgoing wire request (DevTools/proxy).</t>
        </is>
      </c>
      <c r="H1222" s="16" t="inlineStr">
        <is>
          <t>method=POST auth=ApiKeyQuery body=graphql</t>
        </is>
      </c>
      <c r="I1222" s="16" t="inlineStr">
        <is>
          <t>ApiKeyQuery auth applied correctly; graphql body sent with right Content-Type; server returns expected status.</t>
        </is>
      </c>
      <c r="J1222" s="16" t="inlineStr"/>
      <c r="K1222" s="16" t="inlineStr">
        <is>
          <t>Not Run</t>
        </is>
      </c>
      <c r="L1222" s="16" t="inlineStr">
        <is>
          <t>Medium</t>
        </is>
      </c>
      <c r="M1222" s="16" t="inlineStr"/>
      <c r="N1222" s="16" t="inlineStr"/>
      <c r="O1222" s="16" t="inlineStr"/>
    </row>
    <row r="1223" ht="72" customHeight="1">
      <c r="A1223" s="16" t="inlineStr">
        <is>
          <t>TC-MM-0180</t>
        </is>
      </c>
      <c r="B1223" s="16" t="inlineStr">
        <is>
          <t>Method x Body Matrix</t>
        </is>
      </c>
      <c r="C1223" s="16" t="inlineStr">
        <is>
          <t>POST + AwsSigV4 + none</t>
        </is>
      </c>
      <c r="D1223" s="16" t="inlineStr">
        <is>
          <t>Functional</t>
        </is>
      </c>
      <c r="E1223" s="16" t="inlineStr">
        <is>
          <t>POST with AwsSigV4 auth and none body</t>
        </is>
      </c>
      <c r="F1223" s="16" t="inlineStr">
        <is>
          <t>Editor open.</t>
        </is>
      </c>
      <c r="G1223" s="16" t="inlineStr">
        <is>
          <t>1. New request; method POST; URL to an echo endpoint.
2. Auth type AwsSigV4; configure minimum credentials.
3. Body type none; provide minimum valid content.
4. Send and inspect outgoing wire request (DevTools/proxy).</t>
        </is>
      </c>
      <c r="H1223" s="16" t="inlineStr">
        <is>
          <t>method=POST auth=AwsSigV4 body=none</t>
        </is>
      </c>
      <c r="I1223" s="16" t="inlineStr">
        <is>
          <t>AwsSigV4 auth applied correctly; none body sent with right Content-Type; server returns expected status.</t>
        </is>
      </c>
      <c r="J1223" s="16" t="inlineStr"/>
      <c r="K1223" s="16" t="inlineStr">
        <is>
          <t>Not Run</t>
        </is>
      </c>
      <c r="L1223" s="16" t="inlineStr">
        <is>
          <t>Medium</t>
        </is>
      </c>
      <c r="M1223" s="16" t="inlineStr"/>
      <c r="N1223" s="16" t="inlineStr"/>
      <c r="O1223" s="16" t="inlineStr"/>
    </row>
    <row r="1224" ht="72" customHeight="1">
      <c r="A1224" s="16" t="inlineStr">
        <is>
          <t>TC-MM-0181</t>
        </is>
      </c>
      <c r="B1224" s="16" t="inlineStr">
        <is>
          <t>Method x Body Matrix</t>
        </is>
      </c>
      <c r="C1224" s="16" t="inlineStr">
        <is>
          <t>POST + AwsSigV4 + form-data</t>
        </is>
      </c>
      <c r="D1224" s="16" t="inlineStr">
        <is>
          <t>Functional</t>
        </is>
      </c>
      <c r="E1224" s="16" t="inlineStr">
        <is>
          <t>POST with AwsSigV4 auth and form-data body</t>
        </is>
      </c>
      <c r="F1224" s="16" t="inlineStr">
        <is>
          <t>Editor open.</t>
        </is>
      </c>
      <c r="G1224" s="16" t="inlineStr">
        <is>
          <t>1. New request; method POST; URL to an echo endpoint.
2. Auth type AwsSigV4; configure minimum credentials.
3. Body type form-data; provide minimum valid content.
4. Send and inspect outgoing wire request (DevTools/proxy).</t>
        </is>
      </c>
      <c r="H1224" s="16" t="inlineStr">
        <is>
          <t>method=POST auth=AwsSigV4 body=form-data</t>
        </is>
      </c>
      <c r="I1224" s="16" t="inlineStr">
        <is>
          <t>AWS SigV4 signs canonical request including body bytes; x-amz-content-sha256 reflects SHA256 of body. Server returns expected status.</t>
        </is>
      </c>
      <c r="J1224" s="16" t="inlineStr"/>
      <c r="K1224" s="16" t="inlineStr">
        <is>
          <t>Not Run</t>
        </is>
      </c>
      <c r="L1224" s="16" t="inlineStr">
        <is>
          <t>High</t>
        </is>
      </c>
      <c r="M1224" s="16" t="inlineStr"/>
      <c r="N1224" s="16" t="inlineStr"/>
      <c r="O1224" s="16" t="inlineStr"/>
    </row>
    <row r="1225" ht="72" customHeight="1">
      <c r="A1225" s="16" t="inlineStr">
        <is>
          <t>TC-MM-0182</t>
        </is>
      </c>
      <c r="B1225" s="16" t="inlineStr">
        <is>
          <t>Method x Body Matrix</t>
        </is>
      </c>
      <c r="C1225" s="16" t="inlineStr">
        <is>
          <t>POST + AwsSigV4 + x-www-form-urlencoded</t>
        </is>
      </c>
      <c r="D1225" s="16" t="inlineStr">
        <is>
          <t>Functional</t>
        </is>
      </c>
      <c r="E1225" s="16" t="inlineStr">
        <is>
          <t>POST with AwsSigV4 auth and x-www-form-urlencoded body</t>
        </is>
      </c>
      <c r="F1225" s="16" t="inlineStr">
        <is>
          <t>Editor open.</t>
        </is>
      </c>
      <c r="G1225" s="16" t="inlineStr">
        <is>
          <t>1. New request; method POST; URL to an echo endpoint.
2. Auth type AwsSigV4; configure minimum credentials.
3. Body type x-www-form-urlencoded; provide minimum valid content.
4. Send and inspect outgoing wire request (DevTools/proxy).</t>
        </is>
      </c>
      <c r="H1225" s="16" t="inlineStr">
        <is>
          <t>method=POST auth=AwsSigV4 body=x-www-form-urlencoded</t>
        </is>
      </c>
      <c r="I1225" s="16" t="inlineStr">
        <is>
          <t>AWS SigV4 signs canonical request including body bytes; x-amz-content-sha256 reflects SHA256 of body. Server returns expected status.</t>
        </is>
      </c>
      <c r="J1225" s="16" t="inlineStr"/>
      <c r="K1225" s="16" t="inlineStr">
        <is>
          <t>Not Run</t>
        </is>
      </c>
      <c r="L1225" s="16" t="inlineStr">
        <is>
          <t>High</t>
        </is>
      </c>
      <c r="M1225" s="16" t="inlineStr"/>
      <c r="N1225" s="16" t="inlineStr"/>
      <c r="O1225" s="16" t="inlineStr"/>
    </row>
    <row r="1226" ht="72" customHeight="1">
      <c r="A1226" s="16" t="inlineStr">
        <is>
          <t>TC-MM-0183</t>
        </is>
      </c>
      <c r="B1226" s="16" t="inlineStr">
        <is>
          <t>Method x Body Matrix</t>
        </is>
      </c>
      <c r="C1226" s="16" t="inlineStr">
        <is>
          <t>POST + AwsSigV4 + raw-json</t>
        </is>
      </c>
      <c r="D1226" s="16" t="inlineStr">
        <is>
          <t>Functional</t>
        </is>
      </c>
      <c r="E1226" s="16" t="inlineStr">
        <is>
          <t>POST with AwsSigV4 auth and raw-json body</t>
        </is>
      </c>
      <c r="F1226" s="16" t="inlineStr">
        <is>
          <t>Editor open.</t>
        </is>
      </c>
      <c r="G1226" s="16" t="inlineStr">
        <is>
          <t>1. New request; method POST; URL to an echo endpoint.
2. Auth type AwsSigV4; configure minimum credentials.
3. Body type raw-json; provide minimum valid content.
4. Send and inspect outgoing wire request (DevTools/proxy).</t>
        </is>
      </c>
      <c r="H1226" s="16" t="inlineStr">
        <is>
          <t>method=POST auth=AwsSigV4 body=raw-json</t>
        </is>
      </c>
      <c r="I1226" s="16" t="inlineStr">
        <is>
          <t>AWS SigV4 signs canonical request including body bytes; x-amz-content-sha256 reflects SHA256 of body. Server returns expected status.</t>
        </is>
      </c>
      <c r="J1226" s="16" t="inlineStr"/>
      <c r="K1226" s="16" t="inlineStr">
        <is>
          <t>Not Run</t>
        </is>
      </c>
      <c r="L1226" s="16" t="inlineStr">
        <is>
          <t>High</t>
        </is>
      </c>
      <c r="M1226" s="16" t="inlineStr"/>
      <c r="N1226" s="16" t="inlineStr"/>
      <c r="O1226" s="16" t="inlineStr"/>
    </row>
    <row r="1227" ht="72" customHeight="1">
      <c r="A1227" s="16" t="inlineStr">
        <is>
          <t>TC-MM-0184</t>
        </is>
      </c>
      <c r="B1227" s="16" t="inlineStr">
        <is>
          <t>Method x Body Matrix</t>
        </is>
      </c>
      <c r="C1227" s="16" t="inlineStr">
        <is>
          <t>POST + AwsSigV4 + raw-xml</t>
        </is>
      </c>
      <c r="D1227" s="16" t="inlineStr">
        <is>
          <t>Functional</t>
        </is>
      </c>
      <c r="E1227" s="16" t="inlineStr">
        <is>
          <t>POST with AwsSigV4 auth and raw-xml body</t>
        </is>
      </c>
      <c r="F1227" s="16" t="inlineStr">
        <is>
          <t>Editor open.</t>
        </is>
      </c>
      <c r="G1227" s="16" t="inlineStr">
        <is>
          <t>1. New request; method POST; URL to an echo endpoint.
2. Auth type AwsSigV4; configure minimum credentials.
3. Body type raw-xml; provide minimum valid content.
4. Send and inspect outgoing wire request (DevTools/proxy).</t>
        </is>
      </c>
      <c r="H1227" s="16" t="inlineStr">
        <is>
          <t>method=POST auth=AwsSigV4 body=raw-xml</t>
        </is>
      </c>
      <c r="I1227" s="16" t="inlineStr">
        <is>
          <t>AWS SigV4 signs canonical request including body bytes; x-amz-content-sha256 reflects SHA256 of body. Server returns expected status.</t>
        </is>
      </c>
      <c r="J1227" s="16" t="inlineStr"/>
      <c r="K1227" s="16" t="inlineStr">
        <is>
          <t>Not Run</t>
        </is>
      </c>
      <c r="L1227" s="16" t="inlineStr">
        <is>
          <t>High</t>
        </is>
      </c>
      <c r="M1227" s="16" t="inlineStr"/>
      <c r="N1227" s="16" t="inlineStr"/>
      <c r="O1227" s="16" t="inlineStr"/>
    </row>
    <row r="1228" ht="72" customHeight="1">
      <c r="A1228" s="16" t="inlineStr">
        <is>
          <t>TC-MM-0185</t>
        </is>
      </c>
      <c r="B1228" s="16" t="inlineStr">
        <is>
          <t>Method x Body Matrix</t>
        </is>
      </c>
      <c r="C1228" s="16" t="inlineStr">
        <is>
          <t>POST + AwsSigV4 + raw-text</t>
        </is>
      </c>
      <c r="D1228" s="16" t="inlineStr">
        <is>
          <t>Functional</t>
        </is>
      </c>
      <c r="E1228" s="16" t="inlineStr">
        <is>
          <t>POST with AwsSigV4 auth and raw-text body</t>
        </is>
      </c>
      <c r="F1228" s="16" t="inlineStr">
        <is>
          <t>Editor open.</t>
        </is>
      </c>
      <c r="G1228" s="16" t="inlineStr">
        <is>
          <t>1. New request; method POST; URL to an echo endpoint.
2. Auth type AwsSigV4; configure minimum credentials.
3. Body type raw-text; provide minimum valid content.
4. Send and inspect outgoing wire request (DevTools/proxy).</t>
        </is>
      </c>
      <c r="H1228" s="16" t="inlineStr">
        <is>
          <t>method=POST auth=AwsSigV4 body=raw-text</t>
        </is>
      </c>
      <c r="I1228" s="16" t="inlineStr">
        <is>
          <t>AWS SigV4 signs canonical request including body bytes; x-amz-content-sha256 reflects SHA256 of body. Server returns expected status.</t>
        </is>
      </c>
      <c r="J1228" s="16" t="inlineStr"/>
      <c r="K1228" s="16" t="inlineStr">
        <is>
          <t>Not Run</t>
        </is>
      </c>
      <c r="L1228" s="16" t="inlineStr">
        <is>
          <t>High</t>
        </is>
      </c>
      <c r="M1228" s="16" t="inlineStr"/>
      <c r="N1228" s="16" t="inlineStr"/>
      <c r="O1228" s="16" t="inlineStr"/>
    </row>
    <row r="1229" ht="72" customHeight="1">
      <c r="A1229" s="16" t="inlineStr">
        <is>
          <t>TC-MM-0186</t>
        </is>
      </c>
      <c r="B1229" s="16" t="inlineStr">
        <is>
          <t>Method x Body Matrix</t>
        </is>
      </c>
      <c r="C1229" s="16" t="inlineStr">
        <is>
          <t>POST + AwsSigV4 + binary</t>
        </is>
      </c>
      <c r="D1229" s="16" t="inlineStr">
        <is>
          <t>Functional</t>
        </is>
      </c>
      <c r="E1229" s="16" t="inlineStr">
        <is>
          <t>POST with AwsSigV4 auth and binary body</t>
        </is>
      </c>
      <c r="F1229" s="16" t="inlineStr">
        <is>
          <t>Editor open.</t>
        </is>
      </c>
      <c r="G1229" s="16" t="inlineStr">
        <is>
          <t>1. New request; method POST; URL to an echo endpoint.
2. Auth type AwsSigV4; configure minimum credentials.
3. Body type binary; provide minimum valid content.
4. Send and inspect outgoing wire request (DevTools/proxy).</t>
        </is>
      </c>
      <c r="H1229" s="16" t="inlineStr">
        <is>
          <t>method=POST auth=AwsSigV4 body=binary</t>
        </is>
      </c>
      <c r="I1229" s="16" t="inlineStr">
        <is>
          <t>AWS SigV4 signs canonical request including body bytes; x-amz-content-sha256 reflects SHA256 of body. Server returns expected status.</t>
        </is>
      </c>
      <c r="J1229" s="16" t="inlineStr"/>
      <c r="K1229" s="16" t="inlineStr">
        <is>
          <t>Not Run</t>
        </is>
      </c>
      <c r="L1229" s="16" t="inlineStr">
        <is>
          <t>High</t>
        </is>
      </c>
      <c r="M1229" s="16" t="inlineStr"/>
      <c r="N1229" s="16" t="inlineStr"/>
      <c r="O1229" s="16" t="inlineStr"/>
    </row>
    <row r="1230" ht="72" customHeight="1">
      <c r="A1230" s="16" t="inlineStr">
        <is>
          <t>TC-MM-0187</t>
        </is>
      </c>
      <c r="B1230" s="16" t="inlineStr">
        <is>
          <t>Method x Body Matrix</t>
        </is>
      </c>
      <c r="C1230" s="16" t="inlineStr">
        <is>
          <t>POST + AwsSigV4 + graphql</t>
        </is>
      </c>
      <c r="D1230" s="16" t="inlineStr">
        <is>
          <t>Functional</t>
        </is>
      </c>
      <c r="E1230" s="16" t="inlineStr">
        <is>
          <t>POST with AwsSigV4 auth and graphql body</t>
        </is>
      </c>
      <c r="F1230" s="16" t="inlineStr">
        <is>
          <t>Editor open.</t>
        </is>
      </c>
      <c r="G1230" s="16" t="inlineStr">
        <is>
          <t>1. New request; method POST; URL to an echo endpoint.
2. Auth type AwsSigV4; configure minimum credentials.
3. Body type graphql; provide minimum valid content.
4. Send and inspect outgoing wire request (DevTools/proxy).</t>
        </is>
      </c>
      <c r="H1230" s="16" t="inlineStr">
        <is>
          <t>method=POST auth=AwsSigV4 body=graphql</t>
        </is>
      </c>
      <c r="I1230" s="16" t="inlineStr">
        <is>
          <t>AWS SigV4 signs canonical request including body bytes; x-amz-content-sha256 reflects SHA256 of body. Server returns expected status.</t>
        </is>
      </c>
      <c r="J1230" s="16" t="inlineStr"/>
      <c r="K1230" s="16" t="inlineStr">
        <is>
          <t>Not Run</t>
        </is>
      </c>
      <c r="L1230" s="16" t="inlineStr">
        <is>
          <t>High</t>
        </is>
      </c>
      <c r="M1230" s="16" t="inlineStr"/>
      <c r="N1230" s="16" t="inlineStr"/>
      <c r="O1230" s="16" t="inlineStr"/>
    </row>
    <row r="1231" ht="72" customHeight="1">
      <c r="A1231" s="16" t="inlineStr">
        <is>
          <t>TC-MM-0188</t>
        </is>
      </c>
      <c r="B1231" s="16" t="inlineStr">
        <is>
          <t>Method x Body Matrix</t>
        </is>
      </c>
      <c r="C1231" s="16" t="inlineStr">
        <is>
          <t>POST + JwtHS256 + none</t>
        </is>
      </c>
      <c r="D1231" s="16" t="inlineStr">
        <is>
          <t>Functional</t>
        </is>
      </c>
      <c r="E1231" s="16" t="inlineStr">
        <is>
          <t>POST with JwtHS256 auth and none body</t>
        </is>
      </c>
      <c r="F1231" s="16" t="inlineStr">
        <is>
          <t>Editor open.</t>
        </is>
      </c>
      <c r="G1231" s="16" t="inlineStr">
        <is>
          <t>1. New request; method POST; URL to an echo endpoint.
2. Auth type JwtHS256; configure minimum credentials.
3. Body type none; provide minimum valid content.
4. Send and inspect outgoing wire request (DevTools/proxy).</t>
        </is>
      </c>
      <c r="H1231" s="16" t="inlineStr">
        <is>
          <t>method=POST auth=JwtHS256 body=none</t>
        </is>
      </c>
      <c r="I1231" s="16" t="inlineStr">
        <is>
          <t>JwtHS256 auth applied correctly; none body sent with right Content-Type; server returns expected status.</t>
        </is>
      </c>
      <c r="J1231" s="16" t="inlineStr"/>
      <c r="K1231" s="16" t="inlineStr">
        <is>
          <t>Not Run</t>
        </is>
      </c>
      <c r="L1231" s="16" t="inlineStr">
        <is>
          <t>Medium</t>
        </is>
      </c>
      <c r="M1231" s="16" t="inlineStr"/>
      <c r="N1231" s="16" t="inlineStr"/>
      <c r="O1231" s="16" t="inlineStr"/>
    </row>
    <row r="1232" ht="72" customHeight="1">
      <c r="A1232" s="16" t="inlineStr">
        <is>
          <t>TC-MM-0189</t>
        </is>
      </c>
      <c r="B1232" s="16" t="inlineStr">
        <is>
          <t>Method x Body Matrix</t>
        </is>
      </c>
      <c r="C1232" s="16" t="inlineStr">
        <is>
          <t>POST + JwtHS256 + form-data</t>
        </is>
      </c>
      <c r="D1232" s="16" t="inlineStr">
        <is>
          <t>Functional</t>
        </is>
      </c>
      <c r="E1232" s="16" t="inlineStr">
        <is>
          <t>POST with JwtHS256 auth and form-data body</t>
        </is>
      </c>
      <c r="F1232" s="16" t="inlineStr">
        <is>
          <t>Editor open.</t>
        </is>
      </c>
      <c r="G1232" s="16" t="inlineStr">
        <is>
          <t>1. New request; method POST; URL to an echo endpoint.
2. Auth type JwtHS256; configure minimum credentials.
3. Body type form-data; provide minimum valid content.
4. Send and inspect outgoing wire request (DevTools/proxy).</t>
        </is>
      </c>
      <c r="H1232" s="16" t="inlineStr">
        <is>
          <t>method=POST auth=JwtHS256 body=form-data</t>
        </is>
      </c>
      <c r="I1232" s="16" t="inlineStr">
        <is>
          <t>JwtHS256 auth applied correctly; form-data body sent with right Content-Type; server returns expected status.</t>
        </is>
      </c>
      <c r="J1232" s="16" t="inlineStr"/>
      <c r="K1232" s="16" t="inlineStr">
        <is>
          <t>Not Run</t>
        </is>
      </c>
      <c r="L1232" s="16" t="inlineStr">
        <is>
          <t>Medium</t>
        </is>
      </c>
      <c r="M1232" s="16" t="inlineStr"/>
      <c r="N1232" s="16" t="inlineStr"/>
      <c r="O1232" s="16" t="inlineStr"/>
    </row>
    <row r="1233" ht="72" customHeight="1">
      <c r="A1233" s="16" t="inlineStr">
        <is>
          <t>TC-MM-0190</t>
        </is>
      </c>
      <c r="B1233" s="16" t="inlineStr">
        <is>
          <t>Method x Body Matrix</t>
        </is>
      </c>
      <c r="C1233" s="16" t="inlineStr">
        <is>
          <t>POST + JwtHS256 + x-www-form-urlencoded</t>
        </is>
      </c>
      <c r="D1233" s="16" t="inlineStr">
        <is>
          <t>Functional</t>
        </is>
      </c>
      <c r="E1233" s="16" t="inlineStr">
        <is>
          <t>POST with JwtHS256 auth and x-www-form-urlencoded body</t>
        </is>
      </c>
      <c r="F1233" s="16" t="inlineStr">
        <is>
          <t>Editor open.</t>
        </is>
      </c>
      <c r="G1233" s="16" t="inlineStr">
        <is>
          <t>1. New request; method POST; URL to an echo endpoint.
2. Auth type JwtHS256; configure minimum credentials.
3. Body type x-www-form-urlencoded; provide minimum valid content.
4. Send and inspect outgoing wire request (DevTools/proxy).</t>
        </is>
      </c>
      <c r="H1233" s="16" t="inlineStr">
        <is>
          <t>method=POST auth=JwtHS256 body=x-www-form-urlencoded</t>
        </is>
      </c>
      <c r="I1233" s="16" t="inlineStr">
        <is>
          <t>JwtHS256 auth applied correctly; x-www-form-urlencoded body sent with right Content-Type; server returns expected status.</t>
        </is>
      </c>
      <c r="J1233" s="16" t="inlineStr"/>
      <c r="K1233" s="16" t="inlineStr">
        <is>
          <t>Not Run</t>
        </is>
      </c>
      <c r="L1233" s="16" t="inlineStr">
        <is>
          <t>Medium</t>
        </is>
      </c>
      <c r="M1233" s="16" t="inlineStr"/>
      <c r="N1233" s="16" t="inlineStr"/>
      <c r="O1233" s="16" t="inlineStr"/>
    </row>
    <row r="1234" ht="72" customHeight="1">
      <c r="A1234" s="16" t="inlineStr">
        <is>
          <t>TC-MM-0191</t>
        </is>
      </c>
      <c r="B1234" s="16" t="inlineStr">
        <is>
          <t>Method x Body Matrix</t>
        </is>
      </c>
      <c r="C1234" s="16" t="inlineStr">
        <is>
          <t>POST + JwtHS256 + raw-json</t>
        </is>
      </c>
      <c r="D1234" s="16" t="inlineStr">
        <is>
          <t>Functional</t>
        </is>
      </c>
      <c r="E1234" s="16" t="inlineStr">
        <is>
          <t>POST with JwtHS256 auth and raw-json body</t>
        </is>
      </c>
      <c r="F1234" s="16" t="inlineStr">
        <is>
          <t>Editor open.</t>
        </is>
      </c>
      <c r="G1234" s="16" t="inlineStr">
        <is>
          <t>1. New request; method POST; URL to an echo endpoint.
2. Auth type JwtHS256; configure minimum credentials.
3. Body type raw-json; provide minimum valid content.
4. Send and inspect outgoing wire request (DevTools/proxy).</t>
        </is>
      </c>
      <c r="H1234" s="16" t="inlineStr">
        <is>
          <t>method=POST auth=JwtHS256 body=raw-json</t>
        </is>
      </c>
      <c r="I1234" s="16" t="inlineStr">
        <is>
          <t>JwtHS256 auth applied correctly; raw-json body sent with right Content-Type; server returns expected status.</t>
        </is>
      </c>
      <c r="J1234" s="16" t="inlineStr"/>
      <c r="K1234" s="16" t="inlineStr">
        <is>
          <t>Not Run</t>
        </is>
      </c>
      <c r="L1234" s="16" t="inlineStr">
        <is>
          <t>Medium</t>
        </is>
      </c>
      <c r="M1234" s="16" t="inlineStr"/>
      <c r="N1234" s="16" t="inlineStr"/>
      <c r="O1234" s="16" t="inlineStr"/>
    </row>
    <row r="1235" ht="72" customHeight="1">
      <c r="A1235" s="16" t="inlineStr">
        <is>
          <t>TC-MM-0192</t>
        </is>
      </c>
      <c r="B1235" s="16" t="inlineStr">
        <is>
          <t>Method x Body Matrix</t>
        </is>
      </c>
      <c r="C1235" s="16" t="inlineStr">
        <is>
          <t>POST + JwtHS256 + raw-xml</t>
        </is>
      </c>
      <c r="D1235" s="16" t="inlineStr">
        <is>
          <t>Functional</t>
        </is>
      </c>
      <c r="E1235" s="16" t="inlineStr">
        <is>
          <t>POST with JwtHS256 auth and raw-xml body</t>
        </is>
      </c>
      <c r="F1235" s="16" t="inlineStr">
        <is>
          <t>Editor open.</t>
        </is>
      </c>
      <c r="G1235" s="16" t="inlineStr">
        <is>
          <t>1. New request; method POST; URL to an echo endpoint.
2. Auth type JwtHS256; configure minimum credentials.
3. Body type raw-xml; provide minimum valid content.
4. Send and inspect outgoing wire request (DevTools/proxy).</t>
        </is>
      </c>
      <c r="H1235" s="16" t="inlineStr">
        <is>
          <t>method=POST auth=JwtHS256 body=raw-xml</t>
        </is>
      </c>
      <c r="I1235" s="16" t="inlineStr">
        <is>
          <t>JwtHS256 auth applied correctly; raw-xml body sent with right Content-Type; server returns expected status.</t>
        </is>
      </c>
      <c r="J1235" s="16" t="inlineStr"/>
      <c r="K1235" s="16" t="inlineStr">
        <is>
          <t>Not Run</t>
        </is>
      </c>
      <c r="L1235" s="16" t="inlineStr">
        <is>
          <t>Medium</t>
        </is>
      </c>
      <c r="M1235" s="16" t="inlineStr"/>
      <c r="N1235" s="16" t="inlineStr"/>
      <c r="O1235" s="16" t="inlineStr"/>
    </row>
    <row r="1236" ht="72" customHeight="1">
      <c r="A1236" s="16" t="inlineStr">
        <is>
          <t>TC-MM-0193</t>
        </is>
      </c>
      <c r="B1236" s="16" t="inlineStr">
        <is>
          <t>Method x Body Matrix</t>
        </is>
      </c>
      <c r="C1236" s="16" t="inlineStr">
        <is>
          <t>POST + JwtHS256 + raw-text</t>
        </is>
      </c>
      <c r="D1236" s="16" t="inlineStr">
        <is>
          <t>Functional</t>
        </is>
      </c>
      <c r="E1236" s="16" t="inlineStr">
        <is>
          <t>POST with JwtHS256 auth and raw-text body</t>
        </is>
      </c>
      <c r="F1236" s="16" t="inlineStr">
        <is>
          <t>Editor open.</t>
        </is>
      </c>
      <c r="G1236" s="16" t="inlineStr">
        <is>
          <t>1. New request; method POST; URL to an echo endpoint.
2. Auth type JwtHS256; configure minimum credentials.
3. Body type raw-text; provide minimum valid content.
4. Send and inspect outgoing wire request (DevTools/proxy).</t>
        </is>
      </c>
      <c r="H1236" s="16" t="inlineStr">
        <is>
          <t>method=POST auth=JwtHS256 body=raw-text</t>
        </is>
      </c>
      <c r="I1236" s="16" t="inlineStr">
        <is>
          <t>JwtHS256 auth applied correctly; raw-text body sent with right Content-Type; server returns expected status.</t>
        </is>
      </c>
      <c r="J1236" s="16" t="inlineStr"/>
      <c r="K1236" s="16" t="inlineStr">
        <is>
          <t>Not Run</t>
        </is>
      </c>
      <c r="L1236" s="16" t="inlineStr">
        <is>
          <t>Medium</t>
        </is>
      </c>
      <c r="M1236" s="16" t="inlineStr"/>
      <c r="N1236" s="16" t="inlineStr"/>
      <c r="O1236" s="16" t="inlineStr"/>
    </row>
    <row r="1237" ht="72" customHeight="1">
      <c r="A1237" s="16" t="inlineStr">
        <is>
          <t>TC-MM-0194</t>
        </is>
      </c>
      <c r="B1237" s="16" t="inlineStr">
        <is>
          <t>Method x Body Matrix</t>
        </is>
      </c>
      <c r="C1237" s="16" t="inlineStr">
        <is>
          <t>POST + JwtHS256 + binary</t>
        </is>
      </c>
      <c r="D1237" s="16" t="inlineStr">
        <is>
          <t>Functional</t>
        </is>
      </c>
      <c r="E1237" s="16" t="inlineStr">
        <is>
          <t>POST with JwtHS256 auth and binary body</t>
        </is>
      </c>
      <c r="F1237" s="16" t="inlineStr">
        <is>
          <t>Editor open.</t>
        </is>
      </c>
      <c r="G1237" s="16" t="inlineStr">
        <is>
          <t>1. New request; method POST; URL to an echo endpoint.
2. Auth type JwtHS256; configure minimum credentials.
3. Body type binary; provide minimum valid content.
4. Send and inspect outgoing wire request (DevTools/proxy).</t>
        </is>
      </c>
      <c r="H1237" s="16" t="inlineStr">
        <is>
          <t>method=POST auth=JwtHS256 body=binary</t>
        </is>
      </c>
      <c r="I1237" s="16" t="inlineStr">
        <is>
          <t>JwtHS256 auth applied correctly; binary body sent with right Content-Type; server returns expected status.</t>
        </is>
      </c>
      <c r="J1237" s="16" t="inlineStr"/>
      <c r="K1237" s="16" t="inlineStr">
        <is>
          <t>Not Run</t>
        </is>
      </c>
      <c r="L1237" s="16" t="inlineStr">
        <is>
          <t>Medium</t>
        </is>
      </c>
      <c r="M1237" s="16" t="inlineStr"/>
      <c r="N1237" s="16" t="inlineStr"/>
      <c r="O1237" s="16" t="inlineStr"/>
    </row>
    <row r="1238" ht="72" customHeight="1">
      <c r="A1238" s="16" t="inlineStr">
        <is>
          <t>TC-MM-0195</t>
        </is>
      </c>
      <c r="B1238" s="16" t="inlineStr">
        <is>
          <t>Method x Body Matrix</t>
        </is>
      </c>
      <c r="C1238" s="16" t="inlineStr">
        <is>
          <t>POST + JwtHS256 + graphql</t>
        </is>
      </c>
      <c r="D1238" s="16" t="inlineStr">
        <is>
          <t>Functional</t>
        </is>
      </c>
      <c r="E1238" s="16" t="inlineStr">
        <is>
          <t>POST with JwtHS256 auth and graphql body</t>
        </is>
      </c>
      <c r="F1238" s="16" t="inlineStr">
        <is>
          <t>Editor open.</t>
        </is>
      </c>
      <c r="G1238" s="16" t="inlineStr">
        <is>
          <t>1. New request; method POST; URL to an echo endpoint.
2. Auth type JwtHS256; configure minimum credentials.
3. Body type graphql; provide minimum valid content.
4. Send and inspect outgoing wire request (DevTools/proxy).</t>
        </is>
      </c>
      <c r="H1238" s="16" t="inlineStr">
        <is>
          <t>method=POST auth=JwtHS256 body=graphql</t>
        </is>
      </c>
      <c r="I1238" s="16" t="inlineStr">
        <is>
          <t>JwtHS256 auth applied correctly; graphql body sent with right Content-Type; server returns expected status.</t>
        </is>
      </c>
      <c r="J1238" s="16" t="inlineStr"/>
      <c r="K1238" s="16" t="inlineStr">
        <is>
          <t>Not Run</t>
        </is>
      </c>
      <c r="L1238" s="16" t="inlineStr">
        <is>
          <t>Medium</t>
        </is>
      </c>
      <c r="M1238" s="16" t="inlineStr"/>
      <c r="N1238" s="16" t="inlineStr"/>
      <c r="O1238" s="16" t="inlineStr"/>
    </row>
    <row r="1239" ht="72" customHeight="1">
      <c r="A1239" s="16" t="inlineStr">
        <is>
          <t>TC-MM-0196</t>
        </is>
      </c>
      <c r="B1239" s="16" t="inlineStr">
        <is>
          <t>Method x Body Matrix</t>
        </is>
      </c>
      <c r="C1239" s="16" t="inlineStr">
        <is>
          <t>POST + OAuth2ClientCreds + none</t>
        </is>
      </c>
      <c r="D1239" s="16" t="inlineStr">
        <is>
          <t>Functional</t>
        </is>
      </c>
      <c r="E1239" s="16" t="inlineStr">
        <is>
          <t>POST with OAuth2ClientCreds auth and none body</t>
        </is>
      </c>
      <c r="F1239" s="16" t="inlineStr">
        <is>
          <t>Editor open.</t>
        </is>
      </c>
      <c r="G1239" s="16" t="inlineStr">
        <is>
          <t>1. New request; method POST; URL to an echo endpoint.
2. Auth type OAuth2ClientCreds; configure minimum credentials.
3. Body type none; provide minimum valid content.
4. Send and inspect outgoing wire request (DevTools/proxy).</t>
        </is>
      </c>
      <c r="H1239" s="16" t="inlineStr">
        <is>
          <t>method=POST auth=OAuth2ClientCreds body=none</t>
        </is>
      </c>
      <c r="I1239" s="16" t="inlineStr">
        <is>
          <t>Access token acquired (or refreshed); attached as Bearer; POST sent with none body; server returns expected status.</t>
        </is>
      </c>
      <c r="J1239" s="16" t="inlineStr"/>
      <c r="K1239" s="16" t="inlineStr">
        <is>
          <t>Not Run</t>
        </is>
      </c>
      <c r="L1239" s="16" t="inlineStr">
        <is>
          <t>Medium</t>
        </is>
      </c>
      <c r="M1239" s="16" t="inlineStr"/>
      <c r="N1239" s="16" t="inlineStr"/>
      <c r="O1239" s="16" t="inlineStr"/>
    </row>
    <row r="1240" ht="72" customHeight="1">
      <c r="A1240" s="16" t="inlineStr">
        <is>
          <t>TC-MM-0197</t>
        </is>
      </c>
      <c r="B1240" s="16" t="inlineStr">
        <is>
          <t>Method x Body Matrix</t>
        </is>
      </c>
      <c r="C1240" s="16" t="inlineStr">
        <is>
          <t>POST + OAuth2ClientCreds + form-data</t>
        </is>
      </c>
      <c r="D1240" s="16" t="inlineStr">
        <is>
          <t>Functional</t>
        </is>
      </c>
      <c r="E1240" s="16" t="inlineStr">
        <is>
          <t>POST with OAuth2ClientCreds auth and form-data body</t>
        </is>
      </c>
      <c r="F1240" s="16" t="inlineStr">
        <is>
          <t>Editor open.</t>
        </is>
      </c>
      <c r="G1240" s="16" t="inlineStr">
        <is>
          <t>1. New request; method POST; URL to an echo endpoint.
2. Auth type OAuth2ClientCreds; configure minimum credentials.
3. Body type form-data; provide minimum valid content.
4. Send and inspect outgoing wire request (DevTools/proxy).</t>
        </is>
      </c>
      <c r="H1240" s="16" t="inlineStr">
        <is>
          <t>method=POST auth=OAuth2ClientCreds body=form-data</t>
        </is>
      </c>
      <c r="I1240" s="16" t="inlineStr">
        <is>
          <t>Access token acquired (or refreshed); attached as Bearer; POST sent with form-data body; server returns expected status.</t>
        </is>
      </c>
      <c r="J1240" s="16" t="inlineStr"/>
      <c r="K1240" s="16" t="inlineStr">
        <is>
          <t>Not Run</t>
        </is>
      </c>
      <c r="L1240" s="16" t="inlineStr">
        <is>
          <t>Medium</t>
        </is>
      </c>
      <c r="M1240" s="16" t="inlineStr"/>
      <c r="N1240" s="16" t="inlineStr"/>
      <c r="O1240" s="16" t="inlineStr"/>
    </row>
    <row r="1241" ht="72" customHeight="1">
      <c r="A1241" s="16" t="inlineStr">
        <is>
          <t>TC-MM-0198</t>
        </is>
      </c>
      <c r="B1241" s="16" t="inlineStr">
        <is>
          <t>Method x Body Matrix</t>
        </is>
      </c>
      <c r="C1241" s="16" t="inlineStr">
        <is>
          <t>POST + OAuth2ClientCreds + x-www-form-urlencoded</t>
        </is>
      </c>
      <c r="D1241" s="16" t="inlineStr">
        <is>
          <t>Functional</t>
        </is>
      </c>
      <c r="E1241" s="16" t="inlineStr">
        <is>
          <t>POST with OAuth2ClientCreds auth and x-www-form-urlencoded body</t>
        </is>
      </c>
      <c r="F1241" s="16" t="inlineStr">
        <is>
          <t>Editor open.</t>
        </is>
      </c>
      <c r="G1241" s="16" t="inlineStr">
        <is>
          <t>1. New request; method POST; URL to an echo endpoint.
2. Auth type OAuth2ClientCreds; configure minimum credentials.
3. Body type x-www-form-urlencoded; provide minimum valid content.
4. Send and inspect outgoing wire request (DevTools/proxy).</t>
        </is>
      </c>
      <c r="H1241" s="16" t="inlineStr">
        <is>
          <t>method=POST auth=OAuth2ClientCreds body=x-www-form-urlencoded</t>
        </is>
      </c>
      <c r="I1241" s="16" t="inlineStr">
        <is>
          <t>Access token acquired (or refreshed); attached as Bearer; POST sent with x-www-form-urlencoded body; server returns expected status.</t>
        </is>
      </c>
      <c r="J1241" s="16" t="inlineStr"/>
      <c r="K1241" s="16" t="inlineStr">
        <is>
          <t>Not Run</t>
        </is>
      </c>
      <c r="L1241" s="16" t="inlineStr">
        <is>
          <t>Medium</t>
        </is>
      </c>
      <c r="M1241" s="16" t="inlineStr"/>
      <c r="N1241" s="16" t="inlineStr"/>
      <c r="O1241" s="16" t="inlineStr"/>
    </row>
    <row r="1242" ht="72" customHeight="1">
      <c r="A1242" s="16" t="inlineStr">
        <is>
          <t>TC-MM-0199</t>
        </is>
      </c>
      <c r="B1242" s="16" t="inlineStr">
        <is>
          <t>Method x Body Matrix</t>
        </is>
      </c>
      <c r="C1242" s="16" t="inlineStr">
        <is>
          <t>POST + OAuth2ClientCreds + raw-json</t>
        </is>
      </c>
      <c r="D1242" s="16" t="inlineStr">
        <is>
          <t>Functional</t>
        </is>
      </c>
      <c r="E1242" s="16" t="inlineStr">
        <is>
          <t>POST with OAuth2ClientCreds auth and raw-json body</t>
        </is>
      </c>
      <c r="F1242" s="16" t="inlineStr">
        <is>
          <t>Editor open.</t>
        </is>
      </c>
      <c r="G1242" s="16" t="inlineStr">
        <is>
          <t>1. New request; method POST; URL to an echo endpoint.
2. Auth type OAuth2ClientCreds; configure minimum credentials.
3. Body type raw-json; provide minimum valid content.
4. Send and inspect outgoing wire request (DevTools/proxy).</t>
        </is>
      </c>
      <c r="H1242" s="16" t="inlineStr">
        <is>
          <t>method=POST auth=OAuth2ClientCreds body=raw-json</t>
        </is>
      </c>
      <c r="I1242" s="16" t="inlineStr">
        <is>
          <t>Access token acquired (or refreshed); attached as Bearer; POST sent with raw-json body; server returns expected status.</t>
        </is>
      </c>
      <c r="J1242" s="16" t="inlineStr"/>
      <c r="K1242" s="16" t="inlineStr">
        <is>
          <t>Not Run</t>
        </is>
      </c>
      <c r="L1242" s="16" t="inlineStr">
        <is>
          <t>Medium</t>
        </is>
      </c>
      <c r="M1242" s="16" t="inlineStr"/>
      <c r="N1242" s="16" t="inlineStr"/>
      <c r="O1242" s="16" t="inlineStr"/>
    </row>
    <row r="1243" ht="72" customHeight="1">
      <c r="A1243" s="16" t="inlineStr">
        <is>
          <t>TC-MM-0200</t>
        </is>
      </c>
      <c r="B1243" s="16" t="inlineStr">
        <is>
          <t>Method x Body Matrix</t>
        </is>
      </c>
      <c r="C1243" s="16" t="inlineStr">
        <is>
          <t>POST + OAuth2ClientCreds + raw-xml</t>
        </is>
      </c>
      <c r="D1243" s="16" t="inlineStr">
        <is>
          <t>Functional</t>
        </is>
      </c>
      <c r="E1243" s="16" t="inlineStr">
        <is>
          <t>POST with OAuth2ClientCreds auth and raw-xml body</t>
        </is>
      </c>
      <c r="F1243" s="16" t="inlineStr">
        <is>
          <t>Editor open.</t>
        </is>
      </c>
      <c r="G1243" s="16" t="inlineStr">
        <is>
          <t>1. New request; method POST; URL to an echo endpoint.
2. Auth type OAuth2ClientCreds; configure minimum credentials.
3. Body type raw-xml; provide minimum valid content.
4. Send and inspect outgoing wire request (DevTools/proxy).</t>
        </is>
      </c>
      <c r="H1243" s="16" t="inlineStr">
        <is>
          <t>method=POST auth=OAuth2ClientCreds body=raw-xml</t>
        </is>
      </c>
      <c r="I1243" s="16" t="inlineStr">
        <is>
          <t>Access token acquired (or refreshed); attached as Bearer; POST sent with raw-xml body; server returns expected status.</t>
        </is>
      </c>
      <c r="J1243" s="16" t="inlineStr"/>
      <c r="K1243" s="16" t="inlineStr">
        <is>
          <t>Not Run</t>
        </is>
      </c>
      <c r="L1243" s="16" t="inlineStr">
        <is>
          <t>Medium</t>
        </is>
      </c>
      <c r="M1243" s="16" t="inlineStr"/>
      <c r="N1243" s="16" t="inlineStr"/>
      <c r="O1243" s="16" t="inlineStr"/>
    </row>
    <row r="1244" ht="72" customHeight="1">
      <c r="A1244" s="16" t="inlineStr">
        <is>
          <t>TC-MM-0201</t>
        </is>
      </c>
      <c r="B1244" s="16" t="inlineStr">
        <is>
          <t>Method x Body Matrix</t>
        </is>
      </c>
      <c r="C1244" s="16" t="inlineStr">
        <is>
          <t>POST + OAuth2ClientCreds + raw-text</t>
        </is>
      </c>
      <c r="D1244" s="16" t="inlineStr">
        <is>
          <t>Functional</t>
        </is>
      </c>
      <c r="E1244" s="16" t="inlineStr">
        <is>
          <t>POST with OAuth2ClientCreds auth and raw-text body</t>
        </is>
      </c>
      <c r="F1244" s="16" t="inlineStr">
        <is>
          <t>Editor open.</t>
        </is>
      </c>
      <c r="G1244" s="16" t="inlineStr">
        <is>
          <t>1. New request; method POST; URL to an echo endpoint.
2. Auth type OAuth2ClientCreds; configure minimum credentials.
3. Body type raw-text; provide minimum valid content.
4. Send and inspect outgoing wire request (DevTools/proxy).</t>
        </is>
      </c>
      <c r="H1244" s="16" t="inlineStr">
        <is>
          <t>method=POST auth=OAuth2ClientCreds body=raw-text</t>
        </is>
      </c>
      <c r="I1244" s="16" t="inlineStr">
        <is>
          <t>Access token acquired (or refreshed); attached as Bearer; POST sent with raw-text body; server returns expected status.</t>
        </is>
      </c>
      <c r="J1244" s="16" t="inlineStr"/>
      <c r="K1244" s="16" t="inlineStr">
        <is>
          <t>Not Run</t>
        </is>
      </c>
      <c r="L1244" s="16" t="inlineStr">
        <is>
          <t>Medium</t>
        </is>
      </c>
      <c r="M1244" s="16" t="inlineStr"/>
      <c r="N1244" s="16" t="inlineStr"/>
      <c r="O1244" s="16" t="inlineStr"/>
    </row>
    <row r="1245" ht="72" customHeight="1">
      <c r="A1245" s="16" t="inlineStr">
        <is>
          <t>TC-MM-0202</t>
        </is>
      </c>
      <c r="B1245" s="16" t="inlineStr">
        <is>
          <t>Method x Body Matrix</t>
        </is>
      </c>
      <c r="C1245" s="16" t="inlineStr">
        <is>
          <t>POST + OAuth2ClientCreds + binary</t>
        </is>
      </c>
      <c r="D1245" s="16" t="inlineStr">
        <is>
          <t>Functional</t>
        </is>
      </c>
      <c r="E1245" s="16" t="inlineStr">
        <is>
          <t>POST with OAuth2ClientCreds auth and binary body</t>
        </is>
      </c>
      <c r="F1245" s="16" t="inlineStr">
        <is>
          <t>Editor open.</t>
        </is>
      </c>
      <c r="G1245" s="16" t="inlineStr">
        <is>
          <t>1. New request; method POST; URL to an echo endpoint.
2. Auth type OAuth2ClientCreds; configure minimum credentials.
3. Body type binary; provide minimum valid content.
4. Send and inspect outgoing wire request (DevTools/proxy).</t>
        </is>
      </c>
      <c r="H1245" s="16" t="inlineStr">
        <is>
          <t>method=POST auth=OAuth2ClientCreds body=binary</t>
        </is>
      </c>
      <c r="I1245" s="16" t="inlineStr">
        <is>
          <t>Access token acquired (or refreshed); attached as Bearer; POST sent with binary body; server returns expected status.</t>
        </is>
      </c>
      <c r="J1245" s="16" t="inlineStr"/>
      <c r="K1245" s="16" t="inlineStr">
        <is>
          <t>Not Run</t>
        </is>
      </c>
      <c r="L1245" s="16" t="inlineStr">
        <is>
          <t>Medium</t>
        </is>
      </c>
      <c r="M1245" s="16" t="inlineStr"/>
      <c r="N1245" s="16" t="inlineStr"/>
      <c r="O1245" s="16" t="inlineStr"/>
    </row>
    <row r="1246" ht="72" customHeight="1">
      <c r="A1246" s="16" t="inlineStr">
        <is>
          <t>TC-MM-0203</t>
        </is>
      </c>
      <c r="B1246" s="16" t="inlineStr">
        <is>
          <t>Method x Body Matrix</t>
        </is>
      </c>
      <c r="C1246" s="16" t="inlineStr">
        <is>
          <t>POST + OAuth2ClientCreds + graphql</t>
        </is>
      </c>
      <c r="D1246" s="16" t="inlineStr">
        <is>
          <t>Functional</t>
        </is>
      </c>
      <c r="E1246" s="16" t="inlineStr">
        <is>
          <t>POST with OAuth2ClientCreds auth and graphql body</t>
        </is>
      </c>
      <c r="F1246" s="16" t="inlineStr">
        <is>
          <t>Editor open.</t>
        </is>
      </c>
      <c r="G1246" s="16" t="inlineStr">
        <is>
          <t>1. New request; method POST; URL to an echo endpoint.
2. Auth type OAuth2ClientCreds; configure minimum credentials.
3. Body type graphql; provide minimum valid content.
4. Send and inspect outgoing wire request (DevTools/proxy).</t>
        </is>
      </c>
      <c r="H1246" s="16" t="inlineStr">
        <is>
          <t>method=POST auth=OAuth2ClientCreds body=graphql</t>
        </is>
      </c>
      <c r="I1246" s="16" t="inlineStr">
        <is>
          <t>Access token acquired (or refreshed); attached as Bearer; POST sent with graphql body; server returns expected status.</t>
        </is>
      </c>
      <c r="J1246" s="16" t="inlineStr"/>
      <c r="K1246" s="16" t="inlineStr">
        <is>
          <t>Not Run</t>
        </is>
      </c>
      <c r="L1246" s="16" t="inlineStr">
        <is>
          <t>Medium</t>
        </is>
      </c>
      <c r="M1246" s="16" t="inlineStr"/>
      <c r="N1246" s="16" t="inlineStr"/>
      <c r="O1246" s="16" t="inlineStr"/>
    </row>
    <row r="1247" ht="72" customHeight="1">
      <c r="A1247" s="16" t="inlineStr">
        <is>
          <t>TC-MM-0204</t>
        </is>
      </c>
      <c r="B1247" s="16" t="inlineStr">
        <is>
          <t>Method x Body Matrix</t>
        </is>
      </c>
      <c r="C1247" s="16" t="inlineStr">
        <is>
          <t>POST + OAuth2PKCE + none</t>
        </is>
      </c>
      <c r="D1247" s="16" t="inlineStr">
        <is>
          <t>Functional</t>
        </is>
      </c>
      <c r="E1247" s="16" t="inlineStr">
        <is>
          <t>POST with OAuth2PKCE auth and none body</t>
        </is>
      </c>
      <c r="F1247" s="16" t="inlineStr">
        <is>
          <t>Editor open.</t>
        </is>
      </c>
      <c r="G1247" s="16" t="inlineStr">
        <is>
          <t>1. New request; method POST; URL to an echo endpoint.
2. Auth type OAuth2PKCE; configure minimum credentials.
3. Body type none; provide minimum valid content.
4. Send and inspect outgoing wire request (DevTools/proxy).</t>
        </is>
      </c>
      <c r="H1247" s="16" t="inlineStr">
        <is>
          <t>method=POST auth=OAuth2PKCE body=none</t>
        </is>
      </c>
      <c r="I1247" s="16" t="inlineStr">
        <is>
          <t>Access token acquired (or refreshed); attached as Bearer; POST sent with none body; server returns expected status.</t>
        </is>
      </c>
      <c r="J1247" s="16" t="inlineStr"/>
      <c r="K1247" s="16" t="inlineStr">
        <is>
          <t>Not Run</t>
        </is>
      </c>
      <c r="L1247" s="16" t="inlineStr">
        <is>
          <t>Medium</t>
        </is>
      </c>
      <c r="M1247" s="16" t="inlineStr"/>
      <c r="N1247" s="16" t="inlineStr"/>
      <c r="O1247" s="16" t="inlineStr"/>
    </row>
    <row r="1248" ht="72" customHeight="1">
      <c r="A1248" s="16" t="inlineStr">
        <is>
          <t>TC-MM-0205</t>
        </is>
      </c>
      <c r="B1248" s="16" t="inlineStr">
        <is>
          <t>Method x Body Matrix</t>
        </is>
      </c>
      <c r="C1248" s="16" t="inlineStr">
        <is>
          <t>POST + OAuth2PKCE + form-data</t>
        </is>
      </c>
      <c r="D1248" s="16" t="inlineStr">
        <is>
          <t>Functional</t>
        </is>
      </c>
      <c r="E1248" s="16" t="inlineStr">
        <is>
          <t>POST with OAuth2PKCE auth and form-data body</t>
        </is>
      </c>
      <c r="F1248" s="16" t="inlineStr">
        <is>
          <t>Editor open.</t>
        </is>
      </c>
      <c r="G1248" s="16" t="inlineStr">
        <is>
          <t>1. New request; method POST; URL to an echo endpoint.
2. Auth type OAuth2PKCE; configure minimum credentials.
3. Body type form-data; provide minimum valid content.
4. Send and inspect outgoing wire request (DevTools/proxy).</t>
        </is>
      </c>
      <c r="H1248" s="16" t="inlineStr">
        <is>
          <t>method=POST auth=OAuth2PKCE body=form-data</t>
        </is>
      </c>
      <c r="I1248" s="16" t="inlineStr">
        <is>
          <t>Access token acquired (or refreshed); attached as Bearer; POST sent with form-data body; server returns expected status.</t>
        </is>
      </c>
      <c r="J1248" s="16" t="inlineStr"/>
      <c r="K1248" s="16" t="inlineStr">
        <is>
          <t>Not Run</t>
        </is>
      </c>
      <c r="L1248" s="16" t="inlineStr">
        <is>
          <t>Medium</t>
        </is>
      </c>
      <c r="M1248" s="16" t="inlineStr"/>
      <c r="N1248" s="16" t="inlineStr"/>
      <c r="O1248" s="16" t="inlineStr"/>
    </row>
    <row r="1249" ht="72" customHeight="1">
      <c r="A1249" s="16" t="inlineStr">
        <is>
          <t>TC-MM-0206</t>
        </is>
      </c>
      <c r="B1249" s="16" t="inlineStr">
        <is>
          <t>Method x Body Matrix</t>
        </is>
      </c>
      <c r="C1249" s="16" t="inlineStr">
        <is>
          <t>POST + OAuth2PKCE + x-www-form-urlencoded</t>
        </is>
      </c>
      <c r="D1249" s="16" t="inlineStr">
        <is>
          <t>Functional</t>
        </is>
      </c>
      <c r="E1249" s="16" t="inlineStr">
        <is>
          <t>POST with OAuth2PKCE auth and x-www-form-urlencoded body</t>
        </is>
      </c>
      <c r="F1249" s="16" t="inlineStr">
        <is>
          <t>Editor open.</t>
        </is>
      </c>
      <c r="G1249" s="16" t="inlineStr">
        <is>
          <t>1. New request; method POST; URL to an echo endpoint.
2. Auth type OAuth2PKCE; configure minimum credentials.
3. Body type x-www-form-urlencoded; provide minimum valid content.
4. Send and inspect outgoing wire request (DevTools/proxy).</t>
        </is>
      </c>
      <c r="H1249" s="16" t="inlineStr">
        <is>
          <t>method=POST auth=OAuth2PKCE body=x-www-form-urlencoded</t>
        </is>
      </c>
      <c r="I1249" s="16" t="inlineStr">
        <is>
          <t>Access token acquired (or refreshed); attached as Bearer; POST sent with x-www-form-urlencoded body; server returns expected status.</t>
        </is>
      </c>
      <c r="J1249" s="16" t="inlineStr"/>
      <c r="K1249" s="16" t="inlineStr">
        <is>
          <t>Not Run</t>
        </is>
      </c>
      <c r="L1249" s="16" t="inlineStr">
        <is>
          <t>Medium</t>
        </is>
      </c>
      <c r="M1249" s="16" t="inlineStr"/>
      <c r="N1249" s="16" t="inlineStr"/>
      <c r="O1249" s="16" t="inlineStr"/>
    </row>
    <row r="1250" ht="72" customHeight="1">
      <c r="A1250" s="16" t="inlineStr">
        <is>
          <t>TC-MM-0207</t>
        </is>
      </c>
      <c r="B1250" s="16" t="inlineStr">
        <is>
          <t>Method x Body Matrix</t>
        </is>
      </c>
      <c r="C1250" s="16" t="inlineStr">
        <is>
          <t>POST + OAuth2PKCE + raw-json</t>
        </is>
      </c>
      <c r="D1250" s="16" t="inlineStr">
        <is>
          <t>Functional</t>
        </is>
      </c>
      <c r="E1250" s="16" t="inlineStr">
        <is>
          <t>POST with OAuth2PKCE auth and raw-json body</t>
        </is>
      </c>
      <c r="F1250" s="16" t="inlineStr">
        <is>
          <t>Editor open.</t>
        </is>
      </c>
      <c r="G1250" s="16" t="inlineStr">
        <is>
          <t>1. New request; method POST; URL to an echo endpoint.
2. Auth type OAuth2PKCE; configure minimum credentials.
3. Body type raw-json; provide minimum valid content.
4. Send and inspect outgoing wire request (DevTools/proxy).</t>
        </is>
      </c>
      <c r="H1250" s="16" t="inlineStr">
        <is>
          <t>method=POST auth=OAuth2PKCE body=raw-json</t>
        </is>
      </c>
      <c r="I1250" s="16" t="inlineStr">
        <is>
          <t>Access token acquired (or refreshed); attached as Bearer; POST sent with raw-json body; server returns expected status.</t>
        </is>
      </c>
      <c r="J1250" s="16" t="inlineStr"/>
      <c r="K1250" s="16" t="inlineStr">
        <is>
          <t>Not Run</t>
        </is>
      </c>
      <c r="L1250" s="16" t="inlineStr">
        <is>
          <t>Medium</t>
        </is>
      </c>
      <c r="M1250" s="16" t="inlineStr"/>
      <c r="N1250" s="16" t="inlineStr"/>
      <c r="O1250" s="16" t="inlineStr"/>
    </row>
    <row r="1251" ht="72" customHeight="1">
      <c r="A1251" s="16" t="inlineStr">
        <is>
          <t>TC-MM-0208</t>
        </is>
      </c>
      <c r="B1251" s="16" t="inlineStr">
        <is>
          <t>Method x Body Matrix</t>
        </is>
      </c>
      <c r="C1251" s="16" t="inlineStr">
        <is>
          <t>POST + OAuth2PKCE + raw-xml</t>
        </is>
      </c>
      <c r="D1251" s="16" t="inlineStr">
        <is>
          <t>Functional</t>
        </is>
      </c>
      <c r="E1251" s="16" t="inlineStr">
        <is>
          <t>POST with OAuth2PKCE auth and raw-xml body</t>
        </is>
      </c>
      <c r="F1251" s="16" t="inlineStr">
        <is>
          <t>Editor open.</t>
        </is>
      </c>
      <c r="G1251" s="16" t="inlineStr">
        <is>
          <t>1. New request; method POST; URL to an echo endpoint.
2. Auth type OAuth2PKCE; configure minimum credentials.
3. Body type raw-xml; provide minimum valid content.
4. Send and inspect outgoing wire request (DevTools/proxy).</t>
        </is>
      </c>
      <c r="H1251" s="16" t="inlineStr">
        <is>
          <t>method=POST auth=OAuth2PKCE body=raw-xml</t>
        </is>
      </c>
      <c r="I1251" s="16" t="inlineStr">
        <is>
          <t>Access token acquired (or refreshed); attached as Bearer; POST sent with raw-xml body; server returns expected status.</t>
        </is>
      </c>
      <c r="J1251" s="16" t="inlineStr"/>
      <c r="K1251" s="16" t="inlineStr">
        <is>
          <t>Not Run</t>
        </is>
      </c>
      <c r="L1251" s="16" t="inlineStr">
        <is>
          <t>Medium</t>
        </is>
      </c>
      <c r="M1251" s="16" t="inlineStr"/>
      <c r="N1251" s="16" t="inlineStr"/>
      <c r="O1251" s="16" t="inlineStr"/>
    </row>
    <row r="1252" ht="72" customHeight="1">
      <c r="A1252" s="16" t="inlineStr">
        <is>
          <t>TC-MM-0209</t>
        </is>
      </c>
      <c r="B1252" s="16" t="inlineStr">
        <is>
          <t>Method x Body Matrix</t>
        </is>
      </c>
      <c r="C1252" s="16" t="inlineStr">
        <is>
          <t>POST + OAuth2PKCE + raw-text</t>
        </is>
      </c>
      <c r="D1252" s="16" t="inlineStr">
        <is>
          <t>Functional</t>
        </is>
      </c>
      <c r="E1252" s="16" t="inlineStr">
        <is>
          <t>POST with OAuth2PKCE auth and raw-text body</t>
        </is>
      </c>
      <c r="F1252" s="16" t="inlineStr">
        <is>
          <t>Editor open.</t>
        </is>
      </c>
      <c r="G1252" s="16" t="inlineStr">
        <is>
          <t>1. New request; method POST; URL to an echo endpoint.
2. Auth type OAuth2PKCE; configure minimum credentials.
3. Body type raw-text; provide minimum valid content.
4. Send and inspect outgoing wire request (DevTools/proxy).</t>
        </is>
      </c>
      <c r="H1252" s="16" t="inlineStr">
        <is>
          <t>method=POST auth=OAuth2PKCE body=raw-text</t>
        </is>
      </c>
      <c r="I1252" s="16" t="inlineStr">
        <is>
          <t>Access token acquired (or refreshed); attached as Bearer; POST sent with raw-text body; server returns expected status.</t>
        </is>
      </c>
      <c r="J1252" s="16" t="inlineStr"/>
      <c r="K1252" s="16" t="inlineStr">
        <is>
          <t>Not Run</t>
        </is>
      </c>
      <c r="L1252" s="16" t="inlineStr">
        <is>
          <t>Medium</t>
        </is>
      </c>
      <c r="M1252" s="16" t="inlineStr"/>
      <c r="N1252" s="16" t="inlineStr"/>
      <c r="O1252" s="16" t="inlineStr"/>
    </row>
    <row r="1253" ht="72" customHeight="1">
      <c r="A1253" s="16" t="inlineStr">
        <is>
          <t>TC-MM-0210</t>
        </is>
      </c>
      <c r="B1253" s="16" t="inlineStr">
        <is>
          <t>Method x Body Matrix</t>
        </is>
      </c>
      <c r="C1253" s="16" t="inlineStr">
        <is>
          <t>POST + OAuth2PKCE + binary</t>
        </is>
      </c>
      <c r="D1253" s="16" t="inlineStr">
        <is>
          <t>Functional</t>
        </is>
      </c>
      <c r="E1253" s="16" t="inlineStr">
        <is>
          <t>POST with OAuth2PKCE auth and binary body</t>
        </is>
      </c>
      <c r="F1253" s="16" t="inlineStr">
        <is>
          <t>Editor open.</t>
        </is>
      </c>
      <c r="G1253" s="16" t="inlineStr">
        <is>
          <t>1. New request; method POST; URL to an echo endpoint.
2. Auth type OAuth2PKCE; configure minimum credentials.
3. Body type binary; provide minimum valid content.
4. Send and inspect outgoing wire request (DevTools/proxy).</t>
        </is>
      </c>
      <c r="H1253" s="16" t="inlineStr">
        <is>
          <t>method=POST auth=OAuth2PKCE body=binary</t>
        </is>
      </c>
      <c r="I1253" s="16" t="inlineStr">
        <is>
          <t>Access token acquired (or refreshed); attached as Bearer; POST sent with binary body; server returns expected status.</t>
        </is>
      </c>
      <c r="J1253" s="16" t="inlineStr"/>
      <c r="K1253" s="16" t="inlineStr">
        <is>
          <t>Not Run</t>
        </is>
      </c>
      <c r="L1253" s="16" t="inlineStr">
        <is>
          <t>Medium</t>
        </is>
      </c>
      <c r="M1253" s="16" t="inlineStr"/>
      <c r="N1253" s="16" t="inlineStr"/>
      <c r="O1253" s="16" t="inlineStr"/>
    </row>
    <row r="1254" ht="72" customHeight="1">
      <c r="A1254" s="16" t="inlineStr">
        <is>
          <t>TC-MM-0211</t>
        </is>
      </c>
      <c r="B1254" s="16" t="inlineStr">
        <is>
          <t>Method x Body Matrix</t>
        </is>
      </c>
      <c r="C1254" s="16" t="inlineStr">
        <is>
          <t>POST + OAuth2PKCE + graphql</t>
        </is>
      </c>
      <c r="D1254" s="16" t="inlineStr">
        <is>
          <t>Functional</t>
        </is>
      </c>
      <c r="E1254" s="16" t="inlineStr">
        <is>
          <t>POST with OAuth2PKCE auth and graphql body</t>
        </is>
      </c>
      <c r="F1254" s="16" t="inlineStr">
        <is>
          <t>Editor open.</t>
        </is>
      </c>
      <c r="G1254" s="16" t="inlineStr">
        <is>
          <t>1. New request; method POST; URL to an echo endpoint.
2. Auth type OAuth2PKCE; configure minimum credentials.
3. Body type graphql; provide minimum valid content.
4. Send and inspect outgoing wire request (DevTools/proxy).</t>
        </is>
      </c>
      <c r="H1254" s="16" t="inlineStr">
        <is>
          <t>method=POST auth=OAuth2PKCE body=graphql</t>
        </is>
      </c>
      <c r="I1254" s="16" t="inlineStr">
        <is>
          <t>Access token acquired (or refreshed); attached as Bearer; POST sent with graphql body; server returns expected status.</t>
        </is>
      </c>
      <c r="J1254" s="16" t="inlineStr"/>
      <c r="K1254" s="16" t="inlineStr">
        <is>
          <t>Not Run</t>
        </is>
      </c>
      <c r="L1254" s="16" t="inlineStr">
        <is>
          <t>Medium</t>
        </is>
      </c>
      <c r="M1254" s="16" t="inlineStr"/>
      <c r="N1254" s="16" t="inlineStr"/>
      <c r="O1254" s="16" t="inlineStr"/>
    </row>
    <row r="1255" ht="72" customHeight="1">
      <c r="A1255" s="16" t="inlineStr">
        <is>
          <t>TC-MM-0212</t>
        </is>
      </c>
      <c r="B1255" s="16" t="inlineStr">
        <is>
          <t>Method x Body Matrix</t>
        </is>
      </c>
      <c r="C1255" s="16" t="inlineStr">
        <is>
          <t>POST + Digest + none</t>
        </is>
      </c>
      <c r="D1255" s="16" t="inlineStr">
        <is>
          <t>Functional</t>
        </is>
      </c>
      <c r="E1255" s="16" t="inlineStr">
        <is>
          <t>POST with Digest auth and none body</t>
        </is>
      </c>
      <c r="F1255" s="16" t="inlineStr">
        <is>
          <t>Editor open.</t>
        </is>
      </c>
      <c r="G1255" s="16" t="inlineStr">
        <is>
          <t>1. New request; method POST; URL to an echo endpoint.
2. Auth type Digest; configure minimum credentials.
3. Body type none; provide minimum valid content.
4. Send and inspect outgoing wire request (DevTools/proxy).</t>
        </is>
      </c>
      <c r="H1255" s="16" t="inlineStr">
        <is>
          <t>method=POST auth=Digest body=none</t>
        </is>
      </c>
      <c r="I1255" s="16" t="inlineStr">
        <is>
          <t>Digest auth applied correctly; none body sent with right Content-Type; server returns expected status.</t>
        </is>
      </c>
      <c r="J1255" s="16" t="inlineStr"/>
      <c r="K1255" s="16" t="inlineStr">
        <is>
          <t>Not Run</t>
        </is>
      </c>
      <c r="L1255" s="16" t="inlineStr">
        <is>
          <t>Medium</t>
        </is>
      </c>
      <c r="M1255" s="16" t="inlineStr"/>
      <c r="N1255" s="16" t="inlineStr"/>
      <c r="O1255" s="16" t="inlineStr"/>
    </row>
    <row r="1256" ht="72" customHeight="1">
      <c r="A1256" s="16" t="inlineStr">
        <is>
          <t>TC-MM-0213</t>
        </is>
      </c>
      <c r="B1256" s="16" t="inlineStr">
        <is>
          <t>Method x Body Matrix</t>
        </is>
      </c>
      <c r="C1256" s="16" t="inlineStr">
        <is>
          <t>POST + Digest + form-data</t>
        </is>
      </c>
      <c r="D1256" s="16" t="inlineStr">
        <is>
          <t>Functional</t>
        </is>
      </c>
      <c r="E1256" s="16" t="inlineStr">
        <is>
          <t>POST with Digest auth and form-data body</t>
        </is>
      </c>
      <c r="F1256" s="16" t="inlineStr">
        <is>
          <t>Editor open.</t>
        </is>
      </c>
      <c r="G1256" s="16" t="inlineStr">
        <is>
          <t>1. New request; method POST; URL to an echo endpoint.
2. Auth type Digest; configure minimum credentials.
3. Body type form-data; provide minimum valid content.
4. Send and inspect outgoing wire request (DevTools/proxy).</t>
        </is>
      </c>
      <c r="H1256" s="16" t="inlineStr">
        <is>
          <t>method=POST auth=Digest body=form-data</t>
        </is>
      </c>
      <c r="I1256" s="16" t="inlineStr">
        <is>
          <t>Digest challenge handled even though body is buffered; retry sends same body. Final status OK if creds valid.</t>
        </is>
      </c>
      <c r="J1256" s="16" t="inlineStr"/>
      <c r="K1256" s="16" t="inlineStr">
        <is>
          <t>Not Run</t>
        </is>
      </c>
      <c r="L1256" s="16" t="inlineStr">
        <is>
          <t>Medium</t>
        </is>
      </c>
      <c r="M1256" s="16" t="inlineStr"/>
      <c r="N1256" s="16" t="inlineStr"/>
      <c r="O1256" s="16" t="inlineStr"/>
    </row>
    <row r="1257" ht="72" customHeight="1">
      <c r="A1257" s="16" t="inlineStr">
        <is>
          <t>TC-MM-0214</t>
        </is>
      </c>
      <c r="B1257" s="16" t="inlineStr">
        <is>
          <t>Method x Body Matrix</t>
        </is>
      </c>
      <c r="C1257" s="16" t="inlineStr">
        <is>
          <t>POST + Digest + x-www-form-urlencoded</t>
        </is>
      </c>
      <c r="D1257" s="16" t="inlineStr">
        <is>
          <t>Functional</t>
        </is>
      </c>
      <c r="E1257" s="16" t="inlineStr">
        <is>
          <t>POST with Digest auth and x-www-form-urlencoded body</t>
        </is>
      </c>
      <c r="F1257" s="16" t="inlineStr">
        <is>
          <t>Editor open.</t>
        </is>
      </c>
      <c r="G1257" s="16" t="inlineStr">
        <is>
          <t>1. New request; method POST; URL to an echo endpoint.
2. Auth type Digest; configure minimum credentials.
3. Body type x-www-form-urlencoded; provide minimum valid content.
4. Send and inspect outgoing wire request (DevTools/proxy).</t>
        </is>
      </c>
      <c r="H1257" s="16" t="inlineStr">
        <is>
          <t>method=POST auth=Digest body=x-www-form-urlencoded</t>
        </is>
      </c>
      <c r="I1257" s="16" t="inlineStr">
        <is>
          <t>Digest challenge handled even though body is buffered; retry sends same body. Final status OK if creds valid.</t>
        </is>
      </c>
      <c r="J1257" s="16" t="inlineStr"/>
      <c r="K1257" s="16" t="inlineStr">
        <is>
          <t>Not Run</t>
        </is>
      </c>
      <c r="L1257" s="16" t="inlineStr">
        <is>
          <t>Medium</t>
        </is>
      </c>
      <c r="M1257" s="16" t="inlineStr"/>
      <c r="N1257" s="16" t="inlineStr"/>
      <c r="O1257" s="16" t="inlineStr"/>
    </row>
    <row r="1258" ht="72" customHeight="1">
      <c r="A1258" s="16" t="inlineStr">
        <is>
          <t>TC-MM-0215</t>
        </is>
      </c>
      <c r="B1258" s="16" t="inlineStr">
        <is>
          <t>Method x Body Matrix</t>
        </is>
      </c>
      <c r="C1258" s="16" t="inlineStr">
        <is>
          <t>POST + Digest + raw-json</t>
        </is>
      </c>
      <c r="D1258" s="16" t="inlineStr">
        <is>
          <t>Functional</t>
        </is>
      </c>
      <c r="E1258" s="16" t="inlineStr">
        <is>
          <t>POST with Digest auth and raw-json body</t>
        </is>
      </c>
      <c r="F1258" s="16" t="inlineStr">
        <is>
          <t>Editor open.</t>
        </is>
      </c>
      <c r="G1258" s="16" t="inlineStr">
        <is>
          <t>1. New request; method POST; URL to an echo endpoint.
2. Auth type Digest; configure minimum credentials.
3. Body type raw-json; provide minimum valid content.
4. Send and inspect outgoing wire request (DevTools/proxy).</t>
        </is>
      </c>
      <c r="H1258" s="16" t="inlineStr">
        <is>
          <t>method=POST auth=Digest body=raw-json</t>
        </is>
      </c>
      <c r="I1258" s="16" t="inlineStr">
        <is>
          <t>Digest challenge handled even though body is buffered; retry sends same body. Final status OK if creds valid.</t>
        </is>
      </c>
      <c r="J1258" s="16" t="inlineStr"/>
      <c r="K1258" s="16" t="inlineStr">
        <is>
          <t>Not Run</t>
        </is>
      </c>
      <c r="L1258" s="16" t="inlineStr">
        <is>
          <t>Medium</t>
        </is>
      </c>
      <c r="M1258" s="16" t="inlineStr"/>
      <c r="N1258" s="16" t="inlineStr"/>
      <c r="O1258" s="16" t="inlineStr"/>
    </row>
    <row r="1259" ht="72" customHeight="1">
      <c r="A1259" s="16" t="inlineStr">
        <is>
          <t>TC-MM-0216</t>
        </is>
      </c>
      <c r="B1259" s="16" t="inlineStr">
        <is>
          <t>Method x Body Matrix</t>
        </is>
      </c>
      <c r="C1259" s="16" t="inlineStr">
        <is>
          <t>POST + Digest + raw-xml</t>
        </is>
      </c>
      <c r="D1259" s="16" t="inlineStr">
        <is>
          <t>Functional</t>
        </is>
      </c>
      <c r="E1259" s="16" t="inlineStr">
        <is>
          <t>POST with Digest auth and raw-xml body</t>
        </is>
      </c>
      <c r="F1259" s="16" t="inlineStr">
        <is>
          <t>Editor open.</t>
        </is>
      </c>
      <c r="G1259" s="16" t="inlineStr">
        <is>
          <t>1. New request; method POST; URL to an echo endpoint.
2. Auth type Digest; configure minimum credentials.
3. Body type raw-xml; provide minimum valid content.
4. Send and inspect outgoing wire request (DevTools/proxy).</t>
        </is>
      </c>
      <c r="H1259" s="16" t="inlineStr">
        <is>
          <t>method=POST auth=Digest body=raw-xml</t>
        </is>
      </c>
      <c r="I1259" s="16" t="inlineStr">
        <is>
          <t>Digest challenge handled even though body is buffered; retry sends same body. Final status OK if creds valid.</t>
        </is>
      </c>
      <c r="J1259" s="16" t="inlineStr"/>
      <c r="K1259" s="16" t="inlineStr">
        <is>
          <t>Not Run</t>
        </is>
      </c>
      <c r="L1259" s="16" t="inlineStr">
        <is>
          <t>Medium</t>
        </is>
      </c>
      <c r="M1259" s="16" t="inlineStr"/>
      <c r="N1259" s="16" t="inlineStr"/>
      <c r="O1259" s="16" t="inlineStr"/>
    </row>
    <row r="1260" ht="72" customHeight="1">
      <c r="A1260" s="16" t="inlineStr">
        <is>
          <t>TC-MM-0217</t>
        </is>
      </c>
      <c r="B1260" s="16" t="inlineStr">
        <is>
          <t>Method x Body Matrix</t>
        </is>
      </c>
      <c r="C1260" s="16" t="inlineStr">
        <is>
          <t>POST + Digest + raw-text</t>
        </is>
      </c>
      <c r="D1260" s="16" t="inlineStr">
        <is>
          <t>Functional</t>
        </is>
      </c>
      <c r="E1260" s="16" t="inlineStr">
        <is>
          <t>POST with Digest auth and raw-text body</t>
        </is>
      </c>
      <c r="F1260" s="16" t="inlineStr">
        <is>
          <t>Editor open.</t>
        </is>
      </c>
      <c r="G1260" s="16" t="inlineStr">
        <is>
          <t>1. New request; method POST; URL to an echo endpoint.
2. Auth type Digest; configure minimum credentials.
3. Body type raw-text; provide minimum valid content.
4. Send and inspect outgoing wire request (DevTools/proxy).</t>
        </is>
      </c>
      <c r="H1260" s="16" t="inlineStr">
        <is>
          <t>method=POST auth=Digest body=raw-text</t>
        </is>
      </c>
      <c r="I1260" s="16" t="inlineStr">
        <is>
          <t>Digest challenge handled even though body is buffered; retry sends same body. Final status OK if creds valid.</t>
        </is>
      </c>
      <c r="J1260" s="16" t="inlineStr"/>
      <c r="K1260" s="16" t="inlineStr">
        <is>
          <t>Not Run</t>
        </is>
      </c>
      <c r="L1260" s="16" t="inlineStr">
        <is>
          <t>Medium</t>
        </is>
      </c>
      <c r="M1260" s="16" t="inlineStr"/>
      <c r="N1260" s="16" t="inlineStr"/>
      <c r="O1260" s="16" t="inlineStr"/>
    </row>
    <row r="1261" ht="72" customHeight="1">
      <c r="A1261" s="16" t="inlineStr">
        <is>
          <t>TC-MM-0218</t>
        </is>
      </c>
      <c r="B1261" s="16" t="inlineStr">
        <is>
          <t>Method x Body Matrix</t>
        </is>
      </c>
      <c r="C1261" s="16" t="inlineStr">
        <is>
          <t>POST + Digest + binary</t>
        </is>
      </c>
      <c r="D1261" s="16" t="inlineStr">
        <is>
          <t>Functional</t>
        </is>
      </c>
      <c r="E1261" s="16" t="inlineStr">
        <is>
          <t>POST with Digest auth and binary body</t>
        </is>
      </c>
      <c r="F1261" s="16" t="inlineStr">
        <is>
          <t>Editor open.</t>
        </is>
      </c>
      <c r="G1261" s="16" t="inlineStr">
        <is>
          <t>1. New request; method POST; URL to an echo endpoint.
2. Auth type Digest; configure minimum credentials.
3. Body type binary; provide minimum valid content.
4. Send and inspect outgoing wire request (DevTools/proxy).</t>
        </is>
      </c>
      <c r="H1261" s="16" t="inlineStr">
        <is>
          <t>method=POST auth=Digest body=binary</t>
        </is>
      </c>
      <c r="I1261" s="16" t="inlineStr">
        <is>
          <t>Digest challenge handled even though body is buffered; retry sends same body. Final status OK if creds valid.</t>
        </is>
      </c>
      <c r="J1261" s="16" t="inlineStr"/>
      <c r="K1261" s="16" t="inlineStr">
        <is>
          <t>Not Run</t>
        </is>
      </c>
      <c r="L1261" s="16" t="inlineStr">
        <is>
          <t>Medium</t>
        </is>
      </c>
      <c r="M1261" s="16" t="inlineStr"/>
      <c r="N1261" s="16" t="inlineStr"/>
      <c r="O1261" s="16" t="inlineStr"/>
    </row>
    <row r="1262" ht="72" customHeight="1">
      <c r="A1262" s="16" t="inlineStr">
        <is>
          <t>TC-MM-0219</t>
        </is>
      </c>
      <c r="B1262" s="16" t="inlineStr">
        <is>
          <t>Method x Body Matrix</t>
        </is>
      </c>
      <c r="C1262" s="16" t="inlineStr">
        <is>
          <t>POST + Digest + graphql</t>
        </is>
      </c>
      <c r="D1262" s="16" t="inlineStr">
        <is>
          <t>Functional</t>
        </is>
      </c>
      <c r="E1262" s="16" t="inlineStr">
        <is>
          <t>POST with Digest auth and graphql body</t>
        </is>
      </c>
      <c r="F1262" s="16" t="inlineStr">
        <is>
          <t>Editor open.</t>
        </is>
      </c>
      <c r="G1262" s="16" t="inlineStr">
        <is>
          <t>1. New request; method POST; URL to an echo endpoint.
2. Auth type Digest; configure minimum credentials.
3. Body type graphql; provide minimum valid content.
4. Send and inspect outgoing wire request (DevTools/proxy).</t>
        </is>
      </c>
      <c r="H1262" s="16" t="inlineStr">
        <is>
          <t>method=POST auth=Digest body=graphql</t>
        </is>
      </c>
      <c r="I1262" s="16" t="inlineStr">
        <is>
          <t>Digest challenge handled even though body is buffered; retry sends same body. Final status OK if creds valid.</t>
        </is>
      </c>
      <c r="J1262" s="16" t="inlineStr"/>
      <c r="K1262" s="16" t="inlineStr">
        <is>
          <t>Not Run</t>
        </is>
      </c>
      <c r="L1262" s="16" t="inlineStr">
        <is>
          <t>Medium</t>
        </is>
      </c>
      <c r="M1262" s="16" t="inlineStr"/>
      <c r="N1262" s="16" t="inlineStr"/>
      <c r="O1262" s="16" t="inlineStr"/>
    </row>
    <row r="1263" ht="72" customHeight="1">
      <c r="A1263" s="16" t="inlineStr">
        <is>
          <t>TC-MM-0220</t>
        </is>
      </c>
      <c r="B1263" s="16" t="inlineStr">
        <is>
          <t>Method x Body Matrix</t>
        </is>
      </c>
      <c r="C1263" s="16" t="inlineStr">
        <is>
          <t>POST + NTLM + none</t>
        </is>
      </c>
      <c r="D1263" s="16" t="inlineStr">
        <is>
          <t>Functional</t>
        </is>
      </c>
      <c r="E1263" s="16" t="inlineStr">
        <is>
          <t>POST with NTLM auth and none body</t>
        </is>
      </c>
      <c r="F1263" s="16" t="inlineStr">
        <is>
          <t>Editor open.</t>
        </is>
      </c>
      <c r="G1263" s="16" t="inlineStr">
        <is>
          <t>1. New request; method POST; URL to an echo endpoint.
2. Auth type NTLM; configure minimum credentials.
3. Body type none; provide minimum valid content.
4. Send and inspect outgoing wire request (DevTools/proxy).</t>
        </is>
      </c>
      <c r="H1263" s="16" t="inlineStr">
        <is>
          <t>method=POST auth=NTLM body=none</t>
        </is>
      </c>
      <c r="I1263" s="16" t="inlineStr">
        <is>
          <t>NTLM auth applied correctly; none body sent with right Content-Type; server returns expected status.</t>
        </is>
      </c>
      <c r="J1263" s="16" t="inlineStr"/>
      <c r="K1263" s="16" t="inlineStr">
        <is>
          <t>Not Run</t>
        </is>
      </c>
      <c r="L1263" s="16" t="inlineStr">
        <is>
          <t>Medium</t>
        </is>
      </c>
      <c r="M1263" s="16" t="inlineStr"/>
      <c r="N1263" s="16" t="inlineStr"/>
      <c r="O1263" s="16" t="inlineStr"/>
    </row>
    <row r="1264" ht="72" customHeight="1">
      <c r="A1264" s="16" t="inlineStr">
        <is>
          <t>TC-MM-0221</t>
        </is>
      </c>
      <c r="B1264" s="16" t="inlineStr">
        <is>
          <t>Method x Body Matrix</t>
        </is>
      </c>
      <c r="C1264" s="16" t="inlineStr">
        <is>
          <t>POST + NTLM + form-data</t>
        </is>
      </c>
      <c r="D1264" s="16" t="inlineStr">
        <is>
          <t>Edge Case</t>
        </is>
      </c>
      <c r="E1264" s="16" t="inlineStr">
        <is>
          <t>POST with NTLM auth and form-data body</t>
        </is>
      </c>
      <c r="F1264" s="16" t="inlineStr">
        <is>
          <t>Editor open.</t>
        </is>
      </c>
      <c r="G1264" s="16" t="inlineStr">
        <is>
          <t>1. New request; method POST; URL to an echo endpoint.
2. Auth type NTLM; configure minimum credentials.
3. Body type form-data; provide minimum valid content.
4. Send and inspect outgoing wire request (DevTools/proxy).</t>
        </is>
      </c>
      <c r="H1264" s="16" t="inlineStr">
        <is>
          <t>method=POST auth=NTLM body=form-data</t>
        </is>
      </c>
      <c r="I1264" s="16" t="inlineStr">
        <is>
          <t>NTLM 3-way handshake; body re-transmitted on Authenticate step. App handles body buffering across handshake without truncation.</t>
        </is>
      </c>
      <c r="J1264" s="16" t="inlineStr"/>
      <c r="K1264" s="16" t="inlineStr">
        <is>
          <t>Not Run</t>
        </is>
      </c>
      <c r="L1264" s="16" t="inlineStr">
        <is>
          <t>Medium</t>
        </is>
      </c>
      <c r="M1264" s="16" t="inlineStr"/>
      <c r="N1264" s="16" t="inlineStr"/>
      <c r="O1264" s="16" t="inlineStr"/>
    </row>
    <row r="1265" ht="72" customHeight="1">
      <c r="A1265" s="16" t="inlineStr">
        <is>
          <t>TC-MM-0222</t>
        </is>
      </c>
      <c r="B1265" s="16" t="inlineStr">
        <is>
          <t>Method x Body Matrix</t>
        </is>
      </c>
      <c r="C1265" s="16" t="inlineStr">
        <is>
          <t>POST + NTLM + x-www-form-urlencoded</t>
        </is>
      </c>
      <c r="D1265" s="16" t="inlineStr">
        <is>
          <t>Edge Case</t>
        </is>
      </c>
      <c r="E1265" s="16" t="inlineStr">
        <is>
          <t>POST with NTLM auth and x-www-form-urlencoded body</t>
        </is>
      </c>
      <c r="F1265" s="16" t="inlineStr">
        <is>
          <t>Editor open.</t>
        </is>
      </c>
      <c r="G1265" s="16" t="inlineStr">
        <is>
          <t>1. New request; method POST; URL to an echo endpoint.
2. Auth type NTLM; configure minimum credentials.
3. Body type x-www-form-urlencoded; provide minimum valid content.
4. Send and inspect outgoing wire request (DevTools/proxy).</t>
        </is>
      </c>
      <c r="H1265" s="16" t="inlineStr">
        <is>
          <t>method=POST auth=NTLM body=x-www-form-urlencoded</t>
        </is>
      </c>
      <c r="I1265" s="16" t="inlineStr">
        <is>
          <t>NTLM 3-way handshake; body re-transmitted on Authenticate step. App handles body buffering across handshake without truncation.</t>
        </is>
      </c>
      <c r="J1265" s="16" t="inlineStr"/>
      <c r="K1265" s="16" t="inlineStr">
        <is>
          <t>Not Run</t>
        </is>
      </c>
      <c r="L1265" s="16" t="inlineStr">
        <is>
          <t>Medium</t>
        </is>
      </c>
      <c r="M1265" s="16" t="inlineStr"/>
      <c r="N1265" s="16" t="inlineStr"/>
      <c r="O1265" s="16" t="inlineStr"/>
    </row>
    <row r="1266" ht="72" customHeight="1">
      <c r="A1266" s="16" t="inlineStr">
        <is>
          <t>TC-MM-0223</t>
        </is>
      </c>
      <c r="B1266" s="16" t="inlineStr">
        <is>
          <t>Method x Body Matrix</t>
        </is>
      </c>
      <c r="C1266" s="16" t="inlineStr">
        <is>
          <t>POST + NTLM + raw-json</t>
        </is>
      </c>
      <c r="D1266" s="16" t="inlineStr">
        <is>
          <t>Edge Case</t>
        </is>
      </c>
      <c r="E1266" s="16" t="inlineStr">
        <is>
          <t>POST with NTLM auth and raw-json body</t>
        </is>
      </c>
      <c r="F1266" s="16" t="inlineStr">
        <is>
          <t>Editor open.</t>
        </is>
      </c>
      <c r="G1266" s="16" t="inlineStr">
        <is>
          <t>1. New request; method POST; URL to an echo endpoint.
2. Auth type NTLM; configure minimum credentials.
3. Body type raw-json; provide minimum valid content.
4. Send and inspect outgoing wire request (DevTools/proxy).</t>
        </is>
      </c>
      <c r="H1266" s="16" t="inlineStr">
        <is>
          <t>method=POST auth=NTLM body=raw-json</t>
        </is>
      </c>
      <c r="I1266" s="16" t="inlineStr">
        <is>
          <t>NTLM 3-way handshake; body re-transmitted on Authenticate step. App handles body buffering across handshake without truncation.</t>
        </is>
      </c>
      <c r="J1266" s="16" t="inlineStr"/>
      <c r="K1266" s="16" t="inlineStr">
        <is>
          <t>Not Run</t>
        </is>
      </c>
      <c r="L1266" s="16" t="inlineStr">
        <is>
          <t>Medium</t>
        </is>
      </c>
      <c r="M1266" s="16" t="inlineStr"/>
      <c r="N1266" s="16" t="inlineStr"/>
      <c r="O1266" s="16" t="inlineStr"/>
    </row>
    <row r="1267" ht="72" customHeight="1">
      <c r="A1267" s="16" t="inlineStr">
        <is>
          <t>TC-MM-0224</t>
        </is>
      </c>
      <c r="B1267" s="16" t="inlineStr">
        <is>
          <t>Method x Body Matrix</t>
        </is>
      </c>
      <c r="C1267" s="16" t="inlineStr">
        <is>
          <t>POST + NTLM + raw-xml</t>
        </is>
      </c>
      <c r="D1267" s="16" t="inlineStr">
        <is>
          <t>Edge Case</t>
        </is>
      </c>
      <c r="E1267" s="16" t="inlineStr">
        <is>
          <t>POST with NTLM auth and raw-xml body</t>
        </is>
      </c>
      <c r="F1267" s="16" t="inlineStr">
        <is>
          <t>Editor open.</t>
        </is>
      </c>
      <c r="G1267" s="16" t="inlineStr">
        <is>
          <t>1. New request; method POST; URL to an echo endpoint.
2. Auth type NTLM; configure minimum credentials.
3. Body type raw-xml; provide minimum valid content.
4. Send and inspect outgoing wire request (DevTools/proxy).</t>
        </is>
      </c>
      <c r="H1267" s="16" t="inlineStr">
        <is>
          <t>method=POST auth=NTLM body=raw-xml</t>
        </is>
      </c>
      <c r="I1267" s="16" t="inlineStr">
        <is>
          <t>NTLM 3-way handshake; body re-transmitted on Authenticate step. App handles body buffering across handshake without truncation.</t>
        </is>
      </c>
      <c r="J1267" s="16" t="inlineStr"/>
      <c r="K1267" s="16" t="inlineStr">
        <is>
          <t>Not Run</t>
        </is>
      </c>
      <c r="L1267" s="16" t="inlineStr">
        <is>
          <t>Medium</t>
        </is>
      </c>
      <c r="M1267" s="16" t="inlineStr"/>
      <c r="N1267" s="16" t="inlineStr"/>
      <c r="O1267" s="16" t="inlineStr"/>
    </row>
    <row r="1268" ht="72" customHeight="1">
      <c r="A1268" s="16" t="inlineStr">
        <is>
          <t>TC-MM-0225</t>
        </is>
      </c>
      <c r="B1268" s="16" t="inlineStr">
        <is>
          <t>Method x Body Matrix</t>
        </is>
      </c>
      <c r="C1268" s="16" t="inlineStr">
        <is>
          <t>POST + NTLM + raw-text</t>
        </is>
      </c>
      <c r="D1268" s="16" t="inlineStr">
        <is>
          <t>Edge Case</t>
        </is>
      </c>
      <c r="E1268" s="16" t="inlineStr">
        <is>
          <t>POST with NTLM auth and raw-text body</t>
        </is>
      </c>
      <c r="F1268" s="16" t="inlineStr">
        <is>
          <t>Editor open.</t>
        </is>
      </c>
      <c r="G1268" s="16" t="inlineStr">
        <is>
          <t>1. New request; method POST; URL to an echo endpoint.
2. Auth type NTLM; configure minimum credentials.
3. Body type raw-text; provide minimum valid content.
4. Send and inspect outgoing wire request (DevTools/proxy).</t>
        </is>
      </c>
      <c r="H1268" s="16" t="inlineStr">
        <is>
          <t>method=POST auth=NTLM body=raw-text</t>
        </is>
      </c>
      <c r="I1268" s="16" t="inlineStr">
        <is>
          <t>NTLM 3-way handshake; body re-transmitted on Authenticate step. App handles body buffering across handshake without truncation.</t>
        </is>
      </c>
      <c r="J1268" s="16" t="inlineStr"/>
      <c r="K1268" s="16" t="inlineStr">
        <is>
          <t>Not Run</t>
        </is>
      </c>
      <c r="L1268" s="16" t="inlineStr">
        <is>
          <t>Medium</t>
        </is>
      </c>
      <c r="M1268" s="16" t="inlineStr"/>
      <c r="N1268" s="16" t="inlineStr"/>
      <c r="O1268" s="16" t="inlineStr"/>
    </row>
    <row r="1269" ht="72" customHeight="1">
      <c r="A1269" s="16" t="inlineStr">
        <is>
          <t>TC-MM-0226</t>
        </is>
      </c>
      <c r="B1269" s="16" t="inlineStr">
        <is>
          <t>Method x Body Matrix</t>
        </is>
      </c>
      <c r="C1269" s="16" t="inlineStr">
        <is>
          <t>POST + NTLM + binary</t>
        </is>
      </c>
      <c r="D1269" s="16" t="inlineStr">
        <is>
          <t>Edge Case</t>
        </is>
      </c>
      <c r="E1269" s="16" t="inlineStr">
        <is>
          <t>POST with NTLM auth and binary body</t>
        </is>
      </c>
      <c r="F1269" s="16" t="inlineStr">
        <is>
          <t>Editor open.</t>
        </is>
      </c>
      <c r="G1269" s="16" t="inlineStr">
        <is>
          <t>1. New request; method POST; URL to an echo endpoint.
2. Auth type NTLM; configure minimum credentials.
3. Body type binary; provide minimum valid content.
4. Send and inspect outgoing wire request (DevTools/proxy).</t>
        </is>
      </c>
      <c r="H1269" s="16" t="inlineStr">
        <is>
          <t>method=POST auth=NTLM body=binary</t>
        </is>
      </c>
      <c r="I1269" s="16" t="inlineStr">
        <is>
          <t>NTLM 3-way handshake; body re-transmitted on Authenticate step. App handles body buffering across handshake without truncation.</t>
        </is>
      </c>
      <c r="J1269" s="16" t="inlineStr"/>
      <c r="K1269" s="16" t="inlineStr">
        <is>
          <t>Not Run</t>
        </is>
      </c>
      <c r="L1269" s="16" t="inlineStr">
        <is>
          <t>Medium</t>
        </is>
      </c>
      <c r="M1269" s="16" t="inlineStr"/>
      <c r="N1269" s="16" t="inlineStr"/>
      <c r="O1269" s="16" t="inlineStr"/>
    </row>
    <row r="1270" ht="72" customHeight="1">
      <c r="A1270" s="16" t="inlineStr">
        <is>
          <t>TC-MM-0227</t>
        </is>
      </c>
      <c r="B1270" s="16" t="inlineStr">
        <is>
          <t>Method x Body Matrix</t>
        </is>
      </c>
      <c r="C1270" s="16" t="inlineStr">
        <is>
          <t>POST + NTLM + graphql</t>
        </is>
      </c>
      <c r="D1270" s="16" t="inlineStr">
        <is>
          <t>Edge Case</t>
        </is>
      </c>
      <c r="E1270" s="16" t="inlineStr">
        <is>
          <t>POST with NTLM auth and graphql body</t>
        </is>
      </c>
      <c r="F1270" s="16" t="inlineStr">
        <is>
          <t>Editor open.</t>
        </is>
      </c>
      <c r="G1270" s="16" t="inlineStr">
        <is>
          <t>1. New request; method POST; URL to an echo endpoint.
2. Auth type NTLM; configure minimum credentials.
3. Body type graphql; provide minimum valid content.
4. Send and inspect outgoing wire request (DevTools/proxy).</t>
        </is>
      </c>
      <c r="H1270" s="16" t="inlineStr">
        <is>
          <t>method=POST auth=NTLM body=graphql</t>
        </is>
      </c>
      <c r="I1270" s="16" t="inlineStr">
        <is>
          <t>NTLM 3-way handshake; body re-transmitted on Authenticate step. App handles body buffering across handshake without truncation.</t>
        </is>
      </c>
      <c r="J1270" s="16" t="inlineStr"/>
      <c r="K1270" s="16" t="inlineStr">
        <is>
          <t>Not Run</t>
        </is>
      </c>
      <c r="L1270" s="16" t="inlineStr">
        <is>
          <t>Medium</t>
        </is>
      </c>
      <c r="M1270" s="16" t="inlineStr"/>
      <c r="N1270" s="16" t="inlineStr"/>
      <c r="O1270" s="16" t="inlineStr"/>
    </row>
    <row r="1271" ht="72" customHeight="1">
      <c r="A1271" s="16" t="inlineStr">
        <is>
          <t>TC-MM-0228</t>
        </is>
      </c>
      <c r="B1271" s="16" t="inlineStr">
        <is>
          <t>Method x Body Matrix</t>
        </is>
      </c>
      <c r="C1271" s="16" t="inlineStr">
        <is>
          <t>PUT + None + none</t>
        </is>
      </c>
      <c r="D1271" s="16" t="inlineStr">
        <is>
          <t>Functional</t>
        </is>
      </c>
      <c r="E1271" s="16" t="inlineStr">
        <is>
          <t>PUT with None auth and none body</t>
        </is>
      </c>
      <c r="F1271" s="16" t="inlineStr">
        <is>
          <t>Editor open.</t>
        </is>
      </c>
      <c r="G1271" s="16" t="inlineStr">
        <is>
          <t>1. New request; method PUT; URL to an echo endpoint.
2. Auth type None; configure minimum credentials.
3. Body type none; provide minimum valid content.
4. Send and inspect outgoing wire request (DevTools/proxy).</t>
        </is>
      </c>
      <c r="H1271" s="16" t="inlineStr">
        <is>
          <t>method=PUT auth=None body=none</t>
        </is>
      </c>
      <c r="I1271" s="16" t="inlineStr">
        <is>
          <t>No Authorization header on PUT; none body sent if applicable.</t>
        </is>
      </c>
      <c r="J1271" s="16" t="inlineStr"/>
      <c r="K1271" s="16" t="inlineStr">
        <is>
          <t>Not Run</t>
        </is>
      </c>
      <c r="L1271" s="16" t="inlineStr">
        <is>
          <t>Low</t>
        </is>
      </c>
      <c r="M1271" s="16" t="inlineStr"/>
      <c r="N1271" s="16" t="inlineStr"/>
      <c r="O1271" s="16" t="inlineStr"/>
    </row>
    <row r="1272" ht="72" customHeight="1">
      <c r="A1272" s="16" t="inlineStr">
        <is>
          <t>TC-MM-0229</t>
        </is>
      </c>
      <c r="B1272" s="16" t="inlineStr">
        <is>
          <t>Method x Body Matrix</t>
        </is>
      </c>
      <c r="C1272" s="16" t="inlineStr">
        <is>
          <t>PUT + None + form-data</t>
        </is>
      </c>
      <c r="D1272" s="16" t="inlineStr">
        <is>
          <t>Functional</t>
        </is>
      </c>
      <c r="E1272" s="16" t="inlineStr">
        <is>
          <t>PUT with None auth and form-data body</t>
        </is>
      </c>
      <c r="F1272" s="16" t="inlineStr">
        <is>
          <t>Editor open.</t>
        </is>
      </c>
      <c r="G1272" s="16" t="inlineStr">
        <is>
          <t>1. New request; method PUT; URL to an echo endpoint.
2. Auth type None; configure minimum credentials.
3. Body type form-data; provide minimum valid content.
4. Send and inspect outgoing wire request (DevTools/proxy).</t>
        </is>
      </c>
      <c r="H1272" s="16" t="inlineStr">
        <is>
          <t>method=PUT auth=None body=form-data</t>
        </is>
      </c>
      <c r="I1272" s="16" t="inlineStr">
        <is>
          <t>No Authorization header on PUT; form-data body sent if applicable.</t>
        </is>
      </c>
      <c r="J1272" s="16" t="inlineStr"/>
      <c r="K1272" s="16" t="inlineStr">
        <is>
          <t>Not Run</t>
        </is>
      </c>
      <c r="L1272" s="16" t="inlineStr">
        <is>
          <t>Low</t>
        </is>
      </c>
      <c r="M1272" s="16" t="inlineStr"/>
      <c r="N1272" s="16" t="inlineStr"/>
      <c r="O1272" s="16" t="inlineStr"/>
    </row>
    <row r="1273" ht="72" customHeight="1">
      <c r="A1273" s="16" t="inlineStr">
        <is>
          <t>TC-MM-0230</t>
        </is>
      </c>
      <c r="B1273" s="16" t="inlineStr">
        <is>
          <t>Method x Body Matrix</t>
        </is>
      </c>
      <c r="C1273" s="16" t="inlineStr">
        <is>
          <t>PUT + None + x-www-form-urlencoded</t>
        </is>
      </c>
      <c r="D1273" s="16" t="inlineStr">
        <is>
          <t>Functional</t>
        </is>
      </c>
      <c r="E1273" s="16" t="inlineStr">
        <is>
          <t>PUT with None auth and x-www-form-urlencoded body</t>
        </is>
      </c>
      <c r="F1273" s="16" t="inlineStr">
        <is>
          <t>Editor open.</t>
        </is>
      </c>
      <c r="G1273" s="16" t="inlineStr">
        <is>
          <t>1. New request; method PUT; URL to an echo endpoint.
2. Auth type None; configure minimum credentials.
3. Body type x-www-form-urlencoded; provide minimum valid content.
4. Send and inspect outgoing wire request (DevTools/proxy).</t>
        </is>
      </c>
      <c r="H1273" s="16" t="inlineStr">
        <is>
          <t>method=PUT auth=None body=x-www-form-urlencoded</t>
        </is>
      </c>
      <c r="I1273" s="16" t="inlineStr">
        <is>
          <t>No Authorization header on PUT; x-www-form-urlencoded body sent if applicable.</t>
        </is>
      </c>
      <c r="J1273" s="16" t="inlineStr"/>
      <c r="K1273" s="16" t="inlineStr">
        <is>
          <t>Not Run</t>
        </is>
      </c>
      <c r="L1273" s="16" t="inlineStr">
        <is>
          <t>Low</t>
        </is>
      </c>
      <c r="M1273" s="16" t="inlineStr"/>
      <c r="N1273" s="16" t="inlineStr"/>
      <c r="O1273" s="16" t="inlineStr"/>
    </row>
    <row r="1274" ht="72" customHeight="1">
      <c r="A1274" s="16" t="inlineStr">
        <is>
          <t>TC-MM-0231</t>
        </is>
      </c>
      <c r="B1274" s="16" t="inlineStr">
        <is>
          <t>Method x Body Matrix</t>
        </is>
      </c>
      <c r="C1274" s="16" t="inlineStr">
        <is>
          <t>PUT + None + raw-json</t>
        </is>
      </c>
      <c r="D1274" s="16" t="inlineStr">
        <is>
          <t>Functional</t>
        </is>
      </c>
      <c r="E1274" s="16" t="inlineStr">
        <is>
          <t>PUT with None auth and raw-json body</t>
        </is>
      </c>
      <c r="F1274" s="16" t="inlineStr">
        <is>
          <t>Editor open.</t>
        </is>
      </c>
      <c r="G1274" s="16" t="inlineStr">
        <is>
          <t>1. New request; method PUT; URL to an echo endpoint.
2. Auth type None; configure minimum credentials.
3. Body type raw-json; provide minimum valid content.
4. Send and inspect outgoing wire request (DevTools/proxy).</t>
        </is>
      </c>
      <c r="H1274" s="16" t="inlineStr">
        <is>
          <t>method=PUT auth=None body=raw-json</t>
        </is>
      </c>
      <c r="I1274" s="16" t="inlineStr">
        <is>
          <t>No Authorization header on PUT; raw-json body sent if applicable.</t>
        </is>
      </c>
      <c r="J1274" s="16" t="inlineStr"/>
      <c r="K1274" s="16" t="inlineStr">
        <is>
          <t>Not Run</t>
        </is>
      </c>
      <c r="L1274" s="16" t="inlineStr">
        <is>
          <t>Low</t>
        </is>
      </c>
      <c r="M1274" s="16" t="inlineStr"/>
      <c r="N1274" s="16" t="inlineStr"/>
      <c r="O1274" s="16" t="inlineStr"/>
    </row>
    <row r="1275" ht="72" customHeight="1">
      <c r="A1275" s="16" t="inlineStr">
        <is>
          <t>TC-MM-0232</t>
        </is>
      </c>
      <c r="B1275" s="16" t="inlineStr">
        <is>
          <t>Method x Body Matrix</t>
        </is>
      </c>
      <c r="C1275" s="16" t="inlineStr">
        <is>
          <t>PUT + None + raw-xml</t>
        </is>
      </c>
      <c r="D1275" s="16" t="inlineStr">
        <is>
          <t>Functional</t>
        </is>
      </c>
      <c r="E1275" s="16" t="inlineStr">
        <is>
          <t>PUT with None auth and raw-xml body</t>
        </is>
      </c>
      <c r="F1275" s="16" t="inlineStr">
        <is>
          <t>Editor open.</t>
        </is>
      </c>
      <c r="G1275" s="16" t="inlineStr">
        <is>
          <t>1. New request; method PUT; URL to an echo endpoint.
2. Auth type None; configure minimum credentials.
3. Body type raw-xml; provide minimum valid content.
4. Send and inspect outgoing wire request (DevTools/proxy).</t>
        </is>
      </c>
      <c r="H1275" s="16" t="inlineStr">
        <is>
          <t>method=PUT auth=None body=raw-xml</t>
        </is>
      </c>
      <c r="I1275" s="16" t="inlineStr">
        <is>
          <t>No Authorization header on PUT; raw-xml body sent if applicable.</t>
        </is>
      </c>
      <c r="J1275" s="16" t="inlineStr"/>
      <c r="K1275" s="16" t="inlineStr">
        <is>
          <t>Not Run</t>
        </is>
      </c>
      <c r="L1275" s="16" t="inlineStr">
        <is>
          <t>Low</t>
        </is>
      </c>
      <c r="M1275" s="16" t="inlineStr"/>
      <c r="N1275" s="16" t="inlineStr"/>
      <c r="O1275" s="16" t="inlineStr"/>
    </row>
    <row r="1276" ht="72" customHeight="1">
      <c r="A1276" s="16" t="inlineStr">
        <is>
          <t>TC-MM-0233</t>
        </is>
      </c>
      <c r="B1276" s="16" t="inlineStr">
        <is>
          <t>Method x Body Matrix</t>
        </is>
      </c>
      <c r="C1276" s="16" t="inlineStr">
        <is>
          <t>PUT + None + raw-text</t>
        </is>
      </c>
      <c r="D1276" s="16" t="inlineStr">
        <is>
          <t>Functional</t>
        </is>
      </c>
      <c r="E1276" s="16" t="inlineStr">
        <is>
          <t>PUT with None auth and raw-text body</t>
        </is>
      </c>
      <c r="F1276" s="16" t="inlineStr">
        <is>
          <t>Editor open.</t>
        </is>
      </c>
      <c r="G1276" s="16" t="inlineStr">
        <is>
          <t>1. New request; method PUT; URL to an echo endpoint.
2. Auth type None; configure minimum credentials.
3. Body type raw-text; provide minimum valid content.
4. Send and inspect outgoing wire request (DevTools/proxy).</t>
        </is>
      </c>
      <c r="H1276" s="16" t="inlineStr">
        <is>
          <t>method=PUT auth=None body=raw-text</t>
        </is>
      </c>
      <c r="I1276" s="16" t="inlineStr">
        <is>
          <t>No Authorization header on PUT; raw-text body sent if applicable.</t>
        </is>
      </c>
      <c r="J1276" s="16" t="inlineStr"/>
      <c r="K1276" s="16" t="inlineStr">
        <is>
          <t>Not Run</t>
        </is>
      </c>
      <c r="L1276" s="16" t="inlineStr">
        <is>
          <t>Low</t>
        </is>
      </c>
      <c r="M1276" s="16" t="inlineStr"/>
      <c r="N1276" s="16" t="inlineStr"/>
      <c r="O1276" s="16" t="inlineStr"/>
    </row>
    <row r="1277" ht="72" customHeight="1">
      <c r="A1277" s="16" t="inlineStr">
        <is>
          <t>TC-MM-0234</t>
        </is>
      </c>
      <c r="B1277" s="16" t="inlineStr">
        <is>
          <t>Method x Body Matrix</t>
        </is>
      </c>
      <c r="C1277" s="16" t="inlineStr">
        <is>
          <t>PUT + None + binary</t>
        </is>
      </c>
      <c r="D1277" s="16" t="inlineStr">
        <is>
          <t>Functional</t>
        </is>
      </c>
      <c r="E1277" s="16" t="inlineStr">
        <is>
          <t>PUT with None auth and binary body</t>
        </is>
      </c>
      <c r="F1277" s="16" t="inlineStr">
        <is>
          <t>Editor open.</t>
        </is>
      </c>
      <c r="G1277" s="16" t="inlineStr">
        <is>
          <t>1. New request; method PUT; URL to an echo endpoint.
2. Auth type None; configure minimum credentials.
3. Body type binary; provide minimum valid content.
4. Send and inspect outgoing wire request (DevTools/proxy).</t>
        </is>
      </c>
      <c r="H1277" s="16" t="inlineStr">
        <is>
          <t>method=PUT auth=None body=binary</t>
        </is>
      </c>
      <c r="I1277" s="16" t="inlineStr">
        <is>
          <t>No Authorization header on PUT; binary body sent if applicable.</t>
        </is>
      </c>
      <c r="J1277" s="16" t="inlineStr"/>
      <c r="K1277" s="16" t="inlineStr">
        <is>
          <t>Not Run</t>
        </is>
      </c>
      <c r="L1277" s="16" t="inlineStr">
        <is>
          <t>Low</t>
        </is>
      </c>
      <c r="M1277" s="16" t="inlineStr"/>
      <c r="N1277" s="16" t="inlineStr"/>
      <c r="O1277" s="16" t="inlineStr"/>
    </row>
    <row r="1278" ht="72" customHeight="1">
      <c r="A1278" s="16" t="inlineStr">
        <is>
          <t>TC-MM-0235</t>
        </is>
      </c>
      <c r="B1278" s="16" t="inlineStr">
        <is>
          <t>Method x Body Matrix</t>
        </is>
      </c>
      <c r="C1278" s="16" t="inlineStr">
        <is>
          <t>PUT + Bearer + none</t>
        </is>
      </c>
      <c r="D1278" s="16" t="inlineStr">
        <is>
          <t>Functional</t>
        </is>
      </c>
      <c r="E1278" s="16" t="inlineStr">
        <is>
          <t>PUT with Bearer auth and none body</t>
        </is>
      </c>
      <c r="F1278" s="16" t="inlineStr">
        <is>
          <t>Editor open.</t>
        </is>
      </c>
      <c r="G1278" s="16" t="inlineStr">
        <is>
          <t>1. New request; method PUT; URL to an echo endpoint.
2. Auth type Bearer; configure minimum credentials.
3. Body type none; provide minimum valid content.
4. Send and inspect outgoing wire request (DevTools/proxy).</t>
        </is>
      </c>
      <c r="H1278" s="16" t="inlineStr">
        <is>
          <t>method=PUT auth=Bearer body=none</t>
        </is>
      </c>
      <c r="I1278" s="16" t="inlineStr">
        <is>
          <t>Bearer auth applied correctly; none body sent with right Content-Type; server returns expected status.</t>
        </is>
      </c>
      <c r="J1278" s="16" t="inlineStr"/>
      <c r="K1278" s="16" t="inlineStr">
        <is>
          <t>Not Run</t>
        </is>
      </c>
      <c r="L1278" s="16" t="inlineStr">
        <is>
          <t>Medium</t>
        </is>
      </c>
      <c r="M1278" s="16" t="inlineStr"/>
      <c r="N1278" s="16" t="inlineStr"/>
      <c r="O1278" s="16" t="inlineStr"/>
    </row>
    <row r="1279" ht="72" customHeight="1">
      <c r="A1279" s="16" t="inlineStr">
        <is>
          <t>TC-MM-0236</t>
        </is>
      </c>
      <c r="B1279" s="16" t="inlineStr">
        <is>
          <t>Method x Body Matrix</t>
        </is>
      </c>
      <c r="C1279" s="16" t="inlineStr">
        <is>
          <t>PUT + Bearer + form-data</t>
        </is>
      </c>
      <c r="D1279" s="16" t="inlineStr">
        <is>
          <t>Functional</t>
        </is>
      </c>
      <c r="E1279" s="16" t="inlineStr">
        <is>
          <t>PUT with Bearer auth and form-data body</t>
        </is>
      </c>
      <c r="F1279" s="16" t="inlineStr">
        <is>
          <t>Editor open.</t>
        </is>
      </c>
      <c r="G1279" s="16" t="inlineStr">
        <is>
          <t>1. New request; method PUT; URL to an echo endpoint.
2. Auth type Bearer; configure minimum credentials.
3. Body type form-data; provide minimum valid content.
4. Send and inspect outgoing wire request (DevTools/proxy).</t>
        </is>
      </c>
      <c r="H1279" s="16" t="inlineStr">
        <is>
          <t>method=PUT auth=Bearer body=form-data</t>
        </is>
      </c>
      <c r="I1279" s="16" t="inlineStr">
        <is>
          <t>Bearer auth applied correctly; form-data body sent with right Content-Type; server returns expected status.</t>
        </is>
      </c>
      <c r="J1279" s="16" t="inlineStr"/>
      <c r="K1279" s="16" t="inlineStr">
        <is>
          <t>Not Run</t>
        </is>
      </c>
      <c r="L1279" s="16" t="inlineStr">
        <is>
          <t>Medium</t>
        </is>
      </c>
      <c r="M1279" s="16" t="inlineStr"/>
      <c r="N1279" s="16" t="inlineStr"/>
      <c r="O1279" s="16" t="inlineStr"/>
    </row>
    <row r="1280" ht="72" customHeight="1">
      <c r="A1280" s="16" t="inlineStr">
        <is>
          <t>TC-MM-0237</t>
        </is>
      </c>
      <c r="B1280" s="16" t="inlineStr">
        <is>
          <t>Method x Body Matrix</t>
        </is>
      </c>
      <c r="C1280" s="16" t="inlineStr">
        <is>
          <t>PUT + Bearer + x-www-form-urlencoded</t>
        </is>
      </c>
      <c r="D1280" s="16" t="inlineStr">
        <is>
          <t>Functional</t>
        </is>
      </c>
      <c r="E1280" s="16" t="inlineStr">
        <is>
          <t>PUT with Bearer auth and x-www-form-urlencoded body</t>
        </is>
      </c>
      <c r="F1280" s="16" t="inlineStr">
        <is>
          <t>Editor open.</t>
        </is>
      </c>
      <c r="G1280" s="16" t="inlineStr">
        <is>
          <t>1. New request; method PUT; URL to an echo endpoint.
2. Auth type Bearer; configure minimum credentials.
3. Body type x-www-form-urlencoded; provide minimum valid content.
4. Send and inspect outgoing wire request (DevTools/proxy).</t>
        </is>
      </c>
      <c r="H1280" s="16" t="inlineStr">
        <is>
          <t>method=PUT auth=Bearer body=x-www-form-urlencoded</t>
        </is>
      </c>
      <c r="I1280" s="16" t="inlineStr">
        <is>
          <t>Bearer auth applied correctly; x-www-form-urlencoded body sent with right Content-Type; server returns expected status.</t>
        </is>
      </c>
      <c r="J1280" s="16" t="inlineStr"/>
      <c r="K1280" s="16" t="inlineStr">
        <is>
          <t>Not Run</t>
        </is>
      </c>
      <c r="L1280" s="16" t="inlineStr">
        <is>
          <t>Medium</t>
        </is>
      </c>
      <c r="M1280" s="16" t="inlineStr"/>
      <c r="N1280" s="16" t="inlineStr"/>
      <c r="O1280" s="16" t="inlineStr"/>
    </row>
    <row r="1281" ht="72" customHeight="1">
      <c r="A1281" s="16" t="inlineStr">
        <is>
          <t>TC-MM-0238</t>
        </is>
      </c>
      <c r="B1281" s="16" t="inlineStr">
        <is>
          <t>Method x Body Matrix</t>
        </is>
      </c>
      <c r="C1281" s="16" t="inlineStr">
        <is>
          <t>PUT + Bearer + raw-json</t>
        </is>
      </c>
      <c r="D1281" s="16" t="inlineStr">
        <is>
          <t>Functional</t>
        </is>
      </c>
      <c r="E1281" s="16" t="inlineStr">
        <is>
          <t>PUT with Bearer auth and raw-json body</t>
        </is>
      </c>
      <c r="F1281" s="16" t="inlineStr">
        <is>
          <t>Editor open.</t>
        </is>
      </c>
      <c r="G1281" s="16" t="inlineStr">
        <is>
          <t>1. New request; method PUT; URL to an echo endpoint.
2. Auth type Bearer; configure minimum credentials.
3. Body type raw-json; provide minimum valid content.
4. Send and inspect outgoing wire request (DevTools/proxy).</t>
        </is>
      </c>
      <c r="H1281" s="16" t="inlineStr">
        <is>
          <t>method=PUT auth=Bearer body=raw-json</t>
        </is>
      </c>
      <c r="I1281" s="16" t="inlineStr">
        <is>
          <t>Bearer auth applied correctly; raw-json body sent with right Content-Type; server returns expected status.</t>
        </is>
      </c>
      <c r="J1281" s="16" t="inlineStr"/>
      <c r="K1281" s="16" t="inlineStr">
        <is>
          <t>Not Run</t>
        </is>
      </c>
      <c r="L1281" s="16" t="inlineStr">
        <is>
          <t>Medium</t>
        </is>
      </c>
      <c r="M1281" s="16" t="inlineStr"/>
      <c r="N1281" s="16" t="inlineStr"/>
      <c r="O1281" s="16" t="inlineStr"/>
    </row>
    <row r="1282" ht="72" customHeight="1">
      <c r="A1282" s="16" t="inlineStr">
        <is>
          <t>TC-MM-0239</t>
        </is>
      </c>
      <c r="B1282" s="16" t="inlineStr">
        <is>
          <t>Method x Body Matrix</t>
        </is>
      </c>
      <c r="C1282" s="16" t="inlineStr">
        <is>
          <t>PUT + Bearer + raw-xml</t>
        </is>
      </c>
      <c r="D1282" s="16" t="inlineStr">
        <is>
          <t>Functional</t>
        </is>
      </c>
      <c r="E1282" s="16" t="inlineStr">
        <is>
          <t>PUT with Bearer auth and raw-xml body</t>
        </is>
      </c>
      <c r="F1282" s="16" t="inlineStr">
        <is>
          <t>Editor open.</t>
        </is>
      </c>
      <c r="G1282" s="16" t="inlineStr">
        <is>
          <t>1. New request; method PUT; URL to an echo endpoint.
2. Auth type Bearer; configure minimum credentials.
3. Body type raw-xml; provide minimum valid content.
4. Send and inspect outgoing wire request (DevTools/proxy).</t>
        </is>
      </c>
      <c r="H1282" s="16" t="inlineStr">
        <is>
          <t>method=PUT auth=Bearer body=raw-xml</t>
        </is>
      </c>
      <c r="I1282" s="16" t="inlineStr">
        <is>
          <t>Bearer auth applied correctly; raw-xml body sent with right Content-Type; server returns expected status.</t>
        </is>
      </c>
      <c r="J1282" s="16" t="inlineStr"/>
      <c r="K1282" s="16" t="inlineStr">
        <is>
          <t>Not Run</t>
        </is>
      </c>
      <c r="L1282" s="16" t="inlineStr">
        <is>
          <t>Medium</t>
        </is>
      </c>
      <c r="M1282" s="16" t="inlineStr"/>
      <c r="N1282" s="16" t="inlineStr"/>
      <c r="O1282" s="16" t="inlineStr"/>
    </row>
    <row r="1283" ht="72" customHeight="1">
      <c r="A1283" s="16" t="inlineStr">
        <is>
          <t>TC-MM-0240</t>
        </is>
      </c>
      <c r="B1283" s="16" t="inlineStr">
        <is>
          <t>Method x Body Matrix</t>
        </is>
      </c>
      <c r="C1283" s="16" t="inlineStr">
        <is>
          <t>PUT + Bearer + raw-text</t>
        </is>
      </c>
      <c r="D1283" s="16" t="inlineStr">
        <is>
          <t>Functional</t>
        </is>
      </c>
      <c r="E1283" s="16" t="inlineStr">
        <is>
          <t>PUT with Bearer auth and raw-text body</t>
        </is>
      </c>
      <c r="F1283" s="16" t="inlineStr">
        <is>
          <t>Editor open.</t>
        </is>
      </c>
      <c r="G1283" s="16" t="inlineStr">
        <is>
          <t>1. New request; method PUT; URL to an echo endpoint.
2. Auth type Bearer; configure minimum credentials.
3. Body type raw-text; provide minimum valid content.
4. Send and inspect outgoing wire request (DevTools/proxy).</t>
        </is>
      </c>
      <c r="H1283" s="16" t="inlineStr">
        <is>
          <t>method=PUT auth=Bearer body=raw-text</t>
        </is>
      </c>
      <c r="I1283" s="16" t="inlineStr">
        <is>
          <t>Bearer auth applied correctly; raw-text body sent with right Content-Type; server returns expected status.</t>
        </is>
      </c>
      <c r="J1283" s="16" t="inlineStr"/>
      <c r="K1283" s="16" t="inlineStr">
        <is>
          <t>Not Run</t>
        </is>
      </c>
      <c r="L1283" s="16" t="inlineStr">
        <is>
          <t>Medium</t>
        </is>
      </c>
      <c r="M1283" s="16" t="inlineStr"/>
      <c r="N1283" s="16" t="inlineStr"/>
      <c r="O1283" s="16" t="inlineStr"/>
    </row>
    <row r="1284" ht="72" customHeight="1">
      <c r="A1284" s="16" t="inlineStr">
        <is>
          <t>TC-MM-0241</t>
        </is>
      </c>
      <c r="B1284" s="16" t="inlineStr">
        <is>
          <t>Method x Body Matrix</t>
        </is>
      </c>
      <c r="C1284" s="16" t="inlineStr">
        <is>
          <t>PUT + Bearer + binary</t>
        </is>
      </c>
      <c r="D1284" s="16" t="inlineStr">
        <is>
          <t>Functional</t>
        </is>
      </c>
      <c r="E1284" s="16" t="inlineStr">
        <is>
          <t>PUT with Bearer auth and binary body</t>
        </is>
      </c>
      <c r="F1284" s="16" t="inlineStr">
        <is>
          <t>Editor open.</t>
        </is>
      </c>
      <c r="G1284" s="16" t="inlineStr">
        <is>
          <t>1. New request; method PUT; URL to an echo endpoint.
2. Auth type Bearer; configure minimum credentials.
3. Body type binary; provide minimum valid content.
4. Send and inspect outgoing wire request (DevTools/proxy).</t>
        </is>
      </c>
      <c r="H1284" s="16" t="inlineStr">
        <is>
          <t>method=PUT auth=Bearer body=binary</t>
        </is>
      </c>
      <c r="I1284" s="16" t="inlineStr">
        <is>
          <t>Bearer auth applied correctly; binary body sent with right Content-Type; server returns expected status.</t>
        </is>
      </c>
      <c r="J1284" s="16" t="inlineStr"/>
      <c r="K1284" s="16" t="inlineStr">
        <is>
          <t>Not Run</t>
        </is>
      </c>
      <c r="L1284" s="16" t="inlineStr">
        <is>
          <t>Medium</t>
        </is>
      </c>
      <c r="M1284" s="16" t="inlineStr"/>
      <c r="N1284" s="16" t="inlineStr"/>
      <c r="O1284" s="16" t="inlineStr"/>
    </row>
    <row r="1285" ht="72" customHeight="1">
      <c r="A1285" s="16" t="inlineStr">
        <is>
          <t>TC-MM-0242</t>
        </is>
      </c>
      <c r="B1285" s="16" t="inlineStr">
        <is>
          <t>Method x Body Matrix</t>
        </is>
      </c>
      <c r="C1285" s="16" t="inlineStr">
        <is>
          <t>PUT + Basic + none</t>
        </is>
      </c>
      <c r="D1285" s="16" t="inlineStr">
        <is>
          <t>Functional</t>
        </is>
      </c>
      <c r="E1285" s="16" t="inlineStr">
        <is>
          <t>PUT with Basic auth and none body</t>
        </is>
      </c>
      <c r="F1285" s="16" t="inlineStr">
        <is>
          <t>Editor open.</t>
        </is>
      </c>
      <c r="G1285" s="16" t="inlineStr">
        <is>
          <t>1. New request; method PUT; URL to an echo endpoint.
2. Auth type Basic; configure minimum credentials.
3. Body type none; provide minimum valid content.
4. Send and inspect outgoing wire request (DevTools/proxy).</t>
        </is>
      </c>
      <c r="H1285" s="16" t="inlineStr">
        <is>
          <t>method=PUT auth=Basic body=none</t>
        </is>
      </c>
      <c r="I1285" s="16" t="inlineStr">
        <is>
          <t>Basic auth applied correctly; none body sent with right Content-Type; server returns expected status.</t>
        </is>
      </c>
      <c r="J1285" s="16" t="inlineStr"/>
      <c r="K1285" s="16" t="inlineStr">
        <is>
          <t>Not Run</t>
        </is>
      </c>
      <c r="L1285" s="16" t="inlineStr">
        <is>
          <t>Medium</t>
        </is>
      </c>
      <c r="M1285" s="16" t="inlineStr"/>
      <c r="N1285" s="16" t="inlineStr"/>
      <c r="O1285" s="16" t="inlineStr"/>
    </row>
    <row r="1286" ht="72" customHeight="1">
      <c r="A1286" s="16" t="inlineStr">
        <is>
          <t>TC-MM-0243</t>
        </is>
      </c>
      <c r="B1286" s="16" t="inlineStr">
        <is>
          <t>Method x Body Matrix</t>
        </is>
      </c>
      <c r="C1286" s="16" t="inlineStr">
        <is>
          <t>PUT + Basic + form-data</t>
        </is>
      </c>
      <c r="D1286" s="16" t="inlineStr">
        <is>
          <t>Functional</t>
        </is>
      </c>
      <c r="E1286" s="16" t="inlineStr">
        <is>
          <t>PUT with Basic auth and form-data body</t>
        </is>
      </c>
      <c r="F1286" s="16" t="inlineStr">
        <is>
          <t>Editor open.</t>
        </is>
      </c>
      <c r="G1286" s="16" t="inlineStr">
        <is>
          <t>1. New request; method PUT; URL to an echo endpoint.
2. Auth type Basic; configure minimum credentials.
3. Body type form-data; provide minimum valid content.
4. Send and inspect outgoing wire request (DevTools/proxy).</t>
        </is>
      </c>
      <c r="H1286" s="16" t="inlineStr">
        <is>
          <t>method=PUT auth=Basic body=form-data</t>
        </is>
      </c>
      <c r="I1286" s="16" t="inlineStr">
        <is>
          <t>Basic auth applied correctly; form-data body sent with right Content-Type; server returns expected status.</t>
        </is>
      </c>
      <c r="J1286" s="16" t="inlineStr"/>
      <c r="K1286" s="16" t="inlineStr">
        <is>
          <t>Not Run</t>
        </is>
      </c>
      <c r="L1286" s="16" t="inlineStr">
        <is>
          <t>Medium</t>
        </is>
      </c>
      <c r="M1286" s="16" t="inlineStr"/>
      <c r="N1286" s="16" t="inlineStr"/>
      <c r="O1286" s="16" t="inlineStr"/>
    </row>
    <row r="1287" ht="72" customHeight="1">
      <c r="A1287" s="16" t="inlineStr">
        <is>
          <t>TC-MM-0244</t>
        </is>
      </c>
      <c r="B1287" s="16" t="inlineStr">
        <is>
          <t>Method x Body Matrix</t>
        </is>
      </c>
      <c r="C1287" s="16" t="inlineStr">
        <is>
          <t>PUT + Basic + x-www-form-urlencoded</t>
        </is>
      </c>
      <c r="D1287" s="16" t="inlineStr">
        <is>
          <t>Functional</t>
        </is>
      </c>
      <c r="E1287" s="16" t="inlineStr">
        <is>
          <t>PUT with Basic auth and x-www-form-urlencoded body</t>
        </is>
      </c>
      <c r="F1287" s="16" t="inlineStr">
        <is>
          <t>Editor open.</t>
        </is>
      </c>
      <c r="G1287" s="16" t="inlineStr">
        <is>
          <t>1. New request; method PUT; URL to an echo endpoint.
2. Auth type Basic; configure minimum credentials.
3. Body type x-www-form-urlencoded; provide minimum valid content.
4. Send and inspect outgoing wire request (DevTools/proxy).</t>
        </is>
      </c>
      <c r="H1287" s="16" t="inlineStr">
        <is>
          <t>method=PUT auth=Basic body=x-www-form-urlencoded</t>
        </is>
      </c>
      <c r="I1287" s="16" t="inlineStr">
        <is>
          <t>Basic auth applied correctly; x-www-form-urlencoded body sent with right Content-Type; server returns expected status.</t>
        </is>
      </c>
      <c r="J1287" s="16" t="inlineStr"/>
      <c r="K1287" s="16" t="inlineStr">
        <is>
          <t>Not Run</t>
        </is>
      </c>
      <c r="L1287" s="16" t="inlineStr">
        <is>
          <t>Medium</t>
        </is>
      </c>
      <c r="M1287" s="16" t="inlineStr"/>
      <c r="N1287" s="16" t="inlineStr"/>
      <c r="O1287" s="16" t="inlineStr"/>
    </row>
    <row r="1288" ht="72" customHeight="1">
      <c r="A1288" s="16" t="inlineStr">
        <is>
          <t>TC-MM-0245</t>
        </is>
      </c>
      <c r="B1288" s="16" t="inlineStr">
        <is>
          <t>Method x Body Matrix</t>
        </is>
      </c>
      <c r="C1288" s="16" t="inlineStr">
        <is>
          <t>PUT + Basic + raw-json</t>
        </is>
      </c>
      <c r="D1288" s="16" t="inlineStr">
        <is>
          <t>Functional</t>
        </is>
      </c>
      <c r="E1288" s="16" t="inlineStr">
        <is>
          <t>PUT with Basic auth and raw-json body</t>
        </is>
      </c>
      <c r="F1288" s="16" t="inlineStr">
        <is>
          <t>Editor open.</t>
        </is>
      </c>
      <c r="G1288" s="16" t="inlineStr">
        <is>
          <t>1. New request; method PUT; URL to an echo endpoint.
2. Auth type Basic; configure minimum credentials.
3. Body type raw-json; provide minimum valid content.
4. Send and inspect outgoing wire request (DevTools/proxy).</t>
        </is>
      </c>
      <c r="H1288" s="16" t="inlineStr">
        <is>
          <t>method=PUT auth=Basic body=raw-json</t>
        </is>
      </c>
      <c r="I1288" s="16" t="inlineStr">
        <is>
          <t>Basic auth applied correctly; raw-json body sent with right Content-Type; server returns expected status.</t>
        </is>
      </c>
      <c r="J1288" s="16" t="inlineStr"/>
      <c r="K1288" s="16" t="inlineStr">
        <is>
          <t>Not Run</t>
        </is>
      </c>
      <c r="L1288" s="16" t="inlineStr">
        <is>
          <t>Medium</t>
        </is>
      </c>
      <c r="M1288" s="16" t="inlineStr"/>
      <c r="N1288" s="16" t="inlineStr"/>
      <c r="O1288" s="16" t="inlineStr"/>
    </row>
    <row r="1289" ht="72" customHeight="1">
      <c r="A1289" s="16" t="inlineStr">
        <is>
          <t>TC-MM-0246</t>
        </is>
      </c>
      <c r="B1289" s="16" t="inlineStr">
        <is>
          <t>Method x Body Matrix</t>
        </is>
      </c>
      <c r="C1289" s="16" t="inlineStr">
        <is>
          <t>PUT + Basic + raw-xml</t>
        </is>
      </c>
      <c r="D1289" s="16" t="inlineStr">
        <is>
          <t>Functional</t>
        </is>
      </c>
      <c r="E1289" s="16" t="inlineStr">
        <is>
          <t>PUT with Basic auth and raw-xml body</t>
        </is>
      </c>
      <c r="F1289" s="16" t="inlineStr">
        <is>
          <t>Editor open.</t>
        </is>
      </c>
      <c r="G1289" s="16" t="inlineStr">
        <is>
          <t>1. New request; method PUT; URL to an echo endpoint.
2. Auth type Basic; configure minimum credentials.
3. Body type raw-xml; provide minimum valid content.
4. Send and inspect outgoing wire request (DevTools/proxy).</t>
        </is>
      </c>
      <c r="H1289" s="16" t="inlineStr">
        <is>
          <t>method=PUT auth=Basic body=raw-xml</t>
        </is>
      </c>
      <c r="I1289" s="16" t="inlineStr">
        <is>
          <t>Basic auth applied correctly; raw-xml body sent with right Content-Type; server returns expected status.</t>
        </is>
      </c>
      <c r="J1289" s="16" t="inlineStr"/>
      <c r="K1289" s="16" t="inlineStr">
        <is>
          <t>Not Run</t>
        </is>
      </c>
      <c r="L1289" s="16" t="inlineStr">
        <is>
          <t>Medium</t>
        </is>
      </c>
      <c r="M1289" s="16" t="inlineStr"/>
      <c r="N1289" s="16" t="inlineStr"/>
      <c r="O1289" s="16" t="inlineStr"/>
    </row>
    <row r="1290" ht="72" customHeight="1">
      <c r="A1290" s="16" t="inlineStr">
        <is>
          <t>TC-MM-0247</t>
        </is>
      </c>
      <c r="B1290" s="16" t="inlineStr">
        <is>
          <t>Method x Body Matrix</t>
        </is>
      </c>
      <c r="C1290" s="16" t="inlineStr">
        <is>
          <t>PUT + Basic + raw-text</t>
        </is>
      </c>
      <c r="D1290" s="16" t="inlineStr">
        <is>
          <t>Functional</t>
        </is>
      </c>
      <c r="E1290" s="16" t="inlineStr">
        <is>
          <t>PUT with Basic auth and raw-text body</t>
        </is>
      </c>
      <c r="F1290" s="16" t="inlineStr">
        <is>
          <t>Editor open.</t>
        </is>
      </c>
      <c r="G1290" s="16" t="inlineStr">
        <is>
          <t>1. New request; method PUT; URL to an echo endpoint.
2. Auth type Basic; configure minimum credentials.
3. Body type raw-text; provide minimum valid content.
4. Send and inspect outgoing wire request (DevTools/proxy).</t>
        </is>
      </c>
      <c r="H1290" s="16" t="inlineStr">
        <is>
          <t>method=PUT auth=Basic body=raw-text</t>
        </is>
      </c>
      <c r="I1290" s="16" t="inlineStr">
        <is>
          <t>Basic auth applied correctly; raw-text body sent with right Content-Type; server returns expected status.</t>
        </is>
      </c>
      <c r="J1290" s="16" t="inlineStr"/>
      <c r="K1290" s="16" t="inlineStr">
        <is>
          <t>Not Run</t>
        </is>
      </c>
      <c r="L1290" s="16" t="inlineStr">
        <is>
          <t>Medium</t>
        </is>
      </c>
      <c r="M1290" s="16" t="inlineStr"/>
      <c r="N1290" s="16" t="inlineStr"/>
      <c r="O1290" s="16" t="inlineStr"/>
    </row>
    <row r="1291" ht="72" customHeight="1">
      <c r="A1291" s="16" t="inlineStr">
        <is>
          <t>TC-MM-0248</t>
        </is>
      </c>
      <c r="B1291" s="16" t="inlineStr">
        <is>
          <t>Method x Body Matrix</t>
        </is>
      </c>
      <c r="C1291" s="16" t="inlineStr">
        <is>
          <t>PUT + Basic + binary</t>
        </is>
      </c>
      <c r="D1291" s="16" t="inlineStr">
        <is>
          <t>Functional</t>
        </is>
      </c>
      <c r="E1291" s="16" t="inlineStr">
        <is>
          <t>PUT with Basic auth and binary body</t>
        </is>
      </c>
      <c r="F1291" s="16" t="inlineStr">
        <is>
          <t>Editor open.</t>
        </is>
      </c>
      <c r="G1291" s="16" t="inlineStr">
        <is>
          <t>1. New request; method PUT; URL to an echo endpoint.
2. Auth type Basic; configure minimum credentials.
3. Body type binary; provide minimum valid content.
4. Send and inspect outgoing wire request (DevTools/proxy).</t>
        </is>
      </c>
      <c r="H1291" s="16" t="inlineStr">
        <is>
          <t>method=PUT auth=Basic body=binary</t>
        </is>
      </c>
      <c r="I1291" s="16" t="inlineStr">
        <is>
          <t>Basic auth applied correctly; binary body sent with right Content-Type; server returns expected status.</t>
        </is>
      </c>
      <c r="J1291" s="16" t="inlineStr"/>
      <c r="K1291" s="16" t="inlineStr">
        <is>
          <t>Not Run</t>
        </is>
      </c>
      <c r="L1291" s="16" t="inlineStr">
        <is>
          <t>Medium</t>
        </is>
      </c>
      <c r="M1291" s="16" t="inlineStr"/>
      <c r="N1291" s="16" t="inlineStr"/>
      <c r="O1291" s="16" t="inlineStr"/>
    </row>
    <row r="1292" ht="72" customHeight="1">
      <c r="A1292" s="16" t="inlineStr">
        <is>
          <t>TC-MM-0249</t>
        </is>
      </c>
      <c r="B1292" s="16" t="inlineStr">
        <is>
          <t>Method x Body Matrix</t>
        </is>
      </c>
      <c r="C1292" s="16" t="inlineStr">
        <is>
          <t>PUT + ApiKeyHeader + none</t>
        </is>
      </c>
      <c r="D1292" s="16" t="inlineStr">
        <is>
          <t>Functional</t>
        </is>
      </c>
      <c r="E1292" s="16" t="inlineStr">
        <is>
          <t>PUT with ApiKeyHeader auth and none body</t>
        </is>
      </c>
      <c r="F1292" s="16" t="inlineStr">
        <is>
          <t>Editor open.</t>
        </is>
      </c>
      <c r="G1292" s="16" t="inlineStr">
        <is>
          <t>1. New request; method PUT; URL to an echo endpoint.
2. Auth type ApiKeyHeader; configure minimum credentials.
3. Body type none; provide minimum valid content.
4. Send and inspect outgoing wire request (DevTools/proxy).</t>
        </is>
      </c>
      <c r="H1292" s="16" t="inlineStr">
        <is>
          <t>method=PUT auth=ApiKeyHeader body=none</t>
        </is>
      </c>
      <c r="I1292" s="16" t="inlineStr">
        <is>
          <t>ApiKeyHeader auth applied correctly; none body sent with right Content-Type; server returns expected status.</t>
        </is>
      </c>
      <c r="J1292" s="16" t="inlineStr"/>
      <c r="K1292" s="16" t="inlineStr">
        <is>
          <t>Not Run</t>
        </is>
      </c>
      <c r="L1292" s="16" t="inlineStr">
        <is>
          <t>Medium</t>
        </is>
      </c>
      <c r="M1292" s="16" t="inlineStr"/>
      <c r="N1292" s="16" t="inlineStr"/>
      <c r="O1292" s="16" t="inlineStr"/>
    </row>
    <row r="1293" ht="72" customHeight="1">
      <c r="A1293" s="16" t="inlineStr">
        <is>
          <t>TC-MM-0250</t>
        </is>
      </c>
      <c r="B1293" s="16" t="inlineStr">
        <is>
          <t>Method x Body Matrix</t>
        </is>
      </c>
      <c r="C1293" s="16" t="inlineStr">
        <is>
          <t>PUT + ApiKeyHeader + form-data</t>
        </is>
      </c>
      <c r="D1293" s="16" t="inlineStr">
        <is>
          <t>Functional</t>
        </is>
      </c>
      <c r="E1293" s="16" t="inlineStr">
        <is>
          <t>PUT with ApiKeyHeader auth and form-data body</t>
        </is>
      </c>
      <c r="F1293" s="16" t="inlineStr">
        <is>
          <t>Editor open.</t>
        </is>
      </c>
      <c r="G1293" s="16" t="inlineStr">
        <is>
          <t>1. New request; method PUT; URL to an echo endpoint.
2. Auth type ApiKeyHeader; configure minimum credentials.
3. Body type form-data; provide minimum valid content.
4. Send and inspect outgoing wire request (DevTools/proxy).</t>
        </is>
      </c>
      <c r="H1293" s="16" t="inlineStr">
        <is>
          <t>method=PUT auth=ApiKeyHeader body=form-data</t>
        </is>
      </c>
      <c r="I1293" s="16" t="inlineStr">
        <is>
          <t>ApiKeyHeader auth applied correctly; form-data body sent with right Content-Type; server returns expected status.</t>
        </is>
      </c>
      <c r="J1293" s="16" t="inlineStr"/>
      <c r="K1293" s="16" t="inlineStr">
        <is>
          <t>Not Run</t>
        </is>
      </c>
      <c r="L1293" s="16" t="inlineStr">
        <is>
          <t>Medium</t>
        </is>
      </c>
      <c r="M1293" s="16" t="inlineStr"/>
      <c r="N1293" s="16" t="inlineStr"/>
      <c r="O1293" s="16" t="inlineStr"/>
    </row>
    <row r="1294" ht="72" customHeight="1">
      <c r="A1294" s="16" t="inlineStr">
        <is>
          <t>TC-MM-0251</t>
        </is>
      </c>
      <c r="B1294" s="16" t="inlineStr">
        <is>
          <t>Method x Body Matrix</t>
        </is>
      </c>
      <c r="C1294" s="16" t="inlineStr">
        <is>
          <t>PUT + ApiKeyHeader + x-www-form-urlencoded</t>
        </is>
      </c>
      <c r="D1294" s="16" t="inlineStr">
        <is>
          <t>Functional</t>
        </is>
      </c>
      <c r="E1294" s="16" t="inlineStr">
        <is>
          <t>PUT with ApiKeyHeader auth and x-www-form-urlencoded body</t>
        </is>
      </c>
      <c r="F1294" s="16" t="inlineStr">
        <is>
          <t>Editor open.</t>
        </is>
      </c>
      <c r="G1294" s="16" t="inlineStr">
        <is>
          <t>1. New request; method PUT; URL to an echo endpoint.
2. Auth type ApiKeyHeader; configure minimum credentials.
3. Body type x-www-form-urlencoded; provide minimum valid content.
4. Send and inspect outgoing wire request (DevTools/proxy).</t>
        </is>
      </c>
      <c r="H1294" s="16" t="inlineStr">
        <is>
          <t>method=PUT auth=ApiKeyHeader body=x-www-form-urlencoded</t>
        </is>
      </c>
      <c r="I1294" s="16" t="inlineStr">
        <is>
          <t>ApiKeyHeader auth applied correctly; x-www-form-urlencoded body sent with right Content-Type; server returns expected status.</t>
        </is>
      </c>
      <c r="J1294" s="16" t="inlineStr"/>
      <c r="K1294" s="16" t="inlineStr">
        <is>
          <t>Not Run</t>
        </is>
      </c>
      <c r="L1294" s="16" t="inlineStr">
        <is>
          <t>Medium</t>
        </is>
      </c>
      <c r="M1294" s="16" t="inlineStr"/>
      <c r="N1294" s="16" t="inlineStr"/>
      <c r="O1294" s="16" t="inlineStr"/>
    </row>
    <row r="1295" ht="72" customHeight="1">
      <c r="A1295" s="16" t="inlineStr">
        <is>
          <t>TC-MM-0252</t>
        </is>
      </c>
      <c r="B1295" s="16" t="inlineStr">
        <is>
          <t>Method x Body Matrix</t>
        </is>
      </c>
      <c r="C1295" s="16" t="inlineStr">
        <is>
          <t>PUT + ApiKeyHeader + raw-json</t>
        </is>
      </c>
      <c r="D1295" s="16" t="inlineStr">
        <is>
          <t>Functional</t>
        </is>
      </c>
      <c r="E1295" s="16" t="inlineStr">
        <is>
          <t>PUT with ApiKeyHeader auth and raw-json body</t>
        </is>
      </c>
      <c r="F1295" s="16" t="inlineStr">
        <is>
          <t>Editor open.</t>
        </is>
      </c>
      <c r="G1295" s="16" t="inlineStr">
        <is>
          <t>1. New request; method PUT; URL to an echo endpoint.
2. Auth type ApiKeyHeader; configure minimum credentials.
3. Body type raw-json; provide minimum valid content.
4. Send and inspect outgoing wire request (DevTools/proxy).</t>
        </is>
      </c>
      <c r="H1295" s="16" t="inlineStr">
        <is>
          <t>method=PUT auth=ApiKeyHeader body=raw-json</t>
        </is>
      </c>
      <c r="I1295" s="16" t="inlineStr">
        <is>
          <t>ApiKeyHeader auth applied correctly; raw-json body sent with right Content-Type; server returns expected status.</t>
        </is>
      </c>
      <c r="J1295" s="16" t="inlineStr"/>
      <c r="K1295" s="16" t="inlineStr">
        <is>
          <t>Not Run</t>
        </is>
      </c>
      <c r="L1295" s="16" t="inlineStr">
        <is>
          <t>Medium</t>
        </is>
      </c>
      <c r="M1295" s="16" t="inlineStr"/>
      <c r="N1295" s="16" t="inlineStr"/>
      <c r="O1295" s="16" t="inlineStr"/>
    </row>
    <row r="1296" ht="72" customHeight="1">
      <c r="A1296" s="16" t="inlineStr">
        <is>
          <t>TC-MM-0253</t>
        </is>
      </c>
      <c r="B1296" s="16" t="inlineStr">
        <is>
          <t>Method x Body Matrix</t>
        </is>
      </c>
      <c r="C1296" s="16" t="inlineStr">
        <is>
          <t>PUT + ApiKeyHeader + raw-xml</t>
        </is>
      </c>
      <c r="D1296" s="16" t="inlineStr">
        <is>
          <t>Functional</t>
        </is>
      </c>
      <c r="E1296" s="16" t="inlineStr">
        <is>
          <t>PUT with ApiKeyHeader auth and raw-xml body</t>
        </is>
      </c>
      <c r="F1296" s="16" t="inlineStr">
        <is>
          <t>Editor open.</t>
        </is>
      </c>
      <c r="G1296" s="16" t="inlineStr">
        <is>
          <t>1. New request; method PUT; URL to an echo endpoint.
2. Auth type ApiKeyHeader; configure minimum credentials.
3. Body type raw-xml; provide minimum valid content.
4. Send and inspect outgoing wire request (DevTools/proxy).</t>
        </is>
      </c>
      <c r="H1296" s="16" t="inlineStr">
        <is>
          <t>method=PUT auth=ApiKeyHeader body=raw-xml</t>
        </is>
      </c>
      <c r="I1296" s="16" t="inlineStr">
        <is>
          <t>ApiKeyHeader auth applied correctly; raw-xml body sent with right Content-Type; server returns expected status.</t>
        </is>
      </c>
      <c r="J1296" s="16" t="inlineStr"/>
      <c r="K1296" s="16" t="inlineStr">
        <is>
          <t>Not Run</t>
        </is>
      </c>
      <c r="L1296" s="16" t="inlineStr">
        <is>
          <t>Medium</t>
        </is>
      </c>
      <c r="M1296" s="16" t="inlineStr"/>
      <c r="N1296" s="16" t="inlineStr"/>
      <c r="O1296" s="16" t="inlineStr"/>
    </row>
    <row r="1297" ht="72" customHeight="1">
      <c r="A1297" s="16" t="inlineStr">
        <is>
          <t>TC-MM-0254</t>
        </is>
      </c>
      <c r="B1297" s="16" t="inlineStr">
        <is>
          <t>Method x Body Matrix</t>
        </is>
      </c>
      <c r="C1297" s="16" t="inlineStr">
        <is>
          <t>PUT + ApiKeyHeader + raw-text</t>
        </is>
      </c>
      <c r="D1297" s="16" t="inlineStr">
        <is>
          <t>Functional</t>
        </is>
      </c>
      <c r="E1297" s="16" t="inlineStr">
        <is>
          <t>PUT with ApiKeyHeader auth and raw-text body</t>
        </is>
      </c>
      <c r="F1297" s="16" t="inlineStr">
        <is>
          <t>Editor open.</t>
        </is>
      </c>
      <c r="G1297" s="16" t="inlineStr">
        <is>
          <t>1. New request; method PUT; URL to an echo endpoint.
2. Auth type ApiKeyHeader; configure minimum credentials.
3. Body type raw-text; provide minimum valid content.
4. Send and inspect outgoing wire request (DevTools/proxy).</t>
        </is>
      </c>
      <c r="H1297" s="16" t="inlineStr">
        <is>
          <t>method=PUT auth=ApiKeyHeader body=raw-text</t>
        </is>
      </c>
      <c r="I1297" s="16" t="inlineStr">
        <is>
          <t>ApiKeyHeader auth applied correctly; raw-text body sent with right Content-Type; server returns expected status.</t>
        </is>
      </c>
      <c r="J1297" s="16" t="inlineStr"/>
      <c r="K1297" s="16" t="inlineStr">
        <is>
          <t>Not Run</t>
        </is>
      </c>
      <c r="L1297" s="16" t="inlineStr">
        <is>
          <t>Medium</t>
        </is>
      </c>
      <c r="M1297" s="16" t="inlineStr"/>
      <c r="N1297" s="16" t="inlineStr"/>
      <c r="O1297" s="16" t="inlineStr"/>
    </row>
    <row r="1298" ht="72" customHeight="1">
      <c r="A1298" s="16" t="inlineStr">
        <is>
          <t>TC-MM-0255</t>
        </is>
      </c>
      <c r="B1298" s="16" t="inlineStr">
        <is>
          <t>Method x Body Matrix</t>
        </is>
      </c>
      <c r="C1298" s="16" t="inlineStr">
        <is>
          <t>PUT + ApiKeyHeader + binary</t>
        </is>
      </c>
      <c r="D1298" s="16" t="inlineStr">
        <is>
          <t>Functional</t>
        </is>
      </c>
      <c r="E1298" s="16" t="inlineStr">
        <is>
          <t>PUT with ApiKeyHeader auth and binary body</t>
        </is>
      </c>
      <c r="F1298" s="16" t="inlineStr">
        <is>
          <t>Editor open.</t>
        </is>
      </c>
      <c r="G1298" s="16" t="inlineStr">
        <is>
          <t>1. New request; method PUT; URL to an echo endpoint.
2. Auth type ApiKeyHeader; configure minimum credentials.
3. Body type binary; provide minimum valid content.
4. Send and inspect outgoing wire request (DevTools/proxy).</t>
        </is>
      </c>
      <c r="H1298" s="16" t="inlineStr">
        <is>
          <t>method=PUT auth=ApiKeyHeader body=binary</t>
        </is>
      </c>
      <c r="I1298" s="16" t="inlineStr">
        <is>
          <t>ApiKeyHeader auth applied correctly; binary body sent with right Content-Type; server returns expected status.</t>
        </is>
      </c>
      <c r="J1298" s="16" t="inlineStr"/>
      <c r="K1298" s="16" t="inlineStr">
        <is>
          <t>Not Run</t>
        </is>
      </c>
      <c r="L1298" s="16" t="inlineStr">
        <is>
          <t>Medium</t>
        </is>
      </c>
      <c r="M1298" s="16" t="inlineStr"/>
      <c r="N1298" s="16" t="inlineStr"/>
      <c r="O1298" s="16" t="inlineStr"/>
    </row>
    <row r="1299" ht="72" customHeight="1">
      <c r="A1299" s="16" t="inlineStr">
        <is>
          <t>TC-MM-0256</t>
        </is>
      </c>
      <c r="B1299" s="16" t="inlineStr">
        <is>
          <t>Method x Body Matrix</t>
        </is>
      </c>
      <c r="C1299" s="16" t="inlineStr">
        <is>
          <t>PUT + ApiKeyQuery + none</t>
        </is>
      </c>
      <c r="D1299" s="16" t="inlineStr">
        <is>
          <t>Functional</t>
        </is>
      </c>
      <c r="E1299" s="16" t="inlineStr">
        <is>
          <t>PUT with ApiKeyQuery auth and none body</t>
        </is>
      </c>
      <c r="F1299" s="16" t="inlineStr">
        <is>
          <t>Editor open.</t>
        </is>
      </c>
      <c r="G1299" s="16" t="inlineStr">
        <is>
          <t>1. New request; method PUT; URL to an echo endpoint.
2. Auth type ApiKeyQuery; configure minimum credentials.
3. Body type none; provide minimum valid content.
4. Send and inspect outgoing wire request (DevTools/proxy).</t>
        </is>
      </c>
      <c r="H1299" s="16" t="inlineStr">
        <is>
          <t>method=PUT auth=ApiKeyQuery body=none</t>
        </is>
      </c>
      <c r="I1299" s="16" t="inlineStr">
        <is>
          <t>ApiKeyQuery auth applied correctly; none body sent with right Content-Type; server returns expected status.</t>
        </is>
      </c>
      <c r="J1299" s="16" t="inlineStr"/>
      <c r="K1299" s="16" t="inlineStr">
        <is>
          <t>Not Run</t>
        </is>
      </c>
      <c r="L1299" s="16" t="inlineStr">
        <is>
          <t>Medium</t>
        </is>
      </c>
      <c r="M1299" s="16" t="inlineStr"/>
      <c r="N1299" s="16" t="inlineStr"/>
      <c r="O1299" s="16" t="inlineStr"/>
    </row>
    <row r="1300" ht="72" customHeight="1">
      <c r="A1300" s="16" t="inlineStr">
        <is>
          <t>TC-MM-0257</t>
        </is>
      </c>
      <c r="B1300" s="16" t="inlineStr">
        <is>
          <t>Method x Body Matrix</t>
        </is>
      </c>
      <c r="C1300" s="16" t="inlineStr">
        <is>
          <t>PUT + ApiKeyQuery + form-data</t>
        </is>
      </c>
      <c r="D1300" s="16" t="inlineStr">
        <is>
          <t>Functional</t>
        </is>
      </c>
      <c r="E1300" s="16" t="inlineStr">
        <is>
          <t>PUT with ApiKeyQuery auth and form-data body</t>
        </is>
      </c>
      <c r="F1300" s="16" t="inlineStr">
        <is>
          <t>Editor open.</t>
        </is>
      </c>
      <c r="G1300" s="16" t="inlineStr">
        <is>
          <t>1. New request; method PUT; URL to an echo endpoint.
2. Auth type ApiKeyQuery; configure minimum credentials.
3. Body type form-data; provide minimum valid content.
4. Send and inspect outgoing wire request (DevTools/proxy).</t>
        </is>
      </c>
      <c r="H1300" s="16" t="inlineStr">
        <is>
          <t>method=PUT auth=ApiKeyQuery body=form-data</t>
        </is>
      </c>
      <c r="I1300" s="16" t="inlineStr">
        <is>
          <t>ApiKeyQuery auth applied correctly; form-data body sent with right Content-Type; server returns expected status.</t>
        </is>
      </c>
      <c r="J1300" s="16" t="inlineStr"/>
      <c r="K1300" s="16" t="inlineStr">
        <is>
          <t>Not Run</t>
        </is>
      </c>
      <c r="L1300" s="16" t="inlineStr">
        <is>
          <t>Medium</t>
        </is>
      </c>
      <c r="M1300" s="16" t="inlineStr"/>
      <c r="N1300" s="16" t="inlineStr"/>
      <c r="O1300" s="16" t="inlineStr"/>
    </row>
    <row r="1301" ht="72" customHeight="1">
      <c r="A1301" s="16" t="inlineStr">
        <is>
          <t>TC-MM-0258</t>
        </is>
      </c>
      <c r="B1301" s="16" t="inlineStr">
        <is>
          <t>Method x Body Matrix</t>
        </is>
      </c>
      <c r="C1301" s="16" t="inlineStr">
        <is>
          <t>PUT + ApiKeyQuery + x-www-form-urlencoded</t>
        </is>
      </c>
      <c r="D1301" s="16" t="inlineStr">
        <is>
          <t>Functional</t>
        </is>
      </c>
      <c r="E1301" s="16" t="inlineStr">
        <is>
          <t>PUT with ApiKeyQuery auth and x-www-form-urlencoded body</t>
        </is>
      </c>
      <c r="F1301" s="16" t="inlineStr">
        <is>
          <t>Editor open.</t>
        </is>
      </c>
      <c r="G1301" s="16" t="inlineStr">
        <is>
          <t>1. New request; method PUT; URL to an echo endpoint.
2. Auth type ApiKeyQuery; configure minimum credentials.
3. Body type x-www-form-urlencoded; provide minimum valid content.
4. Send and inspect outgoing wire request (DevTools/proxy).</t>
        </is>
      </c>
      <c r="H1301" s="16" t="inlineStr">
        <is>
          <t>method=PUT auth=ApiKeyQuery body=x-www-form-urlencoded</t>
        </is>
      </c>
      <c r="I1301" s="16" t="inlineStr">
        <is>
          <t>ApiKeyQuery auth applied correctly; x-www-form-urlencoded body sent with right Content-Type; server returns expected status.</t>
        </is>
      </c>
      <c r="J1301" s="16" t="inlineStr"/>
      <c r="K1301" s="16" t="inlineStr">
        <is>
          <t>Not Run</t>
        </is>
      </c>
      <c r="L1301" s="16" t="inlineStr">
        <is>
          <t>Medium</t>
        </is>
      </c>
      <c r="M1301" s="16" t="inlineStr"/>
      <c r="N1301" s="16" t="inlineStr"/>
      <c r="O1301" s="16" t="inlineStr"/>
    </row>
    <row r="1302" ht="72" customHeight="1">
      <c r="A1302" s="16" t="inlineStr">
        <is>
          <t>TC-MM-0259</t>
        </is>
      </c>
      <c r="B1302" s="16" t="inlineStr">
        <is>
          <t>Method x Body Matrix</t>
        </is>
      </c>
      <c r="C1302" s="16" t="inlineStr">
        <is>
          <t>PUT + ApiKeyQuery + raw-json</t>
        </is>
      </c>
      <c r="D1302" s="16" t="inlineStr">
        <is>
          <t>Functional</t>
        </is>
      </c>
      <c r="E1302" s="16" t="inlineStr">
        <is>
          <t>PUT with ApiKeyQuery auth and raw-json body</t>
        </is>
      </c>
      <c r="F1302" s="16" t="inlineStr">
        <is>
          <t>Editor open.</t>
        </is>
      </c>
      <c r="G1302" s="16" t="inlineStr">
        <is>
          <t>1. New request; method PUT; URL to an echo endpoint.
2. Auth type ApiKeyQuery; configure minimum credentials.
3. Body type raw-json; provide minimum valid content.
4. Send and inspect outgoing wire request (DevTools/proxy).</t>
        </is>
      </c>
      <c r="H1302" s="16" t="inlineStr">
        <is>
          <t>method=PUT auth=ApiKeyQuery body=raw-json</t>
        </is>
      </c>
      <c r="I1302" s="16" t="inlineStr">
        <is>
          <t>ApiKeyQuery auth applied correctly; raw-json body sent with right Content-Type; server returns expected status.</t>
        </is>
      </c>
      <c r="J1302" s="16" t="inlineStr"/>
      <c r="K1302" s="16" t="inlineStr">
        <is>
          <t>Not Run</t>
        </is>
      </c>
      <c r="L1302" s="16" t="inlineStr">
        <is>
          <t>Medium</t>
        </is>
      </c>
      <c r="M1302" s="16" t="inlineStr"/>
      <c r="N1302" s="16" t="inlineStr"/>
      <c r="O1302" s="16" t="inlineStr"/>
    </row>
    <row r="1303" ht="72" customHeight="1">
      <c r="A1303" s="16" t="inlineStr">
        <is>
          <t>TC-MM-0260</t>
        </is>
      </c>
      <c r="B1303" s="16" t="inlineStr">
        <is>
          <t>Method x Body Matrix</t>
        </is>
      </c>
      <c r="C1303" s="16" t="inlineStr">
        <is>
          <t>PUT + ApiKeyQuery + raw-xml</t>
        </is>
      </c>
      <c r="D1303" s="16" t="inlineStr">
        <is>
          <t>Functional</t>
        </is>
      </c>
      <c r="E1303" s="16" t="inlineStr">
        <is>
          <t>PUT with ApiKeyQuery auth and raw-xml body</t>
        </is>
      </c>
      <c r="F1303" s="16" t="inlineStr">
        <is>
          <t>Editor open.</t>
        </is>
      </c>
      <c r="G1303" s="16" t="inlineStr">
        <is>
          <t>1. New request; method PUT; URL to an echo endpoint.
2. Auth type ApiKeyQuery; configure minimum credentials.
3. Body type raw-xml; provide minimum valid content.
4. Send and inspect outgoing wire request (DevTools/proxy).</t>
        </is>
      </c>
      <c r="H1303" s="16" t="inlineStr">
        <is>
          <t>method=PUT auth=ApiKeyQuery body=raw-xml</t>
        </is>
      </c>
      <c r="I1303" s="16" t="inlineStr">
        <is>
          <t>ApiKeyQuery auth applied correctly; raw-xml body sent with right Content-Type; server returns expected status.</t>
        </is>
      </c>
      <c r="J1303" s="16" t="inlineStr"/>
      <c r="K1303" s="16" t="inlineStr">
        <is>
          <t>Not Run</t>
        </is>
      </c>
      <c r="L1303" s="16" t="inlineStr">
        <is>
          <t>Medium</t>
        </is>
      </c>
      <c r="M1303" s="16" t="inlineStr"/>
      <c r="N1303" s="16" t="inlineStr"/>
      <c r="O1303" s="16" t="inlineStr"/>
    </row>
    <row r="1304" ht="72" customHeight="1">
      <c r="A1304" s="16" t="inlineStr">
        <is>
          <t>TC-MM-0261</t>
        </is>
      </c>
      <c r="B1304" s="16" t="inlineStr">
        <is>
          <t>Method x Body Matrix</t>
        </is>
      </c>
      <c r="C1304" s="16" t="inlineStr">
        <is>
          <t>PUT + ApiKeyQuery + raw-text</t>
        </is>
      </c>
      <c r="D1304" s="16" t="inlineStr">
        <is>
          <t>Functional</t>
        </is>
      </c>
      <c r="E1304" s="16" t="inlineStr">
        <is>
          <t>PUT with ApiKeyQuery auth and raw-text body</t>
        </is>
      </c>
      <c r="F1304" s="16" t="inlineStr">
        <is>
          <t>Editor open.</t>
        </is>
      </c>
      <c r="G1304" s="16" t="inlineStr">
        <is>
          <t>1. New request; method PUT; URL to an echo endpoint.
2. Auth type ApiKeyQuery; configure minimum credentials.
3. Body type raw-text; provide minimum valid content.
4. Send and inspect outgoing wire request (DevTools/proxy).</t>
        </is>
      </c>
      <c r="H1304" s="16" t="inlineStr">
        <is>
          <t>method=PUT auth=ApiKeyQuery body=raw-text</t>
        </is>
      </c>
      <c r="I1304" s="16" t="inlineStr">
        <is>
          <t>ApiKeyQuery auth applied correctly; raw-text body sent with right Content-Type; server returns expected status.</t>
        </is>
      </c>
      <c r="J1304" s="16" t="inlineStr"/>
      <c r="K1304" s="16" t="inlineStr">
        <is>
          <t>Not Run</t>
        </is>
      </c>
      <c r="L1304" s="16" t="inlineStr">
        <is>
          <t>Medium</t>
        </is>
      </c>
      <c r="M1304" s="16" t="inlineStr"/>
      <c r="N1304" s="16" t="inlineStr"/>
      <c r="O1304" s="16" t="inlineStr"/>
    </row>
    <row r="1305" ht="72" customHeight="1">
      <c r="A1305" s="16" t="inlineStr">
        <is>
          <t>TC-MM-0262</t>
        </is>
      </c>
      <c r="B1305" s="16" t="inlineStr">
        <is>
          <t>Method x Body Matrix</t>
        </is>
      </c>
      <c r="C1305" s="16" t="inlineStr">
        <is>
          <t>PUT + ApiKeyQuery + binary</t>
        </is>
      </c>
      <c r="D1305" s="16" t="inlineStr">
        <is>
          <t>Functional</t>
        </is>
      </c>
      <c r="E1305" s="16" t="inlineStr">
        <is>
          <t>PUT with ApiKeyQuery auth and binary body</t>
        </is>
      </c>
      <c r="F1305" s="16" t="inlineStr">
        <is>
          <t>Editor open.</t>
        </is>
      </c>
      <c r="G1305" s="16" t="inlineStr">
        <is>
          <t>1. New request; method PUT; URL to an echo endpoint.
2. Auth type ApiKeyQuery; configure minimum credentials.
3. Body type binary; provide minimum valid content.
4. Send and inspect outgoing wire request (DevTools/proxy).</t>
        </is>
      </c>
      <c r="H1305" s="16" t="inlineStr">
        <is>
          <t>method=PUT auth=ApiKeyQuery body=binary</t>
        </is>
      </c>
      <c r="I1305" s="16" t="inlineStr">
        <is>
          <t>ApiKeyQuery auth applied correctly; binary body sent with right Content-Type; server returns expected status.</t>
        </is>
      </c>
      <c r="J1305" s="16" t="inlineStr"/>
      <c r="K1305" s="16" t="inlineStr">
        <is>
          <t>Not Run</t>
        </is>
      </c>
      <c r="L1305" s="16" t="inlineStr">
        <is>
          <t>Medium</t>
        </is>
      </c>
      <c r="M1305" s="16" t="inlineStr"/>
      <c r="N1305" s="16" t="inlineStr"/>
      <c r="O1305" s="16" t="inlineStr"/>
    </row>
    <row r="1306" ht="72" customHeight="1">
      <c r="A1306" s="16" t="inlineStr">
        <is>
          <t>TC-MM-0263</t>
        </is>
      </c>
      <c r="B1306" s="16" t="inlineStr">
        <is>
          <t>Method x Body Matrix</t>
        </is>
      </c>
      <c r="C1306" s="16" t="inlineStr">
        <is>
          <t>PUT + AwsSigV4 + none</t>
        </is>
      </c>
      <c r="D1306" s="16" t="inlineStr">
        <is>
          <t>Functional</t>
        </is>
      </c>
      <c r="E1306" s="16" t="inlineStr">
        <is>
          <t>PUT with AwsSigV4 auth and none body</t>
        </is>
      </c>
      <c r="F1306" s="16" t="inlineStr">
        <is>
          <t>Editor open.</t>
        </is>
      </c>
      <c r="G1306" s="16" t="inlineStr">
        <is>
          <t>1. New request; method PUT; URL to an echo endpoint.
2. Auth type AwsSigV4; configure minimum credentials.
3. Body type none; provide minimum valid content.
4. Send and inspect outgoing wire request (DevTools/proxy).</t>
        </is>
      </c>
      <c r="H1306" s="16" t="inlineStr">
        <is>
          <t>method=PUT auth=AwsSigV4 body=none</t>
        </is>
      </c>
      <c r="I1306" s="16" t="inlineStr">
        <is>
          <t>AwsSigV4 auth applied correctly; none body sent with right Content-Type; server returns expected status.</t>
        </is>
      </c>
      <c r="J1306" s="16" t="inlineStr"/>
      <c r="K1306" s="16" t="inlineStr">
        <is>
          <t>Not Run</t>
        </is>
      </c>
      <c r="L1306" s="16" t="inlineStr">
        <is>
          <t>Medium</t>
        </is>
      </c>
      <c r="M1306" s="16" t="inlineStr"/>
      <c r="N1306" s="16" t="inlineStr"/>
      <c r="O1306" s="16" t="inlineStr"/>
    </row>
    <row r="1307" ht="72" customHeight="1">
      <c r="A1307" s="16" t="inlineStr">
        <is>
          <t>TC-MM-0264</t>
        </is>
      </c>
      <c r="B1307" s="16" t="inlineStr">
        <is>
          <t>Method x Body Matrix</t>
        </is>
      </c>
      <c r="C1307" s="16" t="inlineStr">
        <is>
          <t>PUT + AwsSigV4 + form-data</t>
        </is>
      </c>
      <c r="D1307" s="16" t="inlineStr">
        <is>
          <t>Functional</t>
        </is>
      </c>
      <c r="E1307" s="16" t="inlineStr">
        <is>
          <t>PUT with AwsSigV4 auth and form-data body</t>
        </is>
      </c>
      <c r="F1307" s="16" t="inlineStr">
        <is>
          <t>Editor open.</t>
        </is>
      </c>
      <c r="G1307" s="16" t="inlineStr">
        <is>
          <t>1. New request; method PUT; URL to an echo endpoint.
2. Auth type AwsSigV4; configure minimum credentials.
3. Body type form-data; provide minimum valid content.
4. Send and inspect outgoing wire request (DevTools/proxy).</t>
        </is>
      </c>
      <c r="H1307" s="16" t="inlineStr">
        <is>
          <t>method=PUT auth=AwsSigV4 body=form-data</t>
        </is>
      </c>
      <c r="I1307" s="16" t="inlineStr">
        <is>
          <t>AWS SigV4 signs canonical request including body bytes; x-amz-content-sha256 reflects SHA256 of body. Server returns expected status.</t>
        </is>
      </c>
      <c r="J1307" s="16" t="inlineStr"/>
      <c r="K1307" s="16" t="inlineStr">
        <is>
          <t>Not Run</t>
        </is>
      </c>
      <c r="L1307" s="16" t="inlineStr">
        <is>
          <t>High</t>
        </is>
      </c>
      <c r="M1307" s="16" t="inlineStr"/>
      <c r="N1307" s="16" t="inlineStr"/>
      <c r="O1307" s="16" t="inlineStr"/>
    </row>
    <row r="1308" ht="72" customHeight="1">
      <c r="A1308" s="16" t="inlineStr">
        <is>
          <t>TC-MM-0265</t>
        </is>
      </c>
      <c r="B1308" s="16" t="inlineStr">
        <is>
          <t>Method x Body Matrix</t>
        </is>
      </c>
      <c r="C1308" s="16" t="inlineStr">
        <is>
          <t>PUT + AwsSigV4 + x-www-form-urlencoded</t>
        </is>
      </c>
      <c r="D1308" s="16" t="inlineStr">
        <is>
          <t>Functional</t>
        </is>
      </c>
      <c r="E1308" s="16" t="inlineStr">
        <is>
          <t>PUT with AwsSigV4 auth and x-www-form-urlencoded body</t>
        </is>
      </c>
      <c r="F1308" s="16" t="inlineStr">
        <is>
          <t>Editor open.</t>
        </is>
      </c>
      <c r="G1308" s="16" t="inlineStr">
        <is>
          <t>1. New request; method PUT; URL to an echo endpoint.
2. Auth type AwsSigV4; configure minimum credentials.
3. Body type x-www-form-urlencoded; provide minimum valid content.
4. Send and inspect outgoing wire request (DevTools/proxy).</t>
        </is>
      </c>
      <c r="H1308" s="16" t="inlineStr">
        <is>
          <t>method=PUT auth=AwsSigV4 body=x-www-form-urlencoded</t>
        </is>
      </c>
      <c r="I1308" s="16" t="inlineStr">
        <is>
          <t>AWS SigV4 signs canonical request including body bytes; x-amz-content-sha256 reflects SHA256 of body. Server returns expected status.</t>
        </is>
      </c>
      <c r="J1308" s="16" t="inlineStr"/>
      <c r="K1308" s="16" t="inlineStr">
        <is>
          <t>Not Run</t>
        </is>
      </c>
      <c r="L1308" s="16" t="inlineStr">
        <is>
          <t>High</t>
        </is>
      </c>
      <c r="M1308" s="16" t="inlineStr"/>
      <c r="N1308" s="16" t="inlineStr"/>
      <c r="O1308" s="16" t="inlineStr"/>
    </row>
    <row r="1309" ht="72" customHeight="1">
      <c r="A1309" s="16" t="inlineStr">
        <is>
          <t>TC-MM-0266</t>
        </is>
      </c>
      <c r="B1309" s="16" t="inlineStr">
        <is>
          <t>Method x Body Matrix</t>
        </is>
      </c>
      <c r="C1309" s="16" t="inlineStr">
        <is>
          <t>PUT + AwsSigV4 + raw-json</t>
        </is>
      </c>
      <c r="D1309" s="16" t="inlineStr">
        <is>
          <t>Functional</t>
        </is>
      </c>
      <c r="E1309" s="16" t="inlineStr">
        <is>
          <t>PUT with AwsSigV4 auth and raw-json body</t>
        </is>
      </c>
      <c r="F1309" s="16" t="inlineStr">
        <is>
          <t>Editor open.</t>
        </is>
      </c>
      <c r="G1309" s="16" t="inlineStr">
        <is>
          <t>1. New request; method PUT; URL to an echo endpoint.
2. Auth type AwsSigV4; configure minimum credentials.
3. Body type raw-json; provide minimum valid content.
4. Send and inspect outgoing wire request (DevTools/proxy).</t>
        </is>
      </c>
      <c r="H1309" s="16" t="inlineStr">
        <is>
          <t>method=PUT auth=AwsSigV4 body=raw-json</t>
        </is>
      </c>
      <c r="I1309" s="16" t="inlineStr">
        <is>
          <t>AWS SigV4 signs canonical request including body bytes; x-amz-content-sha256 reflects SHA256 of body. Server returns expected status.</t>
        </is>
      </c>
      <c r="J1309" s="16" t="inlineStr"/>
      <c r="K1309" s="16" t="inlineStr">
        <is>
          <t>Not Run</t>
        </is>
      </c>
      <c r="L1309" s="16" t="inlineStr">
        <is>
          <t>High</t>
        </is>
      </c>
      <c r="M1309" s="16" t="inlineStr"/>
      <c r="N1309" s="16" t="inlineStr"/>
      <c r="O1309" s="16" t="inlineStr"/>
    </row>
    <row r="1310" ht="72" customHeight="1">
      <c r="A1310" s="16" t="inlineStr">
        <is>
          <t>TC-MM-0267</t>
        </is>
      </c>
      <c r="B1310" s="16" t="inlineStr">
        <is>
          <t>Method x Body Matrix</t>
        </is>
      </c>
      <c r="C1310" s="16" t="inlineStr">
        <is>
          <t>PUT + AwsSigV4 + raw-xml</t>
        </is>
      </c>
      <c r="D1310" s="16" t="inlineStr">
        <is>
          <t>Functional</t>
        </is>
      </c>
      <c r="E1310" s="16" t="inlineStr">
        <is>
          <t>PUT with AwsSigV4 auth and raw-xml body</t>
        </is>
      </c>
      <c r="F1310" s="16" t="inlineStr">
        <is>
          <t>Editor open.</t>
        </is>
      </c>
      <c r="G1310" s="16" t="inlineStr">
        <is>
          <t>1. New request; method PUT; URL to an echo endpoint.
2. Auth type AwsSigV4; configure minimum credentials.
3. Body type raw-xml; provide minimum valid content.
4. Send and inspect outgoing wire request (DevTools/proxy).</t>
        </is>
      </c>
      <c r="H1310" s="16" t="inlineStr">
        <is>
          <t>method=PUT auth=AwsSigV4 body=raw-xml</t>
        </is>
      </c>
      <c r="I1310" s="16" t="inlineStr">
        <is>
          <t>AWS SigV4 signs canonical request including body bytes; x-amz-content-sha256 reflects SHA256 of body. Server returns expected status.</t>
        </is>
      </c>
      <c r="J1310" s="16" t="inlineStr"/>
      <c r="K1310" s="16" t="inlineStr">
        <is>
          <t>Not Run</t>
        </is>
      </c>
      <c r="L1310" s="16" t="inlineStr">
        <is>
          <t>High</t>
        </is>
      </c>
      <c r="M1310" s="16" t="inlineStr"/>
      <c r="N1310" s="16" t="inlineStr"/>
      <c r="O1310" s="16" t="inlineStr"/>
    </row>
    <row r="1311" ht="72" customHeight="1">
      <c r="A1311" s="16" t="inlineStr">
        <is>
          <t>TC-MM-0268</t>
        </is>
      </c>
      <c r="B1311" s="16" t="inlineStr">
        <is>
          <t>Method x Body Matrix</t>
        </is>
      </c>
      <c r="C1311" s="16" t="inlineStr">
        <is>
          <t>PUT + AwsSigV4 + raw-text</t>
        </is>
      </c>
      <c r="D1311" s="16" t="inlineStr">
        <is>
          <t>Functional</t>
        </is>
      </c>
      <c r="E1311" s="16" t="inlineStr">
        <is>
          <t>PUT with AwsSigV4 auth and raw-text body</t>
        </is>
      </c>
      <c r="F1311" s="16" t="inlineStr">
        <is>
          <t>Editor open.</t>
        </is>
      </c>
      <c r="G1311" s="16" t="inlineStr">
        <is>
          <t>1. New request; method PUT; URL to an echo endpoint.
2. Auth type AwsSigV4; configure minimum credentials.
3. Body type raw-text; provide minimum valid content.
4. Send and inspect outgoing wire request (DevTools/proxy).</t>
        </is>
      </c>
      <c r="H1311" s="16" t="inlineStr">
        <is>
          <t>method=PUT auth=AwsSigV4 body=raw-text</t>
        </is>
      </c>
      <c r="I1311" s="16" t="inlineStr">
        <is>
          <t>AWS SigV4 signs canonical request including body bytes; x-amz-content-sha256 reflects SHA256 of body. Server returns expected status.</t>
        </is>
      </c>
      <c r="J1311" s="16" t="inlineStr"/>
      <c r="K1311" s="16" t="inlineStr">
        <is>
          <t>Not Run</t>
        </is>
      </c>
      <c r="L1311" s="16" t="inlineStr">
        <is>
          <t>High</t>
        </is>
      </c>
      <c r="M1311" s="16" t="inlineStr"/>
      <c r="N1311" s="16" t="inlineStr"/>
      <c r="O1311" s="16" t="inlineStr"/>
    </row>
    <row r="1312" ht="72" customHeight="1">
      <c r="A1312" s="16" t="inlineStr">
        <is>
          <t>TC-MM-0269</t>
        </is>
      </c>
      <c r="B1312" s="16" t="inlineStr">
        <is>
          <t>Method x Body Matrix</t>
        </is>
      </c>
      <c r="C1312" s="16" t="inlineStr">
        <is>
          <t>PUT + AwsSigV4 + binary</t>
        </is>
      </c>
      <c r="D1312" s="16" t="inlineStr">
        <is>
          <t>Functional</t>
        </is>
      </c>
      <c r="E1312" s="16" t="inlineStr">
        <is>
          <t>PUT with AwsSigV4 auth and binary body</t>
        </is>
      </c>
      <c r="F1312" s="16" t="inlineStr">
        <is>
          <t>Editor open.</t>
        </is>
      </c>
      <c r="G1312" s="16" t="inlineStr">
        <is>
          <t>1. New request; method PUT; URL to an echo endpoint.
2. Auth type AwsSigV4; configure minimum credentials.
3. Body type binary; provide minimum valid content.
4. Send and inspect outgoing wire request (DevTools/proxy).</t>
        </is>
      </c>
      <c r="H1312" s="16" t="inlineStr">
        <is>
          <t>method=PUT auth=AwsSigV4 body=binary</t>
        </is>
      </c>
      <c r="I1312" s="16" t="inlineStr">
        <is>
          <t>AWS SigV4 signs canonical request including body bytes; x-amz-content-sha256 reflects SHA256 of body. Server returns expected status.</t>
        </is>
      </c>
      <c r="J1312" s="16" t="inlineStr"/>
      <c r="K1312" s="16" t="inlineStr">
        <is>
          <t>Not Run</t>
        </is>
      </c>
      <c r="L1312" s="16" t="inlineStr">
        <is>
          <t>High</t>
        </is>
      </c>
      <c r="M1312" s="16" t="inlineStr"/>
      <c r="N1312" s="16" t="inlineStr"/>
      <c r="O1312" s="16" t="inlineStr"/>
    </row>
    <row r="1313" ht="72" customHeight="1">
      <c r="A1313" s="16" t="inlineStr">
        <is>
          <t>TC-MM-0270</t>
        </is>
      </c>
      <c r="B1313" s="16" t="inlineStr">
        <is>
          <t>Method x Body Matrix</t>
        </is>
      </c>
      <c r="C1313" s="16" t="inlineStr">
        <is>
          <t>PUT + JwtHS256 + none</t>
        </is>
      </c>
      <c r="D1313" s="16" t="inlineStr">
        <is>
          <t>Functional</t>
        </is>
      </c>
      <c r="E1313" s="16" t="inlineStr">
        <is>
          <t>PUT with JwtHS256 auth and none body</t>
        </is>
      </c>
      <c r="F1313" s="16" t="inlineStr">
        <is>
          <t>Editor open.</t>
        </is>
      </c>
      <c r="G1313" s="16" t="inlineStr">
        <is>
          <t>1. New request; method PUT; URL to an echo endpoint.
2. Auth type JwtHS256; configure minimum credentials.
3. Body type none; provide minimum valid content.
4. Send and inspect outgoing wire request (DevTools/proxy).</t>
        </is>
      </c>
      <c r="H1313" s="16" t="inlineStr">
        <is>
          <t>method=PUT auth=JwtHS256 body=none</t>
        </is>
      </c>
      <c r="I1313" s="16" t="inlineStr">
        <is>
          <t>JwtHS256 auth applied correctly; none body sent with right Content-Type; server returns expected status.</t>
        </is>
      </c>
      <c r="J1313" s="16" t="inlineStr"/>
      <c r="K1313" s="16" t="inlineStr">
        <is>
          <t>Not Run</t>
        </is>
      </c>
      <c r="L1313" s="16" t="inlineStr">
        <is>
          <t>Medium</t>
        </is>
      </c>
      <c r="M1313" s="16" t="inlineStr"/>
      <c r="N1313" s="16" t="inlineStr"/>
      <c r="O1313" s="16" t="inlineStr"/>
    </row>
    <row r="1314" ht="72" customHeight="1">
      <c r="A1314" s="16" t="inlineStr">
        <is>
          <t>TC-MM-0271</t>
        </is>
      </c>
      <c r="B1314" s="16" t="inlineStr">
        <is>
          <t>Method x Body Matrix</t>
        </is>
      </c>
      <c r="C1314" s="16" t="inlineStr">
        <is>
          <t>PUT + JwtHS256 + form-data</t>
        </is>
      </c>
      <c r="D1314" s="16" t="inlineStr">
        <is>
          <t>Functional</t>
        </is>
      </c>
      <c r="E1314" s="16" t="inlineStr">
        <is>
          <t>PUT with JwtHS256 auth and form-data body</t>
        </is>
      </c>
      <c r="F1314" s="16" t="inlineStr">
        <is>
          <t>Editor open.</t>
        </is>
      </c>
      <c r="G1314" s="16" t="inlineStr">
        <is>
          <t>1. New request; method PUT; URL to an echo endpoint.
2. Auth type JwtHS256; configure minimum credentials.
3. Body type form-data; provide minimum valid content.
4. Send and inspect outgoing wire request (DevTools/proxy).</t>
        </is>
      </c>
      <c r="H1314" s="16" t="inlineStr">
        <is>
          <t>method=PUT auth=JwtHS256 body=form-data</t>
        </is>
      </c>
      <c r="I1314" s="16" t="inlineStr">
        <is>
          <t>JwtHS256 auth applied correctly; form-data body sent with right Content-Type; server returns expected status.</t>
        </is>
      </c>
      <c r="J1314" s="16" t="inlineStr"/>
      <c r="K1314" s="16" t="inlineStr">
        <is>
          <t>Not Run</t>
        </is>
      </c>
      <c r="L1314" s="16" t="inlineStr">
        <is>
          <t>Medium</t>
        </is>
      </c>
      <c r="M1314" s="16" t="inlineStr"/>
      <c r="N1314" s="16" t="inlineStr"/>
      <c r="O1314" s="16" t="inlineStr"/>
    </row>
    <row r="1315" ht="72" customHeight="1">
      <c r="A1315" s="16" t="inlineStr">
        <is>
          <t>TC-MM-0272</t>
        </is>
      </c>
      <c r="B1315" s="16" t="inlineStr">
        <is>
          <t>Method x Body Matrix</t>
        </is>
      </c>
      <c r="C1315" s="16" t="inlineStr">
        <is>
          <t>PUT + JwtHS256 + x-www-form-urlencoded</t>
        </is>
      </c>
      <c r="D1315" s="16" t="inlineStr">
        <is>
          <t>Functional</t>
        </is>
      </c>
      <c r="E1315" s="16" t="inlineStr">
        <is>
          <t>PUT with JwtHS256 auth and x-www-form-urlencoded body</t>
        </is>
      </c>
      <c r="F1315" s="16" t="inlineStr">
        <is>
          <t>Editor open.</t>
        </is>
      </c>
      <c r="G1315" s="16" t="inlineStr">
        <is>
          <t>1. New request; method PUT; URL to an echo endpoint.
2. Auth type JwtHS256; configure minimum credentials.
3. Body type x-www-form-urlencoded; provide minimum valid content.
4. Send and inspect outgoing wire request (DevTools/proxy).</t>
        </is>
      </c>
      <c r="H1315" s="16" t="inlineStr">
        <is>
          <t>method=PUT auth=JwtHS256 body=x-www-form-urlencoded</t>
        </is>
      </c>
      <c r="I1315" s="16" t="inlineStr">
        <is>
          <t>JwtHS256 auth applied correctly; x-www-form-urlencoded body sent with right Content-Type; server returns expected status.</t>
        </is>
      </c>
      <c r="J1315" s="16" t="inlineStr"/>
      <c r="K1315" s="16" t="inlineStr">
        <is>
          <t>Not Run</t>
        </is>
      </c>
      <c r="L1315" s="16" t="inlineStr">
        <is>
          <t>Medium</t>
        </is>
      </c>
      <c r="M1315" s="16" t="inlineStr"/>
      <c r="N1315" s="16" t="inlineStr"/>
      <c r="O1315" s="16" t="inlineStr"/>
    </row>
    <row r="1316" ht="72" customHeight="1">
      <c r="A1316" s="16" t="inlineStr">
        <is>
          <t>TC-MM-0273</t>
        </is>
      </c>
      <c r="B1316" s="16" t="inlineStr">
        <is>
          <t>Method x Body Matrix</t>
        </is>
      </c>
      <c r="C1316" s="16" t="inlineStr">
        <is>
          <t>PUT + JwtHS256 + raw-json</t>
        </is>
      </c>
      <c r="D1316" s="16" t="inlineStr">
        <is>
          <t>Functional</t>
        </is>
      </c>
      <c r="E1316" s="16" t="inlineStr">
        <is>
          <t>PUT with JwtHS256 auth and raw-json body</t>
        </is>
      </c>
      <c r="F1316" s="16" t="inlineStr">
        <is>
          <t>Editor open.</t>
        </is>
      </c>
      <c r="G1316" s="16" t="inlineStr">
        <is>
          <t>1. New request; method PUT; URL to an echo endpoint.
2. Auth type JwtHS256; configure minimum credentials.
3. Body type raw-json; provide minimum valid content.
4. Send and inspect outgoing wire request (DevTools/proxy).</t>
        </is>
      </c>
      <c r="H1316" s="16" t="inlineStr">
        <is>
          <t>method=PUT auth=JwtHS256 body=raw-json</t>
        </is>
      </c>
      <c r="I1316" s="16" t="inlineStr">
        <is>
          <t>JwtHS256 auth applied correctly; raw-json body sent with right Content-Type; server returns expected status.</t>
        </is>
      </c>
      <c r="J1316" s="16" t="inlineStr"/>
      <c r="K1316" s="16" t="inlineStr">
        <is>
          <t>Not Run</t>
        </is>
      </c>
      <c r="L1316" s="16" t="inlineStr">
        <is>
          <t>Medium</t>
        </is>
      </c>
      <c r="M1316" s="16" t="inlineStr"/>
      <c r="N1316" s="16" t="inlineStr"/>
      <c r="O1316" s="16" t="inlineStr"/>
    </row>
    <row r="1317" ht="72" customHeight="1">
      <c r="A1317" s="16" t="inlineStr">
        <is>
          <t>TC-MM-0274</t>
        </is>
      </c>
      <c r="B1317" s="16" t="inlineStr">
        <is>
          <t>Method x Body Matrix</t>
        </is>
      </c>
      <c r="C1317" s="16" t="inlineStr">
        <is>
          <t>PUT + JwtHS256 + raw-xml</t>
        </is>
      </c>
      <c r="D1317" s="16" t="inlineStr">
        <is>
          <t>Functional</t>
        </is>
      </c>
      <c r="E1317" s="16" t="inlineStr">
        <is>
          <t>PUT with JwtHS256 auth and raw-xml body</t>
        </is>
      </c>
      <c r="F1317" s="16" t="inlineStr">
        <is>
          <t>Editor open.</t>
        </is>
      </c>
      <c r="G1317" s="16" t="inlineStr">
        <is>
          <t>1. New request; method PUT; URL to an echo endpoint.
2. Auth type JwtHS256; configure minimum credentials.
3. Body type raw-xml; provide minimum valid content.
4. Send and inspect outgoing wire request (DevTools/proxy).</t>
        </is>
      </c>
      <c r="H1317" s="16" t="inlineStr">
        <is>
          <t>method=PUT auth=JwtHS256 body=raw-xml</t>
        </is>
      </c>
      <c r="I1317" s="16" t="inlineStr">
        <is>
          <t>JwtHS256 auth applied correctly; raw-xml body sent with right Content-Type; server returns expected status.</t>
        </is>
      </c>
      <c r="J1317" s="16" t="inlineStr"/>
      <c r="K1317" s="16" t="inlineStr">
        <is>
          <t>Not Run</t>
        </is>
      </c>
      <c r="L1317" s="16" t="inlineStr">
        <is>
          <t>Medium</t>
        </is>
      </c>
      <c r="M1317" s="16" t="inlineStr"/>
      <c r="N1317" s="16" t="inlineStr"/>
      <c r="O1317" s="16" t="inlineStr"/>
    </row>
    <row r="1318" ht="72" customHeight="1">
      <c r="A1318" s="16" t="inlineStr">
        <is>
          <t>TC-MM-0275</t>
        </is>
      </c>
      <c r="B1318" s="16" t="inlineStr">
        <is>
          <t>Method x Body Matrix</t>
        </is>
      </c>
      <c r="C1318" s="16" t="inlineStr">
        <is>
          <t>PUT + JwtHS256 + raw-text</t>
        </is>
      </c>
      <c r="D1318" s="16" t="inlineStr">
        <is>
          <t>Functional</t>
        </is>
      </c>
      <c r="E1318" s="16" t="inlineStr">
        <is>
          <t>PUT with JwtHS256 auth and raw-text body</t>
        </is>
      </c>
      <c r="F1318" s="16" t="inlineStr">
        <is>
          <t>Editor open.</t>
        </is>
      </c>
      <c r="G1318" s="16" t="inlineStr">
        <is>
          <t>1. New request; method PUT; URL to an echo endpoint.
2. Auth type JwtHS256; configure minimum credentials.
3. Body type raw-text; provide minimum valid content.
4. Send and inspect outgoing wire request (DevTools/proxy).</t>
        </is>
      </c>
      <c r="H1318" s="16" t="inlineStr">
        <is>
          <t>method=PUT auth=JwtHS256 body=raw-text</t>
        </is>
      </c>
      <c r="I1318" s="16" t="inlineStr">
        <is>
          <t>JwtHS256 auth applied correctly; raw-text body sent with right Content-Type; server returns expected status.</t>
        </is>
      </c>
      <c r="J1318" s="16" t="inlineStr"/>
      <c r="K1318" s="16" t="inlineStr">
        <is>
          <t>Not Run</t>
        </is>
      </c>
      <c r="L1318" s="16" t="inlineStr">
        <is>
          <t>Medium</t>
        </is>
      </c>
      <c r="M1318" s="16" t="inlineStr"/>
      <c r="N1318" s="16" t="inlineStr"/>
      <c r="O1318" s="16" t="inlineStr"/>
    </row>
    <row r="1319" ht="72" customHeight="1">
      <c r="A1319" s="16" t="inlineStr">
        <is>
          <t>TC-MM-0276</t>
        </is>
      </c>
      <c r="B1319" s="16" t="inlineStr">
        <is>
          <t>Method x Body Matrix</t>
        </is>
      </c>
      <c r="C1319" s="16" t="inlineStr">
        <is>
          <t>PUT + JwtHS256 + binary</t>
        </is>
      </c>
      <c r="D1319" s="16" t="inlineStr">
        <is>
          <t>Functional</t>
        </is>
      </c>
      <c r="E1319" s="16" t="inlineStr">
        <is>
          <t>PUT with JwtHS256 auth and binary body</t>
        </is>
      </c>
      <c r="F1319" s="16" t="inlineStr">
        <is>
          <t>Editor open.</t>
        </is>
      </c>
      <c r="G1319" s="16" t="inlineStr">
        <is>
          <t>1. New request; method PUT; URL to an echo endpoint.
2. Auth type JwtHS256; configure minimum credentials.
3. Body type binary; provide minimum valid content.
4. Send and inspect outgoing wire request (DevTools/proxy).</t>
        </is>
      </c>
      <c r="H1319" s="16" t="inlineStr">
        <is>
          <t>method=PUT auth=JwtHS256 body=binary</t>
        </is>
      </c>
      <c r="I1319" s="16" t="inlineStr">
        <is>
          <t>JwtHS256 auth applied correctly; binary body sent with right Content-Type; server returns expected status.</t>
        </is>
      </c>
      <c r="J1319" s="16" t="inlineStr"/>
      <c r="K1319" s="16" t="inlineStr">
        <is>
          <t>Not Run</t>
        </is>
      </c>
      <c r="L1319" s="16" t="inlineStr">
        <is>
          <t>Medium</t>
        </is>
      </c>
      <c r="M1319" s="16" t="inlineStr"/>
      <c r="N1319" s="16" t="inlineStr"/>
      <c r="O1319" s="16" t="inlineStr"/>
    </row>
    <row r="1320" ht="72" customHeight="1">
      <c r="A1320" s="16" t="inlineStr">
        <is>
          <t>TC-MM-0277</t>
        </is>
      </c>
      <c r="B1320" s="16" t="inlineStr">
        <is>
          <t>Method x Body Matrix</t>
        </is>
      </c>
      <c r="C1320" s="16" t="inlineStr">
        <is>
          <t>PUT + OAuth2ClientCreds + none</t>
        </is>
      </c>
      <c r="D1320" s="16" t="inlineStr">
        <is>
          <t>Functional</t>
        </is>
      </c>
      <c r="E1320" s="16" t="inlineStr">
        <is>
          <t>PUT with OAuth2ClientCreds auth and none body</t>
        </is>
      </c>
      <c r="F1320" s="16" t="inlineStr">
        <is>
          <t>Editor open.</t>
        </is>
      </c>
      <c r="G1320" s="16" t="inlineStr">
        <is>
          <t>1. New request; method PUT; URL to an echo endpoint.
2. Auth type OAuth2ClientCreds; configure minimum credentials.
3. Body type none; provide minimum valid content.
4. Send and inspect outgoing wire request (DevTools/proxy).</t>
        </is>
      </c>
      <c r="H1320" s="16" t="inlineStr">
        <is>
          <t>method=PUT auth=OAuth2ClientCreds body=none</t>
        </is>
      </c>
      <c r="I1320" s="16" t="inlineStr">
        <is>
          <t>Access token acquired (or refreshed); attached as Bearer; PUT sent with none body; server returns expected status.</t>
        </is>
      </c>
      <c r="J1320" s="16" t="inlineStr"/>
      <c r="K1320" s="16" t="inlineStr">
        <is>
          <t>Not Run</t>
        </is>
      </c>
      <c r="L1320" s="16" t="inlineStr">
        <is>
          <t>Medium</t>
        </is>
      </c>
      <c r="M1320" s="16" t="inlineStr"/>
      <c r="N1320" s="16" t="inlineStr"/>
      <c r="O1320" s="16" t="inlineStr"/>
    </row>
    <row r="1321" ht="72" customHeight="1">
      <c r="A1321" s="16" t="inlineStr">
        <is>
          <t>TC-MM-0278</t>
        </is>
      </c>
      <c r="B1321" s="16" t="inlineStr">
        <is>
          <t>Method x Body Matrix</t>
        </is>
      </c>
      <c r="C1321" s="16" t="inlineStr">
        <is>
          <t>PUT + OAuth2ClientCreds + form-data</t>
        </is>
      </c>
      <c r="D1321" s="16" t="inlineStr">
        <is>
          <t>Functional</t>
        </is>
      </c>
      <c r="E1321" s="16" t="inlineStr">
        <is>
          <t>PUT with OAuth2ClientCreds auth and form-data body</t>
        </is>
      </c>
      <c r="F1321" s="16" t="inlineStr">
        <is>
          <t>Editor open.</t>
        </is>
      </c>
      <c r="G1321" s="16" t="inlineStr">
        <is>
          <t>1. New request; method PUT; URL to an echo endpoint.
2. Auth type OAuth2ClientCreds; configure minimum credentials.
3. Body type form-data; provide minimum valid content.
4. Send and inspect outgoing wire request (DevTools/proxy).</t>
        </is>
      </c>
      <c r="H1321" s="16" t="inlineStr">
        <is>
          <t>method=PUT auth=OAuth2ClientCreds body=form-data</t>
        </is>
      </c>
      <c r="I1321" s="16" t="inlineStr">
        <is>
          <t>Access token acquired (or refreshed); attached as Bearer; PUT sent with form-data body; server returns expected status.</t>
        </is>
      </c>
      <c r="J1321" s="16" t="inlineStr"/>
      <c r="K1321" s="16" t="inlineStr">
        <is>
          <t>Not Run</t>
        </is>
      </c>
      <c r="L1321" s="16" t="inlineStr">
        <is>
          <t>Medium</t>
        </is>
      </c>
      <c r="M1321" s="16" t="inlineStr"/>
      <c r="N1321" s="16" t="inlineStr"/>
      <c r="O1321" s="16" t="inlineStr"/>
    </row>
    <row r="1322" ht="72" customHeight="1">
      <c r="A1322" s="16" t="inlineStr">
        <is>
          <t>TC-MM-0279</t>
        </is>
      </c>
      <c r="B1322" s="16" t="inlineStr">
        <is>
          <t>Method x Body Matrix</t>
        </is>
      </c>
      <c r="C1322" s="16" t="inlineStr">
        <is>
          <t>PUT + OAuth2ClientCreds + x-www-form-urlencoded</t>
        </is>
      </c>
      <c r="D1322" s="16" t="inlineStr">
        <is>
          <t>Functional</t>
        </is>
      </c>
      <c r="E1322" s="16" t="inlineStr">
        <is>
          <t>PUT with OAuth2ClientCreds auth and x-www-form-urlencoded body</t>
        </is>
      </c>
      <c r="F1322" s="16" t="inlineStr">
        <is>
          <t>Editor open.</t>
        </is>
      </c>
      <c r="G1322" s="16" t="inlineStr">
        <is>
          <t>1. New request; method PUT; URL to an echo endpoint.
2. Auth type OAuth2ClientCreds; configure minimum credentials.
3. Body type x-www-form-urlencoded; provide minimum valid content.
4. Send and inspect outgoing wire request (DevTools/proxy).</t>
        </is>
      </c>
      <c r="H1322" s="16" t="inlineStr">
        <is>
          <t>method=PUT auth=OAuth2ClientCreds body=x-www-form-urlencoded</t>
        </is>
      </c>
      <c r="I1322" s="16" t="inlineStr">
        <is>
          <t>Access token acquired (or refreshed); attached as Bearer; PUT sent with x-www-form-urlencoded body; server returns expected status.</t>
        </is>
      </c>
      <c r="J1322" s="16" t="inlineStr"/>
      <c r="K1322" s="16" t="inlineStr">
        <is>
          <t>Not Run</t>
        </is>
      </c>
      <c r="L1322" s="16" t="inlineStr">
        <is>
          <t>Medium</t>
        </is>
      </c>
      <c r="M1322" s="16" t="inlineStr"/>
      <c r="N1322" s="16" t="inlineStr"/>
      <c r="O1322" s="16" t="inlineStr"/>
    </row>
    <row r="1323" ht="72" customHeight="1">
      <c r="A1323" s="16" t="inlineStr">
        <is>
          <t>TC-MM-0280</t>
        </is>
      </c>
      <c r="B1323" s="16" t="inlineStr">
        <is>
          <t>Method x Body Matrix</t>
        </is>
      </c>
      <c r="C1323" s="16" t="inlineStr">
        <is>
          <t>PUT + OAuth2ClientCreds + raw-json</t>
        </is>
      </c>
      <c r="D1323" s="16" t="inlineStr">
        <is>
          <t>Functional</t>
        </is>
      </c>
      <c r="E1323" s="16" t="inlineStr">
        <is>
          <t>PUT with OAuth2ClientCreds auth and raw-json body</t>
        </is>
      </c>
      <c r="F1323" s="16" t="inlineStr">
        <is>
          <t>Editor open.</t>
        </is>
      </c>
      <c r="G1323" s="16" t="inlineStr">
        <is>
          <t>1. New request; method PUT; URL to an echo endpoint.
2. Auth type OAuth2ClientCreds; configure minimum credentials.
3. Body type raw-json; provide minimum valid content.
4. Send and inspect outgoing wire request (DevTools/proxy).</t>
        </is>
      </c>
      <c r="H1323" s="16" t="inlineStr">
        <is>
          <t>method=PUT auth=OAuth2ClientCreds body=raw-json</t>
        </is>
      </c>
      <c r="I1323" s="16" t="inlineStr">
        <is>
          <t>Access token acquired (or refreshed); attached as Bearer; PUT sent with raw-json body; server returns expected status.</t>
        </is>
      </c>
      <c r="J1323" s="16" t="inlineStr"/>
      <c r="K1323" s="16" t="inlineStr">
        <is>
          <t>Not Run</t>
        </is>
      </c>
      <c r="L1323" s="16" t="inlineStr">
        <is>
          <t>Medium</t>
        </is>
      </c>
      <c r="M1323" s="16" t="inlineStr"/>
      <c r="N1323" s="16" t="inlineStr"/>
      <c r="O1323" s="16" t="inlineStr"/>
    </row>
    <row r="1324" ht="72" customHeight="1">
      <c r="A1324" s="16" t="inlineStr">
        <is>
          <t>TC-MM-0281</t>
        </is>
      </c>
      <c r="B1324" s="16" t="inlineStr">
        <is>
          <t>Method x Body Matrix</t>
        </is>
      </c>
      <c r="C1324" s="16" t="inlineStr">
        <is>
          <t>PUT + OAuth2ClientCreds + raw-xml</t>
        </is>
      </c>
      <c r="D1324" s="16" t="inlineStr">
        <is>
          <t>Functional</t>
        </is>
      </c>
      <c r="E1324" s="16" t="inlineStr">
        <is>
          <t>PUT with OAuth2ClientCreds auth and raw-xml body</t>
        </is>
      </c>
      <c r="F1324" s="16" t="inlineStr">
        <is>
          <t>Editor open.</t>
        </is>
      </c>
      <c r="G1324" s="16" t="inlineStr">
        <is>
          <t>1. New request; method PUT; URL to an echo endpoint.
2. Auth type OAuth2ClientCreds; configure minimum credentials.
3. Body type raw-xml; provide minimum valid content.
4. Send and inspect outgoing wire request (DevTools/proxy).</t>
        </is>
      </c>
      <c r="H1324" s="16" t="inlineStr">
        <is>
          <t>method=PUT auth=OAuth2ClientCreds body=raw-xml</t>
        </is>
      </c>
      <c r="I1324" s="16" t="inlineStr">
        <is>
          <t>Access token acquired (or refreshed); attached as Bearer; PUT sent with raw-xml body; server returns expected status.</t>
        </is>
      </c>
      <c r="J1324" s="16" t="inlineStr"/>
      <c r="K1324" s="16" t="inlineStr">
        <is>
          <t>Not Run</t>
        </is>
      </c>
      <c r="L1324" s="16" t="inlineStr">
        <is>
          <t>Medium</t>
        </is>
      </c>
      <c r="M1324" s="16" t="inlineStr"/>
      <c r="N1324" s="16" t="inlineStr"/>
      <c r="O1324" s="16" t="inlineStr"/>
    </row>
    <row r="1325" ht="72" customHeight="1">
      <c r="A1325" s="16" t="inlineStr">
        <is>
          <t>TC-MM-0282</t>
        </is>
      </c>
      <c r="B1325" s="16" t="inlineStr">
        <is>
          <t>Method x Body Matrix</t>
        </is>
      </c>
      <c r="C1325" s="16" t="inlineStr">
        <is>
          <t>PUT + OAuth2ClientCreds + raw-text</t>
        </is>
      </c>
      <c r="D1325" s="16" t="inlineStr">
        <is>
          <t>Functional</t>
        </is>
      </c>
      <c r="E1325" s="16" t="inlineStr">
        <is>
          <t>PUT with OAuth2ClientCreds auth and raw-text body</t>
        </is>
      </c>
      <c r="F1325" s="16" t="inlineStr">
        <is>
          <t>Editor open.</t>
        </is>
      </c>
      <c r="G1325" s="16" t="inlineStr">
        <is>
          <t>1. New request; method PUT; URL to an echo endpoint.
2. Auth type OAuth2ClientCreds; configure minimum credentials.
3. Body type raw-text; provide minimum valid content.
4. Send and inspect outgoing wire request (DevTools/proxy).</t>
        </is>
      </c>
      <c r="H1325" s="16" t="inlineStr">
        <is>
          <t>method=PUT auth=OAuth2ClientCreds body=raw-text</t>
        </is>
      </c>
      <c r="I1325" s="16" t="inlineStr">
        <is>
          <t>Access token acquired (or refreshed); attached as Bearer; PUT sent with raw-text body; server returns expected status.</t>
        </is>
      </c>
      <c r="J1325" s="16" t="inlineStr"/>
      <c r="K1325" s="16" t="inlineStr">
        <is>
          <t>Not Run</t>
        </is>
      </c>
      <c r="L1325" s="16" t="inlineStr">
        <is>
          <t>Medium</t>
        </is>
      </c>
      <c r="M1325" s="16" t="inlineStr"/>
      <c r="N1325" s="16" t="inlineStr"/>
      <c r="O1325" s="16" t="inlineStr"/>
    </row>
    <row r="1326" ht="72" customHeight="1">
      <c r="A1326" s="16" t="inlineStr">
        <is>
          <t>TC-MM-0283</t>
        </is>
      </c>
      <c r="B1326" s="16" t="inlineStr">
        <is>
          <t>Method x Body Matrix</t>
        </is>
      </c>
      <c r="C1326" s="16" t="inlineStr">
        <is>
          <t>PUT + OAuth2ClientCreds + binary</t>
        </is>
      </c>
      <c r="D1326" s="16" t="inlineStr">
        <is>
          <t>Functional</t>
        </is>
      </c>
      <c r="E1326" s="16" t="inlineStr">
        <is>
          <t>PUT with OAuth2ClientCreds auth and binary body</t>
        </is>
      </c>
      <c r="F1326" s="16" t="inlineStr">
        <is>
          <t>Editor open.</t>
        </is>
      </c>
      <c r="G1326" s="16" t="inlineStr">
        <is>
          <t>1. New request; method PUT; URL to an echo endpoint.
2. Auth type OAuth2ClientCreds; configure minimum credentials.
3. Body type binary; provide minimum valid content.
4. Send and inspect outgoing wire request (DevTools/proxy).</t>
        </is>
      </c>
      <c r="H1326" s="16" t="inlineStr">
        <is>
          <t>method=PUT auth=OAuth2ClientCreds body=binary</t>
        </is>
      </c>
      <c r="I1326" s="16" t="inlineStr">
        <is>
          <t>Access token acquired (or refreshed); attached as Bearer; PUT sent with binary body; server returns expected status.</t>
        </is>
      </c>
      <c r="J1326" s="16" t="inlineStr"/>
      <c r="K1326" s="16" t="inlineStr">
        <is>
          <t>Not Run</t>
        </is>
      </c>
      <c r="L1326" s="16" t="inlineStr">
        <is>
          <t>Medium</t>
        </is>
      </c>
      <c r="M1326" s="16" t="inlineStr"/>
      <c r="N1326" s="16" t="inlineStr"/>
      <c r="O1326" s="16" t="inlineStr"/>
    </row>
    <row r="1327" ht="72" customHeight="1">
      <c r="A1327" s="16" t="inlineStr">
        <is>
          <t>TC-MM-0284</t>
        </is>
      </c>
      <c r="B1327" s="16" t="inlineStr">
        <is>
          <t>Method x Body Matrix</t>
        </is>
      </c>
      <c r="C1327" s="16" t="inlineStr">
        <is>
          <t>PUT + OAuth2PKCE + none</t>
        </is>
      </c>
      <c r="D1327" s="16" t="inlineStr">
        <is>
          <t>Functional</t>
        </is>
      </c>
      <c r="E1327" s="16" t="inlineStr">
        <is>
          <t>PUT with OAuth2PKCE auth and none body</t>
        </is>
      </c>
      <c r="F1327" s="16" t="inlineStr">
        <is>
          <t>Editor open.</t>
        </is>
      </c>
      <c r="G1327" s="16" t="inlineStr">
        <is>
          <t>1. New request; method PUT; URL to an echo endpoint.
2. Auth type OAuth2PKCE; configure minimum credentials.
3. Body type none; provide minimum valid content.
4. Send and inspect outgoing wire request (DevTools/proxy).</t>
        </is>
      </c>
      <c r="H1327" s="16" t="inlineStr">
        <is>
          <t>method=PUT auth=OAuth2PKCE body=none</t>
        </is>
      </c>
      <c r="I1327" s="16" t="inlineStr">
        <is>
          <t>Access token acquired (or refreshed); attached as Bearer; PUT sent with none body; server returns expected status.</t>
        </is>
      </c>
      <c r="J1327" s="16" t="inlineStr"/>
      <c r="K1327" s="16" t="inlineStr">
        <is>
          <t>Not Run</t>
        </is>
      </c>
      <c r="L1327" s="16" t="inlineStr">
        <is>
          <t>Medium</t>
        </is>
      </c>
      <c r="M1327" s="16" t="inlineStr"/>
      <c r="N1327" s="16" t="inlineStr"/>
      <c r="O1327" s="16" t="inlineStr"/>
    </row>
    <row r="1328" ht="72" customHeight="1">
      <c r="A1328" s="16" t="inlineStr">
        <is>
          <t>TC-MM-0285</t>
        </is>
      </c>
      <c r="B1328" s="16" t="inlineStr">
        <is>
          <t>Method x Body Matrix</t>
        </is>
      </c>
      <c r="C1328" s="16" t="inlineStr">
        <is>
          <t>PUT + OAuth2PKCE + form-data</t>
        </is>
      </c>
      <c r="D1328" s="16" t="inlineStr">
        <is>
          <t>Functional</t>
        </is>
      </c>
      <c r="E1328" s="16" t="inlineStr">
        <is>
          <t>PUT with OAuth2PKCE auth and form-data body</t>
        </is>
      </c>
      <c r="F1328" s="16" t="inlineStr">
        <is>
          <t>Editor open.</t>
        </is>
      </c>
      <c r="G1328" s="16" t="inlineStr">
        <is>
          <t>1. New request; method PUT; URL to an echo endpoint.
2. Auth type OAuth2PKCE; configure minimum credentials.
3. Body type form-data; provide minimum valid content.
4. Send and inspect outgoing wire request (DevTools/proxy).</t>
        </is>
      </c>
      <c r="H1328" s="16" t="inlineStr">
        <is>
          <t>method=PUT auth=OAuth2PKCE body=form-data</t>
        </is>
      </c>
      <c r="I1328" s="16" t="inlineStr">
        <is>
          <t>Access token acquired (or refreshed); attached as Bearer; PUT sent with form-data body; server returns expected status.</t>
        </is>
      </c>
      <c r="J1328" s="16" t="inlineStr"/>
      <c r="K1328" s="16" t="inlineStr">
        <is>
          <t>Not Run</t>
        </is>
      </c>
      <c r="L1328" s="16" t="inlineStr">
        <is>
          <t>Medium</t>
        </is>
      </c>
      <c r="M1328" s="16" t="inlineStr"/>
      <c r="N1328" s="16" t="inlineStr"/>
      <c r="O1328" s="16" t="inlineStr"/>
    </row>
    <row r="1329" ht="72" customHeight="1">
      <c r="A1329" s="16" t="inlineStr">
        <is>
          <t>TC-MM-0286</t>
        </is>
      </c>
      <c r="B1329" s="16" t="inlineStr">
        <is>
          <t>Method x Body Matrix</t>
        </is>
      </c>
      <c r="C1329" s="16" t="inlineStr">
        <is>
          <t>PUT + OAuth2PKCE + x-www-form-urlencoded</t>
        </is>
      </c>
      <c r="D1329" s="16" t="inlineStr">
        <is>
          <t>Functional</t>
        </is>
      </c>
      <c r="E1329" s="16" t="inlineStr">
        <is>
          <t>PUT with OAuth2PKCE auth and x-www-form-urlencoded body</t>
        </is>
      </c>
      <c r="F1329" s="16" t="inlineStr">
        <is>
          <t>Editor open.</t>
        </is>
      </c>
      <c r="G1329" s="16" t="inlineStr">
        <is>
          <t>1. New request; method PUT; URL to an echo endpoint.
2. Auth type OAuth2PKCE; configure minimum credentials.
3. Body type x-www-form-urlencoded; provide minimum valid content.
4. Send and inspect outgoing wire request (DevTools/proxy).</t>
        </is>
      </c>
      <c r="H1329" s="16" t="inlineStr">
        <is>
          <t>method=PUT auth=OAuth2PKCE body=x-www-form-urlencoded</t>
        </is>
      </c>
      <c r="I1329" s="16" t="inlineStr">
        <is>
          <t>Access token acquired (or refreshed); attached as Bearer; PUT sent with x-www-form-urlencoded body; server returns expected status.</t>
        </is>
      </c>
      <c r="J1329" s="16" t="inlineStr"/>
      <c r="K1329" s="16" t="inlineStr">
        <is>
          <t>Not Run</t>
        </is>
      </c>
      <c r="L1329" s="16" t="inlineStr">
        <is>
          <t>Medium</t>
        </is>
      </c>
      <c r="M1329" s="16" t="inlineStr"/>
      <c r="N1329" s="16" t="inlineStr"/>
      <c r="O1329" s="16" t="inlineStr"/>
    </row>
    <row r="1330" ht="72" customHeight="1">
      <c r="A1330" s="16" t="inlineStr">
        <is>
          <t>TC-MM-0287</t>
        </is>
      </c>
      <c r="B1330" s="16" t="inlineStr">
        <is>
          <t>Method x Body Matrix</t>
        </is>
      </c>
      <c r="C1330" s="16" t="inlineStr">
        <is>
          <t>PUT + OAuth2PKCE + raw-json</t>
        </is>
      </c>
      <c r="D1330" s="16" t="inlineStr">
        <is>
          <t>Functional</t>
        </is>
      </c>
      <c r="E1330" s="16" t="inlineStr">
        <is>
          <t>PUT with OAuth2PKCE auth and raw-json body</t>
        </is>
      </c>
      <c r="F1330" s="16" t="inlineStr">
        <is>
          <t>Editor open.</t>
        </is>
      </c>
      <c r="G1330" s="16" t="inlineStr">
        <is>
          <t>1. New request; method PUT; URL to an echo endpoint.
2. Auth type OAuth2PKCE; configure minimum credentials.
3. Body type raw-json; provide minimum valid content.
4. Send and inspect outgoing wire request (DevTools/proxy).</t>
        </is>
      </c>
      <c r="H1330" s="16" t="inlineStr">
        <is>
          <t>method=PUT auth=OAuth2PKCE body=raw-json</t>
        </is>
      </c>
      <c r="I1330" s="16" t="inlineStr">
        <is>
          <t>Access token acquired (or refreshed); attached as Bearer; PUT sent with raw-json body; server returns expected status.</t>
        </is>
      </c>
      <c r="J1330" s="16" t="inlineStr"/>
      <c r="K1330" s="16" t="inlineStr">
        <is>
          <t>Not Run</t>
        </is>
      </c>
      <c r="L1330" s="16" t="inlineStr">
        <is>
          <t>Medium</t>
        </is>
      </c>
      <c r="M1330" s="16" t="inlineStr"/>
      <c r="N1330" s="16" t="inlineStr"/>
      <c r="O1330" s="16" t="inlineStr"/>
    </row>
    <row r="1331" ht="72" customHeight="1">
      <c r="A1331" s="16" t="inlineStr">
        <is>
          <t>TC-MM-0288</t>
        </is>
      </c>
      <c r="B1331" s="16" t="inlineStr">
        <is>
          <t>Method x Body Matrix</t>
        </is>
      </c>
      <c r="C1331" s="16" t="inlineStr">
        <is>
          <t>PUT + OAuth2PKCE + raw-xml</t>
        </is>
      </c>
      <c r="D1331" s="16" t="inlineStr">
        <is>
          <t>Functional</t>
        </is>
      </c>
      <c r="E1331" s="16" t="inlineStr">
        <is>
          <t>PUT with OAuth2PKCE auth and raw-xml body</t>
        </is>
      </c>
      <c r="F1331" s="16" t="inlineStr">
        <is>
          <t>Editor open.</t>
        </is>
      </c>
      <c r="G1331" s="16" t="inlineStr">
        <is>
          <t>1. New request; method PUT; URL to an echo endpoint.
2. Auth type OAuth2PKCE; configure minimum credentials.
3. Body type raw-xml; provide minimum valid content.
4. Send and inspect outgoing wire request (DevTools/proxy).</t>
        </is>
      </c>
      <c r="H1331" s="16" t="inlineStr">
        <is>
          <t>method=PUT auth=OAuth2PKCE body=raw-xml</t>
        </is>
      </c>
      <c r="I1331" s="16" t="inlineStr">
        <is>
          <t>Access token acquired (or refreshed); attached as Bearer; PUT sent with raw-xml body; server returns expected status.</t>
        </is>
      </c>
      <c r="J1331" s="16" t="inlineStr"/>
      <c r="K1331" s="16" t="inlineStr">
        <is>
          <t>Not Run</t>
        </is>
      </c>
      <c r="L1331" s="16" t="inlineStr">
        <is>
          <t>Medium</t>
        </is>
      </c>
      <c r="M1331" s="16" t="inlineStr"/>
      <c r="N1331" s="16" t="inlineStr"/>
      <c r="O1331" s="16" t="inlineStr"/>
    </row>
    <row r="1332" ht="72" customHeight="1">
      <c r="A1332" s="16" t="inlineStr">
        <is>
          <t>TC-MM-0289</t>
        </is>
      </c>
      <c r="B1332" s="16" t="inlineStr">
        <is>
          <t>Method x Body Matrix</t>
        </is>
      </c>
      <c r="C1332" s="16" t="inlineStr">
        <is>
          <t>PUT + OAuth2PKCE + raw-text</t>
        </is>
      </c>
      <c r="D1332" s="16" t="inlineStr">
        <is>
          <t>Functional</t>
        </is>
      </c>
      <c r="E1332" s="16" t="inlineStr">
        <is>
          <t>PUT with OAuth2PKCE auth and raw-text body</t>
        </is>
      </c>
      <c r="F1332" s="16" t="inlineStr">
        <is>
          <t>Editor open.</t>
        </is>
      </c>
      <c r="G1332" s="16" t="inlineStr">
        <is>
          <t>1. New request; method PUT; URL to an echo endpoint.
2. Auth type OAuth2PKCE; configure minimum credentials.
3. Body type raw-text; provide minimum valid content.
4. Send and inspect outgoing wire request (DevTools/proxy).</t>
        </is>
      </c>
      <c r="H1332" s="16" t="inlineStr">
        <is>
          <t>method=PUT auth=OAuth2PKCE body=raw-text</t>
        </is>
      </c>
      <c r="I1332" s="16" t="inlineStr">
        <is>
          <t>Access token acquired (or refreshed); attached as Bearer; PUT sent with raw-text body; server returns expected status.</t>
        </is>
      </c>
      <c r="J1332" s="16" t="inlineStr"/>
      <c r="K1332" s="16" t="inlineStr">
        <is>
          <t>Not Run</t>
        </is>
      </c>
      <c r="L1332" s="16" t="inlineStr">
        <is>
          <t>Medium</t>
        </is>
      </c>
      <c r="M1332" s="16" t="inlineStr"/>
      <c r="N1332" s="16" t="inlineStr"/>
      <c r="O1332" s="16" t="inlineStr"/>
    </row>
    <row r="1333" ht="72" customHeight="1">
      <c r="A1333" s="16" t="inlineStr">
        <is>
          <t>TC-MM-0290</t>
        </is>
      </c>
      <c r="B1333" s="16" t="inlineStr">
        <is>
          <t>Method x Body Matrix</t>
        </is>
      </c>
      <c r="C1333" s="16" t="inlineStr">
        <is>
          <t>PUT + OAuth2PKCE + binary</t>
        </is>
      </c>
      <c r="D1333" s="16" t="inlineStr">
        <is>
          <t>Functional</t>
        </is>
      </c>
      <c r="E1333" s="16" t="inlineStr">
        <is>
          <t>PUT with OAuth2PKCE auth and binary body</t>
        </is>
      </c>
      <c r="F1333" s="16" t="inlineStr">
        <is>
          <t>Editor open.</t>
        </is>
      </c>
      <c r="G1333" s="16" t="inlineStr">
        <is>
          <t>1. New request; method PUT; URL to an echo endpoint.
2. Auth type OAuth2PKCE; configure minimum credentials.
3. Body type binary; provide minimum valid content.
4. Send and inspect outgoing wire request (DevTools/proxy).</t>
        </is>
      </c>
      <c r="H1333" s="16" t="inlineStr">
        <is>
          <t>method=PUT auth=OAuth2PKCE body=binary</t>
        </is>
      </c>
      <c r="I1333" s="16" t="inlineStr">
        <is>
          <t>Access token acquired (or refreshed); attached as Bearer; PUT sent with binary body; server returns expected status.</t>
        </is>
      </c>
      <c r="J1333" s="16" t="inlineStr"/>
      <c r="K1333" s="16" t="inlineStr">
        <is>
          <t>Not Run</t>
        </is>
      </c>
      <c r="L1333" s="16" t="inlineStr">
        <is>
          <t>Medium</t>
        </is>
      </c>
      <c r="M1333" s="16" t="inlineStr"/>
      <c r="N1333" s="16" t="inlineStr"/>
      <c r="O1333" s="16" t="inlineStr"/>
    </row>
    <row r="1334" ht="72" customHeight="1">
      <c r="A1334" s="16" t="inlineStr">
        <is>
          <t>TC-MM-0291</t>
        </is>
      </c>
      <c r="B1334" s="16" t="inlineStr">
        <is>
          <t>Method x Body Matrix</t>
        </is>
      </c>
      <c r="C1334" s="16" t="inlineStr">
        <is>
          <t>PUT + Digest + none</t>
        </is>
      </c>
      <c r="D1334" s="16" t="inlineStr">
        <is>
          <t>Functional</t>
        </is>
      </c>
      <c r="E1334" s="16" t="inlineStr">
        <is>
          <t>PUT with Digest auth and none body</t>
        </is>
      </c>
      <c r="F1334" s="16" t="inlineStr">
        <is>
          <t>Editor open.</t>
        </is>
      </c>
      <c r="G1334" s="16" t="inlineStr">
        <is>
          <t>1. New request; method PUT; URL to an echo endpoint.
2. Auth type Digest; configure minimum credentials.
3. Body type none; provide minimum valid content.
4. Send and inspect outgoing wire request (DevTools/proxy).</t>
        </is>
      </c>
      <c r="H1334" s="16" t="inlineStr">
        <is>
          <t>method=PUT auth=Digest body=none</t>
        </is>
      </c>
      <c r="I1334" s="16" t="inlineStr">
        <is>
          <t>Digest auth applied correctly; none body sent with right Content-Type; server returns expected status.</t>
        </is>
      </c>
      <c r="J1334" s="16" t="inlineStr"/>
      <c r="K1334" s="16" t="inlineStr">
        <is>
          <t>Not Run</t>
        </is>
      </c>
      <c r="L1334" s="16" t="inlineStr">
        <is>
          <t>Medium</t>
        </is>
      </c>
      <c r="M1334" s="16" t="inlineStr"/>
      <c r="N1334" s="16" t="inlineStr"/>
      <c r="O1334" s="16" t="inlineStr"/>
    </row>
    <row r="1335" ht="72" customHeight="1">
      <c r="A1335" s="16" t="inlineStr">
        <is>
          <t>TC-MM-0292</t>
        </is>
      </c>
      <c r="B1335" s="16" t="inlineStr">
        <is>
          <t>Method x Body Matrix</t>
        </is>
      </c>
      <c r="C1335" s="16" t="inlineStr">
        <is>
          <t>PUT + Digest + form-data</t>
        </is>
      </c>
      <c r="D1335" s="16" t="inlineStr">
        <is>
          <t>Functional</t>
        </is>
      </c>
      <c r="E1335" s="16" t="inlineStr">
        <is>
          <t>PUT with Digest auth and form-data body</t>
        </is>
      </c>
      <c r="F1335" s="16" t="inlineStr">
        <is>
          <t>Editor open.</t>
        </is>
      </c>
      <c r="G1335" s="16" t="inlineStr">
        <is>
          <t>1. New request; method PUT; URL to an echo endpoint.
2. Auth type Digest; configure minimum credentials.
3. Body type form-data; provide minimum valid content.
4. Send and inspect outgoing wire request (DevTools/proxy).</t>
        </is>
      </c>
      <c r="H1335" s="16" t="inlineStr">
        <is>
          <t>method=PUT auth=Digest body=form-data</t>
        </is>
      </c>
      <c r="I1335" s="16" t="inlineStr">
        <is>
          <t>Digest challenge handled even though body is buffered; retry sends same body. Final status OK if creds valid.</t>
        </is>
      </c>
      <c r="J1335" s="16" t="inlineStr"/>
      <c r="K1335" s="16" t="inlineStr">
        <is>
          <t>Not Run</t>
        </is>
      </c>
      <c r="L1335" s="16" t="inlineStr">
        <is>
          <t>Medium</t>
        </is>
      </c>
      <c r="M1335" s="16" t="inlineStr"/>
      <c r="N1335" s="16" t="inlineStr"/>
      <c r="O1335" s="16" t="inlineStr"/>
    </row>
    <row r="1336" ht="72" customHeight="1">
      <c r="A1336" s="16" t="inlineStr">
        <is>
          <t>TC-MM-0293</t>
        </is>
      </c>
      <c r="B1336" s="16" t="inlineStr">
        <is>
          <t>Method x Body Matrix</t>
        </is>
      </c>
      <c r="C1336" s="16" t="inlineStr">
        <is>
          <t>PUT + Digest + x-www-form-urlencoded</t>
        </is>
      </c>
      <c r="D1336" s="16" t="inlineStr">
        <is>
          <t>Functional</t>
        </is>
      </c>
      <c r="E1336" s="16" t="inlineStr">
        <is>
          <t>PUT with Digest auth and x-www-form-urlencoded body</t>
        </is>
      </c>
      <c r="F1336" s="16" t="inlineStr">
        <is>
          <t>Editor open.</t>
        </is>
      </c>
      <c r="G1336" s="16" t="inlineStr">
        <is>
          <t>1. New request; method PUT; URL to an echo endpoint.
2. Auth type Digest; configure minimum credentials.
3. Body type x-www-form-urlencoded; provide minimum valid content.
4. Send and inspect outgoing wire request (DevTools/proxy).</t>
        </is>
      </c>
      <c r="H1336" s="16" t="inlineStr">
        <is>
          <t>method=PUT auth=Digest body=x-www-form-urlencoded</t>
        </is>
      </c>
      <c r="I1336" s="16" t="inlineStr">
        <is>
          <t>Digest challenge handled even though body is buffered; retry sends same body. Final status OK if creds valid.</t>
        </is>
      </c>
      <c r="J1336" s="16" t="inlineStr"/>
      <c r="K1336" s="16" t="inlineStr">
        <is>
          <t>Not Run</t>
        </is>
      </c>
      <c r="L1336" s="16" t="inlineStr">
        <is>
          <t>Medium</t>
        </is>
      </c>
      <c r="M1336" s="16" t="inlineStr"/>
      <c r="N1336" s="16" t="inlineStr"/>
      <c r="O1336" s="16" t="inlineStr"/>
    </row>
    <row r="1337" ht="72" customHeight="1">
      <c r="A1337" s="16" t="inlineStr">
        <is>
          <t>TC-MM-0294</t>
        </is>
      </c>
      <c r="B1337" s="16" t="inlineStr">
        <is>
          <t>Method x Body Matrix</t>
        </is>
      </c>
      <c r="C1337" s="16" t="inlineStr">
        <is>
          <t>PUT + Digest + raw-json</t>
        </is>
      </c>
      <c r="D1337" s="16" t="inlineStr">
        <is>
          <t>Functional</t>
        </is>
      </c>
      <c r="E1337" s="16" t="inlineStr">
        <is>
          <t>PUT with Digest auth and raw-json body</t>
        </is>
      </c>
      <c r="F1337" s="16" t="inlineStr">
        <is>
          <t>Editor open.</t>
        </is>
      </c>
      <c r="G1337" s="16" t="inlineStr">
        <is>
          <t>1. New request; method PUT; URL to an echo endpoint.
2. Auth type Digest; configure minimum credentials.
3. Body type raw-json; provide minimum valid content.
4. Send and inspect outgoing wire request (DevTools/proxy).</t>
        </is>
      </c>
      <c r="H1337" s="16" t="inlineStr">
        <is>
          <t>method=PUT auth=Digest body=raw-json</t>
        </is>
      </c>
      <c r="I1337" s="16" t="inlineStr">
        <is>
          <t>Digest challenge handled even though body is buffered; retry sends same body. Final status OK if creds valid.</t>
        </is>
      </c>
      <c r="J1337" s="16" t="inlineStr"/>
      <c r="K1337" s="16" t="inlineStr">
        <is>
          <t>Not Run</t>
        </is>
      </c>
      <c r="L1337" s="16" t="inlineStr">
        <is>
          <t>Medium</t>
        </is>
      </c>
      <c r="M1337" s="16" t="inlineStr"/>
      <c r="N1337" s="16" t="inlineStr"/>
      <c r="O1337" s="16" t="inlineStr"/>
    </row>
    <row r="1338" ht="72" customHeight="1">
      <c r="A1338" s="16" t="inlineStr">
        <is>
          <t>TC-MM-0295</t>
        </is>
      </c>
      <c r="B1338" s="16" t="inlineStr">
        <is>
          <t>Method x Body Matrix</t>
        </is>
      </c>
      <c r="C1338" s="16" t="inlineStr">
        <is>
          <t>PUT + Digest + raw-xml</t>
        </is>
      </c>
      <c r="D1338" s="16" t="inlineStr">
        <is>
          <t>Functional</t>
        </is>
      </c>
      <c r="E1338" s="16" t="inlineStr">
        <is>
          <t>PUT with Digest auth and raw-xml body</t>
        </is>
      </c>
      <c r="F1338" s="16" t="inlineStr">
        <is>
          <t>Editor open.</t>
        </is>
      </c>
      <c r="G1338" s="16" t="inlineStr">
        <is>
          <t>1. New request; method PUT; URL to an echo endpoint.
2. Auth type Digest; configure minimum credentials.
3. Body type raw-xml; provide minimum valid content.
4. Send and inspect outgoing wire request (DevTools/proxy).</t>
        </is>
      </c>
      <c r="H1338" s="16" t="inlineStr">
        <is>
          <t>method=PUT auth=Digest body=raw-xml</t>
        </is>
      </c>
      <c r="I1338" s="16" t="inlineStr">
        <is>
          <t>Digest challenge handled even though body is buffered; retry sends same body. Final status OK if creds valid.</t>
        </is>
      </c>
      <c r="J1338" s="16" t="inlineStr"/>
      <c r="K1338" s="16" t="inlineStr">
        <is>
          <t>Not Run</t>
        </is>
      </c>
      <c r="L1338" s="16" t="inlineStr">
        <is>
          <t>Medium</t>
        </is>
      </c>
      <c r="M1338" s="16" t="inlineStr"/>
      <c r="N1338" s="16" t="inlineStr"/>
      <c r="O1338" s="16" t="inlineStr"/>
    </row>
    <row r="1339" ht="72" customHeight="1">
      <c r="A1339" s="16" t="inlineStr">
        <is>
          <t>TC-MM-0296</t>
        </is>
      </c>
      <c r="B1339" s="16" t="inlineStr">
        <is>
          <t>Method x Body Matrix</t>
        </is>
      </c>
      <c r="C1339" s="16" t="inlineStr">
        <is>
          <t>PUT + Digest + raw-text</t>
        </is>
      </c>
      <c r="D1339" s="16" t="inlineStr">
        <is>
          <t>Functional</t>
        </is>
      </c>
      <c r="E1339" s="16" t="inlineStr">
        <is>
          <t>PUT with Digest auth and raw-text body</t>
        </is>
      </c>
      <c r="F1339" s="16" t="inlineStr">
        <is>
          <t>Editor open.</t>
        </is>
      </c>
      <c r="G1339" s="16" t="inlineStr">
        <is>
          <t>1. New request; method PUT; URL to an echo endpoint.
2. Auth type Digest; configure minimum credentials.
3. Body type raw-text; provide minimum valid content.
4. Send and inspect outgoing wire request (DevTools/proxy).</t>
        </is>
      </c>
      <c r="H1339" s="16" t="inlineStr">
        <is>
          <t>method=PUT auth=Digest body=raw-text</t>
        </is>
      </c>
      <c r="I1339" s="16" t="inlineStr">
        <is>
          <t>Digest challenge handled even though body is buffered; retry sends same body. Final status OK if creds valid.</t>
        </is>
      </c>
      <c r="J1339" s="16" t="inlineStr"/>
      <c r="K1339" s="16" t="inlineStr">
        <is>
          <t>Not Run</t>
        </is>
      </c>
      <c r="L1339" s="16" t="inlineStr">
        <is>
          <t>Medium</t>
        </is>
      </c>
      <c r="M1339" s="16" t="inlineStr"/>
      <c r="N1339" s="16" t="inlineStr"/>
      <c r="O1339" s="16" t="inlineStr"/>
    </row>
    <row r="1340" ht="72" customHeight="1">
      <c r="A1340" s="16" t="inlineStr">
        <is>
          <t>TC-MM-0297</t>
        </is>
      </c>
      <c r="B1340" s="16" t="inlineStr">
        <is>
          <t>Method x Body Matrix</t>
        </is>
      </c>
      <c r="C1340" s="16" t="inlineStr">
        <is>
          <t>PUT + Digest + binary</t>
        </is>
      </c>
      <c r="D1340" s="16" t="inlineStr">
        <is>
          <t>Functional</t>
        </is>
      </c>
      <c r="E1340" s="16" t="inlineStr">
        <is>
          <t>PUT with Digest auth and binary body</t>
        </is>
      </c>
      <c r="F1340" s="16" t="inlineStr">
        <is>
          <t>Editor open.</t>
        </is>
      </c>
      <c r="G1340" s="16" t="inlineStr">
        <is>
          <t>1. New request; method PUT; URL to an echo endpoint.
2. Auth type Digest; configure minimum credentials.
3. Body type binary; provide minimum valid content.
4. Send and inspect outgoing wire request (DevTools/proxy).</t>
        </is>
      </c>
      <c r="H1340" s="16" t="inlineStr">
        <is>
          <t>method=PUT auth=Digest body=binary</t>
        </is>
      </c>
      <c r="I1340" s="16" t="inlineStr">
        <is>
          <t>Digest challenge handled even though body is buffered; retry sends same body. Final status OK if creds valid.</t>
        </is>
      </c>
      <c r="J1340" s="16" t="inlineStr"/>
      <c r="K1340" s="16" t="inlineStr">
        <is>
          <t>Not Run</t>
        </is>
      </c>
      <c r="L1340" s="16" t="inlineStr">
        <is>
          <t>Medium</t>
        </is>
      </c>
      <c r="M1340" s="16" t="inlineStr"/>
      <c r="N1340" s="16" t="inlineStr"/>
      <c r="O1340" s="16" t="inlineStr"/>
    </row>
    <row r="1341" ht="72" customHeight="1">
      <c r="A1341" s="16" t="inlineStr">
        <is>
          <t>TC-MM-0298</t>
        </is>
      </c>
      <c r="B1341" s="16" t="inlineStr">
        <is>
          <t>Method x Body Matrix</t>
        </is>
      </c>
      <c r="C1341" s="16" t="inlineStr">
        <is>
          <t>PUT + NTLM + none</t>
        </is>
      </c>
      <c r="D1341" s="16" t="inlineStr">
        <is>
          <t>Functional</t>
        </is>
      </c>
      <c r="E1341" s="16" t="inlineStr">
        <is>
          <t>PUT with NTLM auth and none body</t>
        </is>
      </c>
      <c r="F1341" s="16" t="inlineStr">
        <is>
          <t>Editor open.</t>
        </is>
      </c>
      <c r="G1341" s="16" t="inlineStr">
        <is>
          <t>1. New request; method PUT; URL to an echo endpoint.
2. Auth type NTLM; configure minimum credentials.
3. Body type none; provide minimum valid content.
4. Send and inspect outgoing wire request (DevTools/proxy).</t>
        </is>
      </c>
      <c r="H1341" s="16" t="inlineStr">
        <is>
          <t>method=PUT auth=NTLM body=none</t>
        </is>
      </c>
      <c r="I1341" s="16" t="inlineStr">
        <is>
          <t>NTLM auth applied correctly; none body sent with right Content-Type; server returns expected status.</t>
        </is>
      </c>
      <c r="J1341" s="16" t="inlineStr"/>
      <c r="K1341" s="16" t="inlineStr">
        <is>
          <t>Not Run</t>
        </is>
      </c>
      <c r="L1341" s="16" t="inlineStr">
        <is>
          <t>Medium</t>
        </is>
      </c>
      <c r="M1341" s="16" t="inlineStr"/>
      <c r="N1341" s="16" t="inlineStr"/>
      <c r="O1341" s="16" t="inlineStr"/>
    </row>
    <row r="1342" ht="72" customHeight="1">
      <c r="A1342" s="16" t="inlineStr">
        <is>
          <t>TC-MM-0299</t>
        </is>
      </c>
      <c r="B1342" s="16" t="inlineStr">
        <is>
          <t>Method x Body Matrix</t>
        </is>
      </c>
      <c r="C1342" s="16" t="inlineStr">
        <is>
          <t>PUT + NTLM + form-data</t>
        </is>
      </c>
      <c r="D1342" s="16" t="inlineStr">
        <is>
          <t>Edge Case</t>
        </is>
      </c>
      <c r="E1342" s="16" t="inlineStr">
        <is>
          <t>PUT with NTLM auth and form-data body</t>
        </is>
      </c>
      <c r="F1342" s="16" t="inlineStr">
        <is>
          <t>Editor open.</t>
        </is>
      </c>
      <c r="G1342" s="16" t="inlineStr">
        <is>
          <t>1. New request; method PUT; URL to an echo endpoint.
2. Auth type NTLM; configure minimum credentials.
3. Body type form-data; provide minimum valid content.
4. Send and inspect outgoing wire request (DevTools/proxy).</t>
        </is>
      </c>
      <c r="H1342" s="16" t="inlineStr">
        <is>
          <t>method=PUT auth=NTLM body=form-data</t>
        </is>
      </c>
      <c r="I1342" s="16" t="inlineStr">
        <is>
          <t>NTLM 3-way handshake; body re-transmitted on Authenticate step. App handles body buffering across handshake without truncation.</t>
        </is>
      </c>
      <c r="J1342" s="16" t="inlineStr"/>
      <c r="K1342" s="16" t="inlineStr">
        <is>
          <t>Not Run</t>
        </is>
      </c>
      <c r="L1342" s="16" t="inlineStr">
        <is>
          <t>Medium</t>
        </is>
      </c>
      <c r="M1342" s="16" t="inlineStr"/>
      <c r="N1342" s="16" t="inlineStr"/>
      <c r="O1342" s="16" t="inlineStr"/>
    </row>
    <row r="1343" ht="72" customHeight="1">
      <c r="A1343" s="16" t="inlineStr">
        <is>
          <t>TC-MM-0300</t>
        </is>
      </c>
      <c r="B1343" s="16" t="inlineStr">
        <is>
          <t>Method x Body Matrix</t>
        </is>
      </c>
      <c r="C1343" s="16" t="inlineStr">
        <is>
          <t>PUT + NTLM + x-www-form-urlencoded</t>
        </is>
      </c>
      <c r="D1343" s="16" t="inlineStr">
        <is>
          <t>Edge Case</t>
        </is>
      </c>
      <c r="E1343" s="16" t="inlineStr">
        <is>
          <t>PUT with NTLM auth and x-www-form-urlencoded body</t>
        </is>
      </c>
      <c r="F1343" s="16" t="inlineStr">
        <is>
          <t>Editor open.</t>
        </is>
      </c>
      <c r="G1343" s="16" t="inlineStr">
        <is>
          <t>1. New request; method PUT; URL to an echo endpoint.
2. Auth type NTLM; configure minimum credentials.
3. Body type x-www-form-urlencoded; provide minimum valid content.
4. Send and inspect outgoing wire request (DevTools/proxy).</t>
        </is>
      </c>
      <c r="H1343" s="16" t="inlineStr">
        <is>
          <t>method=PUT auth=NTLM body=x-www-form-urlencoded</t>
        </is>
      </c>
      <c r="I1343" s="16" t="inlineStr">
        <is>
          <t>NTLM 3-way handshake; body re-transmitted on Authenticate step. App handles body buffering across handshake without truncation.</t>
        </is>
      </c>
      <c r="J1343" s="16" t="inlineStr"/>
      <c r="K1343" s="16" t="inlineStr">
        <is>
          <t>Not Run</t>
        </is>
      </c>
      <c r="L1343" s="16" t="inlineStr">
        <is>
          <t>Medium</t>
        </is>
      </c>
      <c r="M1343" s="16" t="inlineStr"/>
      <c r="N1343" s="16" t="inlineStr"/>
      <c r="O1343" s="16" t="inlineStr"/>
    </row>
    <row r="1344" ht="72" customHeight="1">
      <c r="A1344" s="16" t="inlineStr">
        <is>
          <t>TC-MM-0301</t>
        </is>
      </c>
      <c r="B1344" s="16" t="inlineStr">
        <is>
          <t>Method x Body Matrix</t>
        </is>
      </c>
      <c r="C1344" s="16" t="inlineStr">
        <is>
          <t>PUT + NTLM + raw-json</t>
        </is>
      </c>
      <c r="D1344" s="16" t="inlineStr">
        <is>
          <t>Edge Case</t>
        </is>
      </c>
      <c r="E1344" s="16" t="inlineStr">
        <is>
          <t>PUT with NTLM auth and raw-json body</t>
        </is>
      </c>
      <c r="F1344" s="16" t="inlineStr">
        <is>
          <t>Editor open.</t>
        </is>
      </c>
      <c r="G1344" s="16" t="inlineStr">
        <is>
          <t>1. New request; method PUT; URL to an echo endpoint.
2. Auth type NTLM; configure minimum credentials.
3. Body type raw-json; provide minimum valid content.
4. Send and inspect outgoing wire request (DevTools/proxy).</t>
        </is>
      </c>
      <c r="H1344" s="16" t="inlineStr">
        <is>
          <t>method=PUT auth=NTLM body=raw-json</t>
        </is>
      </c>
      <c r="I1344" s="16" t="inlineStr">
        <is>
          <t>NTLM 3-way handshake; body re-transmitted on Authenticate step. App handles body buffering across handshake without truncation.</t>
        </is>
      </c>
      <c r="J1344" s="16" t="inlineStr"/>
      <c r="K1344" s="16" t="inlineStr">
        <is>
          <t>Not Run</t>
        </is>
      </c>
      <c r="L1344" s="16" t="inlineStr">
        <is>
          <t>Medium</t>
        </is>
      </c>
      <c r="M1344" s="16" t="inlineStr"/>
      <c r="N1344" s="16" t="inlineStr"/>
      <c r="O1344" s="16" t="inlineStr"/>
    </row>
    <row r="1345" ht="72" customHeight="1">
      <c r="A1345" s="16" t="inlineStr">
        <is>
          <t>TC-MM-0302</t>
        </is>
      </c>
      <c r="B1345" s="16" t="inlineStr">
        <is>
          <t>Method x Body Matrix</t>
        </is>
      </c>
      <c r="C1345" s="16" t="inlineStr">
        <is>
          <t>PUT + NTLM + raw-xml</t>
        </is>
      </c>
      <c r="D1345" s="16" t="inlineStr">
        <is>
          <t>Edge Case</t>
        </is>
      </c>
      <c r="E1345" s="16" t="inlineStr">
        <is>
          <t>PUT with NTLM auth and raw-xml body</t>
        </is>
      </c>
      <c r="F1345" s="16" t="inlineStr">
        <is>
          <t>Editor open.</t>
        </is>
      </c>
      <c r="G1345" s="16" t="inlineStr">
        <is>
          <t>1. New request; method PUT; URL to an echo endpoint.
2. Auth type NTLM; configure minimum credentials.
3. Body type raw-xml; provide minimum valid content.
4. Send and inspect outgoing wire request (DevTools/proxy).</t>
        </is>
      </c>
      <c r="H1345" s="16" t="inlineStr">
        <is>
          <t>method=PUT auth=NTLM body=raw-xml</t>
        </is>
      </c>
      <c r="I1345" s="16" t="inlineStr">
        <is>
          <t>NTLM 3-way handshake; body re-transmitted on Authenticate step. App handles body buffering across handshake without truncation.</t>
        </is>
      </c>
      <c r="J1345" s="16" t="inlineStr"/>
      <c r="K1345" s="16" t="inlineStr">
        <is>
          <t>Not Run</t>
        </is>
      </c>
      <c r="L1345" s="16" t="inlineStr">
        <is>
          <t>Medium</t>
        </is>
      </c>
      <c r="M1345" s="16" t="inlineStr"/>
      <c r="N1345" s="16" t="inlineStr"/>
      <c r="O1345" s="16" t="inlineStr"/>
    </row>
    <row r="1346" ht="72" customHeight="1">
      <c r="A1346" s="16" t="inlineStr">
        <is>
          <t>TC-MM-0303</t>
        </is>
      </c>
      <c r="B1346" s="16" t="inlineStr">
        <is>
          <t>Method x Body Matrix</t>
        </is>
      </c>
      <c r="C1346" s="16" t="inlineStr">
        <is>
          <t>PUT + NTLM + raw-text</t>
        </is>
      </c>
      <c r="D1346" s="16" t="inlineStr">
        <is>
          <t>Edge Case</t>
        </is>
      </c>
      <c r="E1346" s="16" t="inlineStr">
        <is>
          <t>PUT with NTLM auth and raw-text body</t>
        </is>
      </c>
      <c r="F1346" s="16" t="inlineStr">
        <is>
          <t>Editor open.</t>
        </is>
      </c>
      <c r="G1346" s="16" t="inlineStr">
        <is>
          <t>1. New request; method PUT; URL to an echo endpoint.
2. Auth type NTLM; configure minimum credentials.
3. Body type raw-text; provide minimum valid content.
4. Send and inspect outgoing wire request (DevTools/proxy).</t>
        </is>
      </c>
      <c r="H1346" s="16" t="inlineStr">
        <is>
          <t>method=PUT auth=NTLM body=raw-text</t>
        </is>
      </c>
      <c r="I1346" s="16" t="inlineStr">
        <is>
          <t>NTLM 3-way handshake; body re-transmitted on Authenticate step. App handles body buffering across handshake without truncation.</t>
        </is>
      </c>
      <c r="J1346" s="16" t="inlineStr"/>
      <c r="K1346" s="16" t="inlineStr">
        <is>
          <t>Not Run</t>
        </is>
      </c>
      <c r="L1346" s="16" t="inlineStr">
        <is>
          <t>Medium</t>
        </is>
      </c>
      <c r="M1346" s="16" t="inlineStr"/>
      <c r="N1346" s="16" t="inlineStr"/>
      <c r="O1346" s="16" t="inlineStr"/>
    </row>
    <row r="1347" ht="72" customHeight="1">
      <c r="A1347" s="16" t="inlineStr">
        <is>
          <t>TC-MM-0304</t>
        </is>
      </c>
      <c r="B1347" s="16" t="inlineStr">
        <is>
          <t>Method x Body Matrix</t>
        </is>
      </c>
      <c r="C1347" s="16" t="inlineStr">
        <is>
          <t>PUT + NTLM + binary</t>
        </is>
      </c>
      <c r="D1347" s="16" t="inlineStr">
        <is>
          <t>Edge Case</t>
        </is>
      </c>
      <c r="E1347" s="16" t="inlineStr">
        <is>
          <t>PUT with NTLM auth and binary body</t>
        </is>
      </c>
      <c r="F1347" s="16" t="inlineStr">
        <is>
          <t>Editor open.</t>
        </is>
      </c>
      <c r="G1347" s="16" t="inlineStr">
        <is>
          <t>1. New request; method PUT; URL to an echo endpoint.
2. Auth type NTLM; configure minimum credentials.
3. Body type binary; provide minimum valid content.
4. Send and inspect outgoing wire request (DevTools/proxy).</t>
        </is>
      </c>
      <c r="H1347" s="16" t="inlineStr">
        <is>
          <t>method=PUT auth=NTLM body=binary</t>
        </is>
      </c>
      <c r="I1347" s="16" t="inlineStr">
        <is>
          <t>NTLM 3-way handshake; body re-transmitted on Authenticate step. App handles body buffering across handshake without truncation.</t>
        </is>
      </c>
      <c r="J1347" s="16" t="inlineStr"/>
      <c r="K1347" s="16" t="inlineStr">
        <is>
          <t>Not Run</t>
        </is>
      </c>
      <c r="L1347" s="16" t="inlineStr">
        <is>
          <t>Medium</t>
        </is>
      </c>
      <c r="M1347" s="16" t="inlineStr"/>
      <c r="N1347" s="16" t="inlineStr"/>
      <c r="O1347" s="16" t="inlineStr"/>
    </row>
    <row r="1348" ht="72" customHeight="1">
      <c r="A1348" s="16" t="inlineStr">
        <is>
          <t>TC-MM-0305</t>
        </is>
      </c>
      <c r="B1348" s="16" t="inlineStr">
        <is>
          <t>Method x Body Matrix</t>
        </is>
      </c>
      <c r="C1348" s="16" t="inlineStr">
        <is>
          <t>PATCH + None + none</t>
        </is>
      </c>
      <c r="D1348" s="16" t="inlineStr">
        <is>
          <t>Functional</t>
        </is>
      </c>
      <c r="E1348" s="16" t="inlineStr">
        <is>
          <t>PATCH with None auth and none body</t>
        </is>
      </c>
      <c r="F1348" s="16" t="inlineStr">
        <is>
          <t>Editor open.</t>
        </is>
      </c>
      <c r="G1348" s="16" t="inlineStr">
        <is>
          <t>1. New request; method PATCH; URL to an echo endpoint.
2. Auth type None; configure minimum credentials.
3. Body type none; provide minimum valid content.
4. Send and inspect outgoing wire request (DevTools/proxy).</t>
        </is>
      </c>
      <c r="H1348" s="16" t="inlineStr">
        <is>
          <t>method=PATCH auth=None body=none</t>
        </is>
      </c>
      <c r="I1348" s="16" t="inlineStr">
        <is>
          <t>No Authorization header on PATCH; none body sent if applicable.</t>
        </is>
      </c>
      <c r="J1348" s="16" t="inlineStr"/>
      <c r="K1348" s="16" t="inlineStr">
        <is>
          <t>Not Run</t>
        </is>
      </c>
      <c r="L1348" s="16" t="inlineStr">
        <is>
          <t>Low</t>
        </is>
      </c>
      <c r="M1348" s="16" t="inlineStr"/>
      <c r="N1348" s="16" t="inlineStr"/>
      <c r="O1348" s="16" t="inlineStr"/>
    </row>
    <row r="1349" ht="72" customHeight="1">
      <c r="A1349" s="16" t="inlineStr">
        <is>
          <t>TC-MM-0306</t>
        </is>
      </c>
      <c r="B1349" s="16" t="inlineStr">
        <is>
          <t>Method x Body Matrix</t>
        </is>
      </c>
      <c r="C1349" s="16" t="inlineStr">
        <is>
          <t>PATCH + None + form-data</t>
        </is>
      </c>
      <c r="D1349" s="16" t="inlineStr">
        <is>
          <t>Functional</t>
        </is>
      </c>
      <c r="E1349" s="16" t="inlineStr">
        <is>
          <t>PATCH with None auth and form-data body</t>
        </is>
      </c>
      <c r="F1349" s="16" t="inlineStr">
        <is>
          <t>Editor open.</t>
        </is>
      </c>
      <c r="G1349" s="16" t="inlineStr">
        <is>
          <t>1. New request; method PATCH; URL to an echo endpoint.
2. Auth type None; configure minimum credentials.
3. Body type form-data; provide minimum valid content.
4. Send and inspect outgoing wire request (DevTools/proxy).</t>
        </is>
      </c>
      <c r="H1349" s="16" t="inlineStr">
        <is>
          <t>method=PATCH auth=None body=form-data</t>
        </is>
      </c>
      <c r="I1349" s="16" t="inlineStr">
        <is>
          <t>No Authorization header on PATCH; form-data body sent if applicable.</t>
        </is>
      </c>
      <c r="J1349" s="16" t="inlineStr"/>
      <c r="K1349" s="16" t="inlineStr">
        <is>
          <t>Not Run</t>
        </is>
      </c>
      <c r="L1349" s="16" t="inlineStr">
        <is>
          <t>Low</t>
        </is>
      </c>
      <c r="M1349" s="16" t="inlineStr"/>
      <c r="N1349" s="16" t="inlineStr"/>
      <c r="O1349" s="16" t="inlineStr"/>
    </row>
    <row r="1350" ht="72" customHeight="1">
      <c r="A1350" s="16" t="inlineStr">
        <is>
          <t>TC-MM-0307</t>
        </is>
      </c>
      <c r="B1350" s="16" t="inlineStr">
        <is>
          <t>Method x Body Matrix</t>
        </is>
      </c>
      <c r="C1350" s="16" t="inlineStr">
        <is>
          <t>PATCH + None + x-www-form-urlencoded</t>
        </is>
      </c>
      <c r="D1350" s="16" t="inlineStr">
        <is>
          <t>Functional</t>
        </is>
      </c>
      <c r="E1350" s="16" t="inlineStr">
        <is>
          <t>PATCH with None auth and x-www-form-urlencoded body</t>
        </is>
      </c>
      <c r="F1350" s="16" t="inlineStr">
        <is>
          <t>Editor open.</t>
        </is>
      </c>
      <c r="G1350" s="16" t="inlineStr">
        <is>
          <t>1. New request; method PATCH; URL to an echo endpoint.
2. Auth type None; configure minimum credentials.
3. Body type x-www-form-urlencoded; provide minimum valid content.
4. Send and inspect outgoing wire request (DevTools/proxy).</t>
        </is>
      </c>
      <c r="H1350" s="16" t="inlineStr">
        <is>
          <t>method=PATCH auth=None body=x-www-form-urlencoded</t>
        </is>
      </c>
      <c r="I1350" s="16" t="inlineStr">
        <is>
          <t>No Authorization header on PATCH; x-www-form-urlencoded body sent if applicable.</t>
        </is>
      </c>
      <c r="J1350" s="16" t="inlineStr"/>
      <c r="K1350" s="16" t="inlineStr">
        <is>
          <t>Not Run</t>
        </is>
      </c>
      <c r="L1350" s="16" t="inlineStr">
        <is>
          <t>Low</t>
        </is>
      </c>
      <c r="M1350" s="16" t="inlineStr"/>
      <c r="N1350" s="16" t="inlineStr"/>
      <c r="O1350" s="16" t="inlineStr"/>
    </row>
    <row r="1351" ht="72" customHeight="1">
      <c r="A1351" s="16" t="inlineStr">
        <is>
          <t>TC-MM-0308</t>
        </is>
      </c>
      <c r="B1351" s="16" t="inlineStr">
        <is>
          <t>Method x Body Matrix</t>
        </is>
      </c>
      <c r="C1351" s="16" t="inlineStr">
        <is>
          <t>PATCH + None + raw-json</t>
        </is>
      </c>
      <c r="D1351" s="16" t="inlineStr">
        <is>
          <t>Functional</t>
        </is>
      </c>
      <c r="E1351" s="16" t="inlineStr">
        <is>
          <t>PATCH with None auth and raw-json body</t>
        </is>
      </c>
      <c r="F1351" s="16" t="inlineStr">
        <is>
          <t>Editor open.</t>
        </is>
      </c>
      <c r="G1351" s="16" t="inlineStr">
        <is>
          <t>1. New request; method PATCH; URL to an echo endpoint.
2. Auth type None; configure minimum credentials.
3. Body type raw-json; provide minimum valid content.
4. Send and inspect outgoing wire request (DevTools/proxy).</t>
        </is>
      </c>
      <c r="H1351" s="16" t="inlineStr">
        <is>
          <t>method=PATCH auth=None body=raw-json</t>
        </is>
      </c>
      <c r="I1351" s="16" t="inlineStr">
        <is>
          <t>No Authorization header on PATCH; raw-json body sent if applicable.</t>
        </is>
      </c>
      <c r="J1351" s="16" t="inlineStr"/>
      <c r="K1351" s="16" t="inlineStr">
        <is>
          <t>Not Run</t>
        </is>
      </c>
      <c r="L1351" s="16" t="inlineStr">
        <is>
          <t>Low</t>
        </is>
      </c>
      <c r="M1351" s="16" t="inlineStr"/>
      <c r="N1351" s="16" t="inlineStr"/>
      <c r="O1351" s="16" t="inlineStr"/>
    </row>
    <row r="1352" ht="72" customHeight="1">
      <c r="A1352" s="16" t="inlineStr">
        <is>
          <t>TC-MM-0309</t>
        </is>
      </c>
      <c r="B1352" s="16" t="inlineStr">
        <is>
          <t>Method x Body Matrix</t>
        </is>
      </c>
      <c r="C1352" s="16" t="inlineStr">
        <is>
          <t>PATCH + None + raw-xml</t>
        </is>
      </c>
      <c r="D1352" s="16" t="inlineStr">
        <is>
          <t>Functional</t>
        </is>
      </c>
      <c r="E1352" s="16" t="inlineStr">
        <is>
          <t>PATCH with None auth and raw-xml body</t>
        </is>
      </c>
      <c r="F1352" s="16" t="inlineStr">
        <is>
          <t>Editor open.</t>
        </is>
      </c>
      <c r="G1352" s="16" t="inlineStr">
        <is>
          <t>1. New request; method PATCH; URL to an echo endpoint.
2. Auth type None; configure minimum credentials.
3. Body type raw-xml; provide minimum valid content.
4. Send and inspect outgoing wire request (DevTools/proxy).</t>
        </is>
      </c>
      <c r="H1352" s="16" t="inlineStr">
        <is>
          <t>method=PATCH auth=None body=raw-xml</t>
        </is>
      </c>
      <c r="I1352" s="16" t="inlineStr">
        <is>
          <t>No Authorization header on PATCH; raw-xml body sent if applicable.</t>
        </is>
      </c>
      <c r="J1352" s="16" t="inlineStr"/>
      <c r="K1352" s="16" t="inlineStr">
        <is>
          <t>Not Run</t>
        </is>
      </c>
      <c r="L1352" s="16" t="inlineStr">
        <is>
          <t>Low</t>
        </is>
      </c>
      <c r="M1352" s="16" t="inlineStr"/>
      <c r="N1352" s="16" t="inlineStr"/>
      <c r="O1352" s="16" t="inlineStr"/>
    </row>
    <row r="1353" ht="72" customHeight="1">
      <c r="A1353" s="16" t="inlineStr">
        <is>
          <t>TC-MM-0310</t>
        </is>
      </c>
      <c r="B1353" s="16" t="inlineStr">
        <is>
          <t>Method x Body Matrix</t>
        </is>
      </c>
      <c r="C1353" s="16" t="inlineStr">
        <is>
          <t>PATCH + None + raw-text</t>
        </is>
      </c>
      <c r="D1353" s="16" t="inlineStr">
        <is>
          <t>Functional</t>
        </is>
      </c>
      <c r="E1353" s="16" t="inlineStr">
        <is>
          <t>PATCH with None auth and raw-text body</t>
        </is>
      </c>
      <c r="F1353" s="16" t="inlineStr">
        <is>
          <t>Editor open.</t>
        </is>
      </c>
      <c r="G1353" s="16" t="inlineStr">
        <is>
          <t>1. New request; method PATCH; URL to an echo endpoint.
2. Auth type None; configure minimum credentials.
3. Body type raw-text; provide minimum valid content.
4. Send and inspect outgoing wire request (DevTools/proxy).</t>
        </is>
      </c>
      <c r="H1353" s="16" t="inlineStr">
        <is>
          <t>method=PATCH auth=None body=raw-text</t>
        </is>
      </c>
      <c r="I1353" s="16" t="inlineStr">
        <is>
          <t>No Authorization header on PATCH; raw-text body sent if applicable.</t>
        </is>
      </c>
      <c r="J1353" s="16" t="inlineStr"/>
      <c r="K1353" s="16" t="inlineStr">
        <is>
          <t>Not Run</t>
        </is>
      </c>
      <c r="L1353" s="16" t="inlineStr">
        <is>
          <t>Low</t>
        </is>
      </c>
      <c r="M1353" s="16" t="inlineStr"/>
      <c r="N1353" s="16" t="inlineStr"/>
      <c r="O1353" s="16" t="inlineStr"/>
    </row>
    <row r="1354" ht="72" customHeight="1">
      <c r="A1354" s="16" t="inlineStr">
        <is>
          <t>TC-MM-0311</t>
        </is>
      </c>
      <c r="B1354" s="16" t="inlineStr">
        <is>
          <t>Method x Body Matrix</t>
        </is>
      </c>
      <c r="C1354" s="16" t="inlineStr">
        <is>
          <t>PATCH + None + binary</t>
        </is>
      </c>
      <c r="D1354" s="16" t="inlineStr">
        <is>
          <t>Functional</t>
        </is>
      </c>
      <c r="E1354" s="16" t="inlineStr">
        <is>
          <t>PATCH with None auth and binary body</t>
        </is>
      </c>
      <c r="F1354" s="16" t="inlineStr">
        <is>
          <t>Editor open.</t>
        </is>
      </c>
      <c r="G1354" s="16" t="inlineStr">
        <is>
          <t>1. New request; method PATCH; URL to an echo endpoint.
2. Auth type None; configure minimum credentials.
3. Body type binary; provide minimum valid content.
4. Send and inspect outgoing wire request (DevTools/proxy).</t>
        </is>
      </c>
      <c r="H1354" s="16" t="inlineStr">
        <is>
          <t>method=PATCH auth=None body=binary</t>
        </is>
      </c>
      <c r="I1354" s="16" t="inlineStr">
        <is>
          <t>No Authorization header on PATCH; binary body sent if applicable.</t>
        </is>
      </c>
      <c r="J1354" s="16" t="inlineStr"/>
      <c r="K1354" s="16" t="inlineStr">
        <is>
          <t>Not Run</t>
        </is>
      </c>
      <c r="L1354" s="16" t="inlineStr">
        <is>
          <t>Low</t>
        </is>
      </c>
      <c r="M1354" s="16" t="inlineStr"/>
      <c r="N1354" s="16" t="inlineStr"/>
      <c r="O1354" s="16" t="inlineStr"/>
    </row>
    <row r="1355" ht="72" customHeight="1">
      <c r="A1355" s="16" t="inlineStr">
        <is>
          <t>TC-MM-0312</t>
        </is>
      </c>
      <c r="B1355" s="16" t="inlineStr">
        <is>
          <t>Method x Body Matrix</t>
        </is>
      </c>
      <c r="C1355" s="16" t="inlineStr">
        <is>
          <t>PATCH + Bearer + none</t>
        </is>
      </c>
      <c r="D1355" s="16" t="inlineStr">
        <is>
          <t>Functional</t>
        </is>
      </c>
      <c r="E1355" s="16" t="inlineStr">
        <is>
          <t>PATCH with Bearer auth and none body</t>
        </is>
      </c>
      <c r="F1355" s="16" t="inlineStr">
        <is>
          <t>Editor open.</t>
        </is>
      </c>
      <c r="G1355" s="16" t="inlineStr">
        <is>
          <t>1. New request; method PATCH; URL to an echo endpoint.
2. Auth type Bearer; configure minimum credentials.
3. Body type none; provide minimum valid content.
4. Send and inspect outgoing wire request (DevTools/proxy).</t>
        </is>
      </c>
      <c r="H1355" s="16" t="inlineStr">
        <is>
          <t>method=PATCH auth=Bearer body=none</t>
        </is>
      </c>
      <c r="I1355" s="16" t="inlineStr">
        <is>
          <t>Bearer auth applied correctly; none body sent with right Content-Type; server returns expected status.</t>
        </is>
      </c>
      <c r="J1355" s="16" t="inlineStr"/>
      <c r="K1355" s="16" t="inlineStr">
        <is>
          <t>Not Run</t>
        </is>
      </c>
      <c r="L1355" s="16" t="inlineStr">
        <is>
          <t>Medium</t>
        </is>
      </c>
      <c r="M1355" s="16" t="inlineStr"/>
      <c r="N1355" s="16" t="inlineStr"/>
      <c r="O1355" s="16" t="inlineStr"/>
    </row>
    <row r="1356" ht="72" customHeight="1">
      <c r="A1356" s="16" t="inlineStr">
        <is>
          <t>TC-MM-0313</t>
        </is>
      </c>
      <c r="B1356" s="16" t="inlineStr">
        <is>
          <t>Method x Body Matrix</t>
        </is>
      </c>
      <c r="C1356" s="16" t="inlineStr">
        <is>
          <t>PATCH + Bearer + form-data</t>
        </is>
      </c>
      <c r="D1356" s="16" t="inlineStr">
        <is>
          <t>Functional</t>
        </is>
      </c>
      <c r="E1356" s="16" t="inlineStr">
        <is>
          <t>PATCH with Bearer auth and form-data body</t>
        </is>
      </c>
      <c r="F1356" s="16" t="inlineStr">
        <is>
          <t>Editor open.</t>
        </is>
      </c>
      <c r="G1356" s="16" t="inlineStr">
        <is>
          <t>1. New request; method PATCH; URL to an echo endpoint.
2. Auth type Bearer; configure minimum credentials.
3. Body type form-data; provide minimum valid content.
4. Send and inspect outgoing wire request (DevTools/proxy).</t>
        </is>
      </c>
      <c r="H1356" s="16" t="inlineStr">
        <is>
          <t>method=PATCH auth=Bearer body=form-data</t>
        </is>
      </c>
      <c r="I1356" s="16" t="inlineStr">
        <is>
          <t>Bearer auth applied correctly; form-data body sent with right Content-Type; server returns expected status.</t>
        </is>
      </c>
      <c r="J1356" s="16" t="inlineStr"/>
      <c r="K1356" s="16" t="inlineStr">
        <is>
          <t>Not Run</t>
        </is>
      </c>
      <c r="L1356" s="16" t="inlineStr">
        <is>
          <t>Medium</t>
        </is>
      </c>
      <c r="M1356" s="16" t="inlineStr"/>
      <c r="N1356" s="16" t="inlineStr"/>
      <c r="O1356" s="16" t="inlineStr"/>
    </row>
    <row r="1357" ht="72" customHeight="1">
      <c r="A1357" s="16" t="inlineStr">
        <is>
          <t>TC-MM-0314</t>
        </is>
      </c>
      <c r="B1357" s="16" t="inlineStr">
        <is>
          <t>Method x Body Matrix</t>
        </is>
      </c>
      <c r="C1357" s="16" t="inlineStr">
        <is>
          <t>PATCH + Bearer + x-www-form-urlencoded</t>
        </is>
      </c>
      <c r="D1357" s="16" t="inlineStr">
        <is>
          <t>Functional</t>
        </is>
      </c>
      <c r="E1357" s="16" t="inlineStr">
        <is>
          <t>PATCH with Bearer auth and x-www-form-urlencoded body</t>
        </is>
      </c>
      <c r="F1357" s="16" t="inlineStr">
        <is>
          <t>Editor open.</t>
        </is>
      </c>
      <c r="G1357" s="16" t="inlineStr">
        <is>
          <t>1. New request; method PATCH; URL to an echo endpoint.
2. Auth type Bearer; configure minimum credentials.
3. Body type x-www-form-urlencoded; provide minimum valid content.
4. Send and inspect outgoing wire request (DevTools/proxy).</t>
        </is>
      </c>
      <c r="H1357" s="16" t="inlineStr">
        <is>
          <t>method=PATCH auth=Bearer body=x-www-form-urlencoded</t>
        </is>
      </c>
      <c r="I1357" s="16" t="inlineStr">
        <is>
          <t>Bearer auth applied correctly; x-www-form-urlencoded body sent with right Content-Type; server returns expected status.</t>
        </is>
      </c>
      <c r="J1357" s="16" t="inlineStr"/>
      <c r="K1357" s="16" t="inlineStr">
        <is>
          <t>Not Run</t>
        </is>
      </c>
      <c r="L1357" s="16" t="inlineStr">
        <is>
          <t>Medium</t>
        </is>
      </c>
      <c r="M1357" s="16" t="inlineStr"/>
      <c r="N1357" s="16" t="inlineStr"/>
      <c r="O1357" s="16" t="inlineStr"/>
    </row>
    <row r="1358" ht="72" customHeight="1">
      <c r="A1358" s="16" t="inlineStr">
        <is>
          <t>TC-MM-0315</t>
        </is>
      </c>
      <c r="B1358" s="16" t="inlineStr">
        <is>
          <t>Method x Body Matrix</t>
        </is>
      </c>
      <c r="C1358" s="16" t="inlineStr">
        <is>
          <t>PATCH + Bearer + raw-json</t>
        </is>
      </c>
      <c r="D1358" s="16" t="inlineStr">
        <is>
          <t>Functional</t>
        </is>
      </c>
      <c r="E1358" s="16" t="inlineStr">
        <is>
          <t>PATCH with Bearer auth and raw-json body</t>
        </is>
      </c>
      <c r="F1358" s="16" t="inlineStr">
        <is>
          <t>Editor open.</t>
        </is>
      </c>
      <c r="G1358" s="16" t="inlineStr">
        <is>
          <t>1. New request; method PATCH; URL to an echo endpoint.
2. Auth type Bearer; configure minimum credentials.
3. Body type raw-json; provide minimum valid content.
4. Send and inspect outgoing wire request (DevTools/proxy).</t>
        </is>
      </c>
      <c r="H1358" s="16" t="inlineStr">
        <is>
          <t>method=PATCH auth=Bearer body=raw-json</t>
        </is>
      </c>
      <c r="I1358" s="16" t="inlineStr">
        <is>
          <t>Bearer auth applied correctly; raw-json body sent with right Content-Type; server returns expected status.</t>
        </is>
      </c>
      <c r="J1358" s="16" t="inlineStr"/>
      <c r="K1358" s="16" t="inlineStr">
        <is>
          <t>Not Run</t>
        </is>
      </c>
      <c r="L1358" s="16" t="inlineStr">
        <is>
          <t>Medium</t>
        </is>
      </c>
      <c r="M1358" s="16" t="inlineStr"/>
      <c r="N1358" s="16" t="inlineStr"/>
      <c r="O1358" s="16" t="inlineStr"/>
    </row>
    <row r="1359" ht="72" customHeight="1">
      <c r="A1359" s="16" t="inlineStr">
        <is>
          <t>TC-MM-0316</t>
        </is>
      </c>
      <c r="B1359" s="16" t="inlineStr">
        <is>
          <t>Method x Body Matrix</t>
        </is>
      </c>
      <c r="C1359" s="16" t="inlineStr">
        <is>
          <t>PATCH + Bearer + raw-xml</t>
        </is>
      </c>
      <c r="D1359" s="16" t="inlineStr">
        <is>
          <t>Functional</t>
        </is>
      </c>
      <c r="E1359" s="16" t="inlineStr">
        <is>
          <t>PATCH with Bearer auth and raw-xml body</t>
        </is>
      </c>
      <c r="F1359" s="16" t="inlineStr">
        <is>
          <t>Editor open.</t>
        </is>
      </c>
      <c r="G1359" s="16" t="inlineStr">
        <is>
          <t>1. New request; method PATCH; URL to an echo endpoint.
2. Auth type Bearer; configure minimum credentials.
3. Body type raw-xml; provide minimum valid content.
4. Send and inspect outgoing wire request (DevTools/proxy).</t>
        </is>
      </c>
      <c r="H1359" s="16" t="inlineStr">
        <is>
          <t>method=PATCH auth=Bearer body=raw-xml</t>
        </is>
      </c>
      <c r="I1359" s="16" t="inlineStr">
        <is>
          <t>Bearer auth applied correctly; raw-xml body sent with right Content-Type; server returns expected status.</t>
        </is>
      </c>
      <c r="J1359" s="16" t="inlineStr"/>
      <c r="K1359" s="16" t="inlineStr">
        <is>
          <t>Not Run</t>
        </is>
      </c>
      <c r="L1359" s="16" t="inlineStr">
        <is>
          <t>Medium</t>
        </is>
      </c>
      <c r="M1359" s="16" t="inlineStr"/>
      <c r="N1359" s="16" t="inlineStr"/>
      <c r="O1359" s="16" t="inlineStr"/>
    </row>
    <row r="1360" ht="72" customHeight="1">
      <c r="A1360" s="16" t="inlineStr">
        <is>
          <t>TC-MM-0317</t>
        </is>
      </c>
      <c r="B1360" s="16" t="inlineStr">
        <is>
          <t>Method x Body Matrix</t>
        </is>
      </c>
      <c r="C1360" s="16" t="inlineStr">
        <is>
          <t>PATCH + Bearer + raw-text</t>
        </is>
      </c>
      <c r="D1360" s="16" t="inlineStr">
        <is>
          <t>Functional</t>
        </is>
      </c>
      <c r="E1360" s="16" t="inlineStr">
        <is>
          <t>PATCH with Bearer auth and raw-text body</t>
        </is>
      </c>
      <c r="F1360" s="16" t="inlineStr">
        <is>
          <t>Editor open.</t>
        </is>
      </c>
      <c r="G1360" s="16" t="inlineStr">
        <is>
          <t>1. New request; method PATCH; URL to an echo endpoint.
2. Auth type Bearer; configure minimum credentials.
3. Body type raw-text; provide minimum valid content.
4. Send and inspect outgoing wire request (DevTools/proxy).</t>
        </is>
      </c>
      <c r="H1360" s="16" t="inlineStr">
        <is>
          <t>method=PATCH auth=Bearer body=raw-text</t>
        </is>
      </c>
      <c r="I1360" s="16" t="inlineStr">
        <is>
          <t>Bearer auth applied correctly; raw-text body sent with right Content-Type; server returns expected status.</t>
        </is>
      </c>
      <c r="J1360" s="16" t="inlineStr"/>
      <c r="K1360" s="16" t="inlineStr">
        <is>
          <t>Not Run</t>
        </is>
      </c>
      <c r="L1360" s="16" t="inlineStr">
        <is>
          <t>Medium</t>
        </is>
      </c>
      <c r="M1360" s="16" t="inlineStr"/>
      <c r="N1360" s="16" t="inlineStr"/>
      <c r="O1360" s="16" t="inlineStr"/>
    </row>
    <row r="1361" ht="72" customHeight="1">
      <c r="A1361" s="16" t="inlineStr">
        <is>
          <t>TC-MM-0318</t>
        </is>
      </c>
      <c r="B1361" s="16" t="inlineStr">
        <is>
          <t>Method x Body Matrix</t>
        </is>
      </c>
      <c r="C1361" s="16" t="inlineStr">
        <is>
          <t>PATCH + Bearer + binary</t>
        </is>
      </c>
      <c r="D1361" s="16" t="inlineStr">
        <is>
          <t>Functional</t>
        </is>
      </c>
      <c r="E1361" s="16" t="inlineStr">
        <is>
          <t>PATCH with Bearer auth and binary body</t>
        </is>
      </c>
      <c r="F1361" s="16" t="inlineStr">
        <is>
          <t>Editor open.</t>
        </is>
      </c>
      <c r="G1361" s="16" t="inlineStr">
        <is>
          <t>1. New request; method PATCH; URL to an echo endpoint.
2. Auth type Bearer; configure minimum credentials.
3. Body type binary; provide minimum valid content.
4. Send and inspect outgoing wire request (DevTools/proxy).</t>
        </is>
      </c>
      <c r="H1361" s="16" t="inlineStr">
        <is>
          <t>method=PATCH auth=Bearer body=binary</t>
        </is>
      </c>
      <c r="I1361" s="16" t="inlineStr">
        <is>
          <t>Bearer auth applied correctly; binary body sent with right Content-Type; server returns expected status.</t>
        </is>
      </c>
      <c r="J1361" s="16" t="inlineStr"/>
      <c r="K1361" s="16" t="inlineStr">
        <is>
          <t>Not Run</t>
        </is>
      </c>
      <c r="L1361" s="16" t="inlineStr">
        <is>
          <t>Medium</t>
        </is>
      </c>
      <c r="M1361" s="16" t="inlineStr"/>
      <c r="N1361" s="16" t="inlineStr"/>
      <c r="O1361" s="16" t="inlineStr"/>
    </row>
    <row r="1362" ht="72" customHeight="1">
      <c r="A1362" s="16" t="inlineStr">
        <is>
          <t>TC-MM-0319</t>
        </is>
      </c>
      <c r="B1362" s="16" t="inlineStr">
        <is>
          <t>Method x Body Matrix</t>
        </is>
      </c>
      <c r="C1362" s="16" t="inlineStr">
        <is>
          <t>PATCH + Basic + none</t>
        </is>
      </c>
      <c r="D1362" s="16" t="inlineStr">
        <is>
          <t>Functional</t>
        </is>
      </c>
      <c r="E1362" s="16" t="inlineStr">
        <is>
          <t>PATCH with Basic auth and none body</t>
        </is>
      </c>
      <c r="F1362" s="16" t="inlineStr">
        <is>
          <t>Editor open.</t>
        </is>
      </c>
      <c r="G1362" s="16" t="inlineStr">
        <is>
          <t>1. New request; method PATCH; URL to an echo endpoint.
2. Auth type Basic; configure minimum credentials.
3. Body type none; provide minimum valid content.
4. Send and inspect outgoing wire request (DevTools/proxy).</t>
        </is>
      </c>
      <c r="H1362" s="16" t="inlineStr">
        <is>
          <t>method=PATCH auth=Basic body=none</t>
        </is>
      </c>
      <c r="I1362" s="16" t="inlineStr">
        <is>
          <t>Basic auth applied correctly; none body sent with right Content-Type; server returns expected status.</t>
        </is>
      </c>
      <c r="J1362" s="16" t="inlineStr"/>
      <c r="K1362" s="16" t="inlineStr">
        <is>
          <t>Not Run</t>
        </is>
      </c>
      <c r="L1362" s="16" t="inlineStr">
        <is>
          <t>Medium</t>
        </is>
      </c>
      <c r="M1362" s="16" t="inlineStr"/>
      <c r="N1362" s="16" t="inlineStr"/>
      <c r="O1362" s="16" t="inlineStr"/>
    </row>
    <row r="1363" ht="72" customHeight="1">
      <c r="A1363" s="16" t="inlineStr">
        <is>
          <t>TC-MM-0320</t>
        </is>
      </c>
      <c r="B1363" s="16" t="inlineStr">
        <is>
          <t>Method x Body Matrix</t>
        </is>
      </c>
      <c r="C1363" s="16" t="inlineStr">
        <is>
          <t>PATCH + Basic + form-data</t>
        </is>
      </c>
      <c r="D1363" s="16" t="inlineStr">
        <is>
          <t>Functional</t>
        </is>
      </c>
      <c r="E1363" s="16" t="inlineStr">
        <is>
          <t>PATCH with Basic auth and form-data body</t>
        </is>
      </c>
      <c r="F1363" s="16" t="inlineStr">
        <is>
          <t>Editor open.</t>
        </is>
      </c>
      <c r="G1363" s="16" t="inlineStr">
        <is>
          <t>1. New request; method PATCH; URL to an echo endpoint.
2. Auth type Basic; configure minimum credentials.
3. Body type form-data; provide minimum valid content.
4. Send and inspect outgoing wire request (DevTools/proxy).</t>
        </is>
      </c>
      <c r="H1363" s="16" t="inlineStr">
        <is>
          <t>method=PATCH auth=Basic body=form-data</t>
        </is>
      </c>
      <c r="I1363" s="16" t="inlineStr">
        <is>
          <t>Basic auth applied correctly; form-data body sent with right Content-Type; server returns expected status.</t>
        </is>
      </c>
      <c r="J1363" s="16" t="inlineStr"/>
      <c r="K1363" s="16" t="inlineStr">
        <is>
          <t>Not Run</t>
        </is>
      </c>
      <c r="L1363" s="16" t="inlineStr">
        <is>
          <t>Medium</t>
        </is>
      </c>
      <c r="M1363" s="16" t="inlineStr"/>
      <c r="N1363" s="16" t="inlineStr"/>
      <c r="O1363" s="16" t="inlineStr"/>
    </row>
    <row r="1364" ht="72" customHeight="1">
      <c r="A1364" s="16" t="inlineStr">
        <is>
          <t>TC-MM-0321</t>
        </is>
      </c>
      <c r="B1364" s="16" t="inlineStr">
        <is>
          <t>Method x Body Matrix</t>
        </is>
      </c>
      <c r="C1364" s="16" t="inlineStr">
        <is>
          <t>PATCH + Basic + x-www-form-urlencoded</t>
        </is>
      </c>
      <c r="D1364" s="16" t="inlineStr">
        <is>
          <t>Functional</t>
        </is>
      </c>
      <c r="E1364" s="16" t="inlineStr">
        <is>
          <t>PATCH with Basic auth and x-www-form-urlencoded body</t>
        </is>
      </c>
      <c r="F1364" s="16" t="inlineStr">
        <is>
          <t>Editor open.</t>
        </is>
      </c>
      <c r="G1364" s="16" t="inlineStr">
        <is>
          <t>1. New request; method PATCH; URL to an echo endpoint.
2. Auth type Basic; configure minimum credentials.
3. Body type x-www-form-urlencoded; provide minimum valid content.
4. Send and inspect outgoing wire request (DevTools/proxy).</t>
        </is>
      </c>
      <c r="H1364" s="16" t="inlineStr">
        <is>
          <t>method=PATCH auth=Basic body=x-www-form-urlencoded</t>
        </is>
      </c>
      <c r="I1364" s="16" t="inlineStr">
        <is>
          <t>Basic auth applied correctly; x-www-form-urlencoded body sent with right Content-Type; server returns expected status.</t>
        </is>
      </c>
      <c r="J1364" s="16" t="inlineStr"/>
      <c r="K1364" s="16" t="inlineStr">
        <is>
          <t>Not Run</t>
        </is>
      </c>
      <c r="L1364" s="16" t="inlineStr">
        <is>
          <t>Medium</t>
        </is>
      </c>
      <c r="M1364" s="16" t="inlineStr"/>
      <c r="N1364" s="16" t="inlineStr"/>
      <c r="O1364" s="16" t="inlineStr"/>
    </row>
    <row r="1365" ht="72" customHeight="1">
      <c r="A1365" s="16" t="inlineStr">
        <is>
          <t>TC-MM-0322</t>
        </is>
      </c>
      <c r="B1365" s="16" t="inlineStr">
        <is>
          <t>Method x Body Matrix</t>
        </is>
      </c>
      <c r="C1365" s="16" t="inlineStr">
        <is>
          <t>PATCH + Basic + raw-json</t>
        </is>
      </c>
      <c r="D1365" s="16" t="inlineStr">
        <is>
          <t>Functional</t>
        </is>
      </c>
      <c r="E1365" s="16" t="inlineStr">
        <is>
          <t>PATCH with Basic auth and raw-json body</t>
        </is>
      </c>
      <c r="F1365" s="16" t="inlineStr">
        <is>
          <t>Editor open.</t>
        </is>
      </c>
      <c r="G1365" s="16" t="inlineStr">
        <is>
          <t>1. New request; method PATCH; URL to an echo endpoint.
2. Auth type Basic; configure minimum credentials.
3. Body type raw-json; provide minimum valid content.
4. Send and inspect outgoing wire request (DevTools/proxy).</t>
        </is>
      </c>
      <c r="H1365" s="16" t="inlineStr">
        <is>
          <t>method=PATCH auth=Basic body=raw-json</t>
        </is>
      </c>
      <c r="I1365" s="16" t="inlineStr">
        <is>
          <t>Basic auth applied correctly; raw-json body sent with right Content-Type; server returns expected status.</t>
        </is>
      </c>
      <c r="J1365" s="16" t="inlineStr"/>
      <c r="K1365" s="16" t="inlineStr">
        <is>
          <t>Not Run</t>
        </is>
      </c>
      <c r="L1365" s="16" t="inlineStr">
        <is>
          <t>Medium</t>
        </is>
      </c>
      <c r="M1365" s="16" t="inlineStr"/>
      <c r="N1365" s="16" t="inlineStr"/>
      <c r="O1365" s="16" t="inlineStr"/>
    </row>
    <row r="1366" ht="72" customHeight="1">
      <c r="A1366" s="16" t="inlineStr">
        <is>
          <t>TC-MM-0323</t>
        </is>
      </c>
      <c r="B1366" s="16" t="inlineStr">
        <is>
          <t>Method x Body Matrix</t>
        </is>
      </c>
      <c r="C1366" s="16" t="inlineStr">
        <is>
          <t>PATCH + Basic + raw-xml</t>
        </is>
      </c>
      <c r="D1366" s="16" t="inlineStr">
        <is>
          <t>Functional</t>
        </is>
      </c>
      <c r="E1366" s="16" t="inlineStr">
        <is>
          <t>PATCH with Basic auth and raw-xml body</t>
        </is>
      </c>
      <c r="F1366" s="16" t="inlineStr">
        <is>
          <t>Editor open.</t>
        </is>
      </c>
      <c r="G1366" s="16" t="inlineStr">
        <is>
          <t>1. New request; method PATCH; URL to an echo endpoint.
2. Auth type Basic; configure minimum credentials.
3. Body type raw-xml; provide minimum valid content.
4. Send and inspect outgoing wire request (DevTools/proxy).</t>
        </is>
      </c>
      <c r="H1366" s="16" t="inlineStr">
        <is>
          <t>method=PATCH auth=Basic body=raw-xml</t>
        </is>
      </c>
      <c r="I1366" s="16" t="inlineStr">
        <is>
          <t>Basic auth applied correctly; raw-xml body sent with right Content-Type; server returns expected status.</t>
        </is>
      </c>
      <c r="J1366" s="16" t="inlineStr"/>
      <c r="K1366" s="16" t="inlineStr">
        <is>
          <t>Not Run</t>
        </is>
      </c>
      <c r="L1366" s="16" t="inlineStr">
        <is>
          <t>Medium</t>
        </is>
      </c>
      <c r="M1366" s="16" t="inlineStr"/>
      <c r="N1366" s="16" t="inlineStr"/>
      <c r="O1366" s="16" t="inlineStr"/>
    </row>
    <row r="1367" ht="72" customHeight="1">
      <c r="A1367" s="16" t="inlineStr">
        <is>
          <t>TC-MM-0324</t>
        </is>
      </c>
      <c r="B1367" s="16" t="inlineStr">
        <is>
          <t>Method x Body Matrix</t>
        </is>
      </c>
      <c r="C1367" s="16" t="inlineStr">
        <is>
          <t>PATCH + Basic + raw-text</t>
        </is>
      </c>
      <c r="D1367" s="16" t="inlineStr">
        <is>
          <t>Functional</t>
        </is>
      </c>
      <c r="E1367" s="16" t="inlineStr">
        <is>
          <t>PATCH with Basic auth and raw-text body</t>
        </is>
      </c>
      <c r="F1367" s="16" t="inlineStr">
        <is>
          <t>Editor open.</t>
        </is>
      </c>
      <c r="G1367" s="16" t="inlineStr">
        <is>
          <t>1. New request; method PATCH; URL to an echo endpoint.
2. Auth type Basic; configure minimum credentials.
3. Body type raw-text; provide minimum valid content.
4. Send and inspect outgoing wire request (DevTools/proxy).</t>
        </is>
      </c>
      <c r="H1367" s="16" t="inlineStr">
        <is>
          <t>method=PATCH auth=Basic body=raw-text</t>
        </is>
      </c>
      <c r="I1367" s="16" t="inlineStr">
        <is>
          <t>Basic auth applied correctly; raw-text body sent with right Content-Type; server returns expected status.</t>
        </is>
      </c>
      <c r="J1367" s="16" t="inlineStr"/>
      <c r="K1367" s="16" t="inlineStr">
        <is>
          <t>Not Run</t>
        </is>
      </c>
      <c r="L1367" s="16" t="inlineStr">
        <is>
          <t>Medium</t>
        </is>
      </c>
      <c r="M1367" s="16" t="inlineStr"/>
      <c r="N1367" s="16" t="inlineStr"/>
      <c r="O1367" s="16" t="inlineStr"/>
    </row>
    <row r="1368" ht="72" customHeight="1">
      <c r="A1368" s="16" t="inlineStr">
        <is>
          <t>TC-MM-0325</t>
        </is>
      </c>
      <c r="B1368" s="16" t="inlineStr">
        <is>
          <t>Method x Body Matrix</t>
        </is>
      </c>
      <c r="C1368" s="16" t="inlineStr">
        <is>
          <t>PATCH + Basic + binary</t>
        </is>
      </c>
      <c r="D1368" s="16" t="inlineStr">
        <is>
          <t>Functional</t>
        </is>
      </c>
      <c r="E1368" s="16" t="inlineStr">
        <is>
          <t>PATCH with Basic auth and binary body</t>
        </is>
      </c>
      <c r="F1368" s="16" t="inlineStr">
        <is>
          <t>Editor open.</t>
        </is>
      </c>
      <c r="G1368" s="16" t="inlineStr">
        <is>
          <t>1. New request; method PATCH; URL to an echo endpoint.
2. Auth type Basic; configure minimum credentials.
3. Body type binary; provide minimum valid content.
4. Send and inspect outgoing wire request (DevTools/proxy).</t>
        </is>
      </c>
      <c r="H1368" s="16" t="inlineStr">
        <is>
          <t>method=PATCH auth=Basic body=binary</t>
        </is>
      </c>
      <c r="I1368" s="16" t="inlineStr">
        <is>
          <t>Basic auth applied correctly; binary body sent with right Content-Type; server returns expected status.</t>
        </is>
      </c>
      <c r="J1368" s="16" t="inlineStr"/>
      <c r="K1368" s="16" t="inlineStr">
        <is>
          <t>Not Run</t>
        </is>
      </c>
      <c r="L1368" s="16" t="inlineStr">
        <is>
          <t>Medium</t>
        </is>
      </c>
      <c r="M1368" s="16" t="inlineStr"/>
      <c r="N1368" s="16" t="inlineStr"/>
      <c r="O1368" s="16" t="inlineStr"/>
    </row>
    <row r="1369" ht="72" customHeight="1">
      <c r="A1369" s="16" t="inlineStr">
        <is>
          <t>TC-MM-0326</t>
        </is>
      </c>
      <c r="B1369" s="16" t="inlineStr">
        <is>
          <t>Method x Body Matrix</t>
        </is>
      </c>
      <c r="C1369" s="16" t="inlineStr">
        <is>
          <t>PATCH + ApiKeyHeader + none</t>
        </is>
      </c>
      <c r="D1369" s="16" t="inlineStr">
        <is>
          <t>Functional</t>
        </is>
      </c>
      <c r="E1369" s="16" t="inlineStr">
        <is>
          <t>PATCH with ApiKeyHeader auth and none body</t>
        </is>
      </c>
      <c r="F1369" s="16" t="inlineStr">
        <is>
          <t>Editor open.</t>
        </is>
      </c>
      <c r="G1369" s="16" t="inlineStr">
        <is>
          <t>1. New request; method PATCH; URL to an echo endpoint.
2. Auth type ApiKeyHeader; configure minimum credentials.
3. Body type none; provide minimum valid content.
4. Send and inspect outgoing wire request (DevTools/proxy).</t>
        </is>
      </c>
      <c r="H1369" s="16" t="inlineStr">
        <is>
          <t>method=PATCH auth=ApiKeyHeader body=none</t>
        </is>
      </c>
      <c r="I1369" s="16" t="inlineStr">
        <is>
          <t>ApiKeyHeader auth applied correctly; none body sent with right Content-Type; server returns expected status.</t>
        </is>
      </c>
      <c r="J1369" s="16" t="inlineStr"/>
      <c r="K1369" s="16" t="inlineStr">
        <is>
          <t>Not Run</t>
        </is>
      </c>
      <c r="L1369" s="16" t="inlineStr">
        <is>
          <t>Medium</t>
        </is>
      </c>
      <c r="M1369" s="16" t="inlineStr"/>
      <c r="N1369" s="16" t="inlineStr"/>
      <c r="O1369" s="16" t="inlineStr"/>
    </row>
    <row r="1370" ht="72" customHeight="1">
      <c r="A1370" s="16" t="inlineStr">
        <is>
          <t>TC-MM-0327</t>
        </is>
      </c>
      <c r="B1370" s="16" t="inlineStr">
        <is>
          <t>Method x Body Matrix</t>
        </is>
      </c>
      <c r="C1370" s="16" t="inlineStr">
        <is>
          <t>PATCH + ApiKeyHeader + form-data</t>
        </is>
      </c>
      <c r="D1370" s="16" t="inlineStr">
        <is>
          <t>Functional</t>
        </is>
      </c>
      <c r="E1370" s="16" t="inlineStr">
        <is>
          <t>PATCH with ApiKeyHeader auth and form-data body</t>
        </is>
      </c>
      <c r="F1370" s="16" t="inlineStr">
        <is>
          <t>Editor open.</t>
        </is>
      </c>
      <c r="G1370" s="16" t="inlineStr">
        <is>
          <t>1. New request; method PATCH; URL to an echo endpoint.
2. Auth type ApiKeyHeader; configure minimum credentials.
3. Body type form-data; provide minimum valid content.
4. Send and inspect outgoing wire request (DevTools/proxy).</t>
        </is>
      </c>
      <c r="H1370" s="16" t="inlineStr">
        <is>
          <t>method=PATCH auth=ApiKeyHeader body=form-data</t>
        </is>
      </c>
      <c r="I1370" s="16" t="inlineStr">
        <is>
          <t>ApiKeyHeader auth applied correctly; form-data body sent with right Content-Type; server returns expected status.</t>
        </is>
      </c>
      <c r="J1370" s="16" t="inlineStr"/>
      <c r="K1370" s="16" t="inlineStr">
        <is>
          <t>Not Run</t>
        </is>
      </c>
      <c r="L1370" s="16" t="inlineStr">
        <is>
          <t>Medium</t>
        </is>
      </c>
      <c r="M1370" s="16" t="inlineStr"/>
      <c r="N1370" s="16" t="inlineStr"/>
      <c r="O1370" s="16" t="inlineStr"/>
    </row>
    <row r="1371" ht="72" customHeight="1">
      <c r="A1371" s="16" t="inlineStr">
        <is>
          <t>TC-MM-0328</t>
        </is>
      </c>
      <c r="B1371" s="16" t="inlineStr">
        <is>
          <t>Method x Body Matrix</t>
        </is>
      </c>
      <c r="C1371" s="16" t="inlineStr">
        <is>
          <t>PATCH + ApiKeyHeader + x-www-form-urlencoded</t>
        </is>
      </c>
      <c r="D1371" s="16" t="inlineStr">
        <is>
          <t>Functional</t>
        </is>
      </c>
      <c r="E1371" s="16" t="inlineStr">
        <is>
          <t>PATCH with ApiKeyHeader auth and x-www-form-urlencoded body</t>
        </is>
      </c>
      <c r="F1371" s="16" t="inlineStr">
        <is>
          <t>Editor open.</t>
        </is>
      </c>
      <c r="G1371" s="16" t="inlineStr">
        <is>
          <t>1. New request; method PATCH; URL to an echo endpoint.
2. Auth type ApiKeyHeader; configure minimum credentials.
3. Body type x-www-form-urlencoded; provide minimum valid content.
4. Send and inspect outgoing wire request (DevTools/proxy).</t>
        </is>
      </c>
      <c r="H1371" s="16" t="inlineStr">
        <is>
          <t>method=PATCH auth=ApiKeyHeader body=x-www-form-urlencoded</t>
        </is>
      </c>
      <c r="I1371" s="16" t="inlineStr">
        <is>
          <t>ApiKeyHeader auth applied correctly; x-www-form-urlencoded body sent with right Content-Type; server returns expected status.</t>
        </is>
      </c>
      <c r="J1371" s="16" t="inlineStr"/>
      <c r="K1371" s="16" t="inlineStr">
        <is>
          <t>Not Run</t>
        </is>
      </c>
      <c r="L1371" s="16" t="inlineStr">
        <is>
          <t>Medium</t>
        </is>
      </c>
      <c r="M1371" s="16" t="inlineStr"/>
      <c r="N1371" s="16" t="inlineStr"/>
      <c r="O1371" s="16" t="inlineStr"/>
    </row>
    <row r="1372" ht="72" customHeight="1">
      <c r="A1372" s="16" t="inlineStr">
        <is>
          <t>TC-MM-0329</t>
        </is>
      </c>
      <c r="B1372" s="16" t="inlineStr">
        <is>
          <t>Method x Body Matrix</t>
        </is>
      </c>
      <c r="C1372" s="16" t="inlineStr">
        <is>
          <t>PATCH + ApiKeyHeader + raw-json</t>
        </is>
      </c>
      <c r="D1372" s="16" t="inlineStr">
        <is>
          <t>Functional</t>
        </is>
      </c>
      <c r="E1372" s="16" t="inlineStr">
        <is>
          <t>PATCH with ApiKeyHeader auth and raw-json body</t>
        </is>
      </c>
      <c r="F1372" s="16" t="inlineStr">
        <is>
          <t>Editor open.</t>
        </is>
      </c>
      <c r="G1372" s="16" t="inlineStr">
        <is>
          <t>1. New request; method PATCH; URL to an echo endpoint.
2. Auth type ApiKeyHeader; configure minimum credentials.
3. Body type raw-json; provide minimum valid content.
4. Send and inspect outgoing wire request (DevTools/proxy).</t>
        </is>
      </c>
      <c r="H1372" s="16" t="inlineStr">
        <is>
          <t>method=PATCH auth=ApiKeyHeader body=raw-json</t>
        </is>
      </c>
      <c r="I1372" s="16" t="inlineStr">
        <is>
          <t>ApiKeyHeader auth applied correctly; raw-json body sent with right Content-Type; server returns expected status.</t>
        </is>
      </c>
      <c r="J1372" s="16" t="inlineStr"/>
      <c r="K1372" s="16" t="inlineStr">
        <is>
          <t>Not Run</t>
        </is>
      </c>
      <c r="L1372" s="16" t="inlineStr">
        <is>
          <t>Medium</t>
        </is>
      </c>
      <c r="M1372" s="16" t="inlineStr"/>
      <c r="N1372" s="16" t="inlineStr"/>
      <c r="O1372" s="16" t="inlineStr"/>
    </row>
    <row r="1373" ht="72" customHeight="1">
      <c r="A1373" s="16" t="inlineStr">
        <is>
          <t>TC-MM-0330</t>
        </is>
      </c>
      <c r="B1373" s="16" t="inlineStr">
        <is>
          <t>Method x Body Matrix</t>
        </is>
      </c>
      <c r="C1373" s="16" t="inlineStr">
        <is>
          <t>PATCH + ApiKeyHeader + raw-xml</t>
        </is>
      </c>
      <c r="D1373" s="16" t="inlineStr">
        <is>
          <t>Functional</t>
        </is>
      </c>
      <c r="E1373" s="16" t="inlineStr">
        <is>
          <t>PATCH with ApiKeyHeader auth and raw-xml body</t>
        </is>
      </c>
      <c r="F1373" s="16" t="inlineStr">
        <is>
          <t>Editor open.</t>
        </is>
      </c>
      <c r="G1373" s="16" t="inlineStr">
        <is>
          <t>1. New request; method PATCH; URL to an echo endpoint.
2. Auth type ApiKeyHeader; configure minimum credentials.
3. Body type raw-xml; provide minimum valid content.
4. Send and inspect outgoing wire request (DevTools/proxy).</t>
        </is>
      </c>
      <c r="H1373" s="16" t="inlineStr">
        <is>
          <t>method=PATCH auth=ApiKeyHeader body=raw-xml</t>
        </is>
      </c>
      <c r="I1373" s="16" t="inlineStr">
        <is>
          <t>ApiKeyHeader auth applied correctly; raw-xml body sent with right Content-Type; server returns expected status.</t>
        </is>
      </c>
      <c r="J1373" s="16" t="inlineStr"/>
      <c r="K1373" s="16" t="inlineStr">
        <is>
          <t>Not Run</t>
        </is>
      </c>
      <c r="L1373" s="16" t="inlineStr">
        <is>
          <t>Medium</t>
        </is>
      </c>
      <c r="M1373" s="16" t="inlineStr"/>
      <c r="N1373" s="16" t="inlineStr"/>
      <c r="O1373" s="16" t="inlineStr"/>
    </row>
    <row r="1374" ht="72" customHeight="1">
      <c r="A1374" s="16" t="inlineStr">
        <is>
          <t>TC-MM-0331</t>
        </is>
      </c>
      <c r="B1374" s="16" t="inlineStr">
        <is>
          <t>Method x Body Matrix</t>
        </is>
      </c>
      <c r="C1374" s="16" t="inlineStr">
        <is>
          <t>PATCH + ApiKeyHeader + raw-text</t>
        </is>
      </c>
      <c r="D1374" s="16" t="inlineStr">
        <is>
          <t>Functional</t>
        </is>
      </c>
      <c r="E1374" s="16" t="inlineStr">
        <is>
          <t>PATCH with ApiKeyHeader auth and raw-text body</t>
        </is>
      </c>
      <c r="F1374" s="16" t="inlineStr">
        <is>
          <t>Editor open.</t>
        </is>
      </c>
      <c r="G1374" s="16" t="inlineStr">
        <is>
          <t>1. New request; method PATCH; URL to an echo endpoint.
2. Auth type ApiKeyHeader; configure minimum credentials.
3. Body type raw-text; provide minimum valid content.
4. Send and inspect outgoing wire request (DevTools/proxy).</t>
        </is>
      </c>
      <c r="H1374" s="16" t="inlineStr">
        <is>
          <t>method=PATCH auth=ApiKeyHeader body=raw-text</t>
        </is>
      </c>
      <c r="I1374" s="16" t="inlineStr">
        <is>
          <t>ApiKeyHeader auth applied correctly; raw-text body sent with right Content-Type; server returns expected status.</t>
        </is>
      </c>
      <c r="J1374" s="16" t="inlineStr"/>
      <c r="K1374" s="16" t="inlineStr">
        <is>
          <t>Not Run</t>
        </is>
      </c>
      <c r="L1374" s="16" t="inlineStr">
        <is>
          <t>Medium</t>
        </is>
      </c>
      <c r="M1374" s="16" t="inlineStr"/>
      <c r="N1374" s="16" t="inlineStr"/>
      <c r="O1374" s="16" t="inlineStr"/>
    </row>
    <row r="1375" ht="72" customHeight="1">
      <c r="A1375" s="16" t="inlineStr">
        <is>
          <t>TC-MM-0332</t>
        </is>
      </c>
      <c r="B1375" s="16" t="inlineStr">
        <is>
          <t>Method x Body Matrix</t>
        </is>
      </c>
      <c r="C1375" s="16" t="inlineStr">
        <is>
          <t>PATCH + ApiKeyHeader + binary</t>
        </is>
      </c>
      <c r="D1375" s="16" t="inlineStr">
        <is>
          <t>Functional</t>
        </is>
      </c>
      <c r="E1375" s="16" t="inlineStr">
        <is>
          <t>PATCH with ApiKeyHeader auth and binary body</t>
        </is>
      </c>
      <c r="F1375" s="16" t="inlineStr">
        <is>
          <t>Editor open.</t>
        </is>
      </c>
      <c r="G1375" s="16" t="inlineStr">
        <is>
          <t>1. New request; method PATCH; URL to an echo endpoint.
2. Auth type ApiKeyHeader; configure minimum credentials.
3. Body type binary; provide minimum valid content.
4. Send and inspect outgoing wire request (DevTools/proxy).</t>
        </is>
      </c>
      <c r="H1375" s="16" t="inlineStr">
        <is>
          <t>method=PATCH auth=ApiKeyHeader body=binary</t>
        </is>
      </c>
      <c r="I1375" s="16" t="inlineStr">
        <is>
          <t>ApiKeyHeader auth applied correctly; binary body sent with right Content-Type; server returns expected status.</t>
        </is>
      </c>
      <c r="J1375" s="16" t="inlineStr"/>
      <c r="K1375" s="16" t="inlineStr">
        <is>
          <t>Not Run</t>
        </is>
      </c>
      <c r="L1375" s="16" t="inlineStr">
        <is>
          <t>Medium</t>
        </is>
      </c>
      <c r="M1375" s="16" t="inlineStr"/>
      <c r="N1375" s="16" t="inlineStr"/>
      <c r="O1375" s="16" t="inlineStr"/>
    </row>
    <row r="1376" ht="72" customHeight="1">
      <c r="A1376" s="16" t="inlineStr">
        <is>
          <t>TC-MM-0333</t>
        </is>
      </c>
      <c r="B1376" s="16" t="inlineStr">
        <is>
          <t>Method x Body Matrix</t>
        </is>
      </c>
      <c r="C1376" s="16" t="inlineStr">
        <is>
          <t>PATCH + ApiKeyQuery + none</t>
        </is>
      </c>
      <c r="D1376" s="16" t="inlineStr">
        <is>
          <t>Functional</t>
        </is>
      </c>
      <c r="E1376" s="16" t="inlineStr">
        <is>
          <t>PATCH with ApiKeyQuery auth and none body</t>
        </is>
      </c>
      <c r="F1376" s="16" t="inlineStr">
        <is>
          <t>Editor open.</t>
        </is>
      </c>
      <c r="G1376" s="16" t="inlineStr">
        <is>
          <t>1. New request; method PATCH; URL to an echo endpoint.
2. Auth type ApiKeyQuery; configure minimum credentials.
3. Body type none; provide minimum valid content.
4. Send and inspect outgoing wire request (DevTools/proxy).</t>
        </is>
      </c>
      <c r="H1376" s="16" t="inlineStr">
        <is>
          <t>method=PATCH auth=ApiKeyQuery body=none</t>
        </is>
      </c>
      <c r="I1376" s="16" t="inlineStr">
        <is>
          <t>ApiKeyQuery auth applied correctly; none body sent with right Content-Type; server returns expected status.</t>
        </is>
      </c>
      <c r="J1376" s="16" t="inlineStr"/>
      <c r="K1376" s="16" t="inlineStr">
        <is>
          <t>Not Run</t>
        </is>
      </c>
      <c r="L1376" s="16" t="inlineStr">
        <is>
          <t>Medium</t>
        </is>
      </c>
      <c r="M1376" s="16" t="inlineStr"/>
      <c r="N1376" s="16" t="inlineStr"/>
      <c r="O1376" s="16" t="inlineStr"/>
    </row>
    <row r="1377" ht="72" customHeight="1">
      <c r="A1377" s="16" t="inlineStr">
        <is>
          <t>TC-MM-0334</t>
        </is>
      </c>
      <c r="B1377" s="16" t="inlineStr">
        <is>
          <t>Method x Body Matrix</t>
        </is>
      </c>
      <c r="C1377" s="16" t="inlineStr">
        <is>
          <t>PATCH + ApiKeyQuery + form-data</t>
        </is>
      </c>
      <c r="D1377" s="16" t="inlineStr">
        <is>
          <t>Functional</t>
        </is>
      </c>
      <c r="E1377" s="16" t="inlineStr">
        <is>
          <t>PATCH with ApiKeyQuery auth and form-data body</t>
        </is>
      </c>
      <c r="F1377" s="16" t="inlineStr">
        <is>
          <t>Editor open.</t>
        </is>
      </c>
      <c r="G1377" s="16" t="inlineStr">
        <is>
          <t>1. New request; method PATCH; URL to an echo endpoint.
2. Auth type ApiKeyQuery; configure minimum credentials.
3. Body type form-data; provide minimum valid content.
4. Send and inspect outgoing wire request (DevTools/proxy).</t>
        </is>
      </c>
      <c r="H1377" s="16" t="inlineStr">
        <is>
          <t>method=PATCH auth=ApiKeyQuery body=form-data</t>
        </is>
      </c>
      <c r="I1377" s="16" t="inlineStr">
        <is>
          <t>ApiKeyQuery auth applied correctly; form-data body sent with right Content-Type; server returns expected status.</t>
        </is>
      </c>
      <c r="J1377" s="16" t="inlineStr"/>
      <c r="K1377" s="16" t="inlineStr">
        <is>
          <t>Not Run</t>
        </is>
      </c>
      <c r="L1377" s="16" t="inlineStr">
        <is>
          <t>Medium</t>
        </is>
      </c>
      <c r="M1377" s="16" t="inlineStr"/>
      <c r="N1377" s="16" t="inlineStr"/>
      <c r="O1377" s="16" t="inlineStr"/>
    </row>
    <row r="1378" ht="72" customHeight="1">
      <c r="A1378" s="16" t="inlineStr">
        <is>
          <t>TC-MM-0335</t>
        </is>
      </c>
      <c r="B1378" s="16" t="inlineStr">
        <is>
          <t>Method x Body Matrix</t>
        </is>
      </c>
      <c r="C1378" s="16" t="inlineStr">
        <is>
          <t>PATCH + ApiKeyQuery + x-www-form-urlencoded</t>
        </is>
      </c>
      <c r="D1378" s="16" t="inlineStr">
        <is>
          <t>Functional</t>
        </is>
      </c>
      <c r="E1378" s="16" t="inlineStr">
        <is>
          <t>PATCH with ApiKeyQuery auth and x-www-form-urlencoded body</t>
        </is>
      </c>
      <c r="F1378" s="16" t="inlineStr">
        <is>
          <t>Editor open.</t>
        </is>
      </c>
      <c r="G1378" s="16" t="inlineStr">
        <is>
          <t>1. New request; method PATCH; URL to an echo endpoint.
2. Auth type ApiKeyQuery; configure minimum credentials.
3. Body type x-www-form-urlencoded; provide minimum valid content.
4. Send and inspect outgoing wire request (DevTools/proxy).</t>
        </is>
      </c>
      <c r="H1378" s="16" t="inlineStr">
        <is>
          <t>method=PATCH auth=ApiKeyQuery body=x-www-form-urlencoded</t>
        </is>
      </c>
      <c r="I1378" s="16" t="inlineStr">
        <is>
          <t>ApiKeyQuery auth applied correctly; x-www-form-urlencoded body sent with right Content-Type; server returns expected status.</t>
        </is>
      </c>
      <c r="J1378" s="16" t="inlineStr"/>
      <c r="K1378" s="16" t="inlineStr">
        <is>
          <t>Not Run</t>
        </is>
      </c>
      <c r="L1378" s="16" t="inlineStr">
        <is>
          <t>Medium</t>
        </is>
      </c>
      <c r="M1378" s="16" t="inlineStr"/>
      <c r="N1378" s="16" t="inlineStr"/>
      <c r="O1378" s="16" t="inlineStr"/>
    </row>
    <row r="1379" ht="72" customHeight="1">
      <c r="A1379" s="16" t="inlineStr">
        <is>
          <t>TC-MM-0336</t>
        </is>
      </c>
      <c r="B1379" s="16" t="inlineStr">
        <is>
          <t>Method x Body Matrix</t>
        </is>
      </c>
      <c r="C1379" s="16" t="inlineStr">
        <is>
          <t>PATCH + ApiKeyQuery + raw-json</t>
        </is>
      </c>
      <c r="D1379" s="16" t="inlineStr">
        <is>
          <t>Functional</t>
        </is>
      </c>
      <c r="E1379" s="16" t="inlineStr">
        <is>
          <t>PATCH with ApiKeyQuery auth and raw-json body</t>
        </is>
      </c>
      <c r="F1379" s="16" t="inlineStr">
        <is>
          <t>Editor open.</t>
        </is>
      </c>
      <c r="G1379" s="16" t="inlineStr">
        <is>
          <t>1. New request; method PATCH; URL to an echo endpoint.
2. Auth type ApiKeyQuery; configure minimum credentials.
3. Body type raw-json; provide minimum valid content.
4. Send and inspect outgoing wire request (DevTools/proxy).</t>
        </is>
      </c>
      <c r="H1379" s="16" t="inlineStr">
        <is>
          <t>method=PATCH auth=ApiKeyQuery body=raw-json</t>
        </is>
      </c>
      <c r="I1379" s="16" t="inlineStr">
        <is>
          <t>ApiKeyQuery auth applied correctly; raw-json body sent with right Content-Type; server returns expected status.</t>
        </is>
      </c>
      <c r="J1379" s="16" t="inlineStr"/>
      <c r="K1379" s="16" t="inlineStr">
        <is>
          <t>Not Run</t>
        </is>
      </c>
      <c r="L1379" s="16" t="inlineStr">
        <is>
          <t>Medium</t>
        </is>
      </c>
      <c r="M1379" s="16" t="inlineStr"/>
      <c r="N1379" s="16" t="inlineStr"/>
      <c r="O1379" s="16" t="inlineStr"/>
    </row>
    <row r="1380" ht="72" customHeight="1">
      <c r="A1380" s="16" t="inlineStr">
        <is>
          <t>TC-MM-0337</t>
        </is>
      </c>
      <c r="B1380" s="16" t="inlineStr">
        <is>
          <t>Method x Body Matrix</t>
        </is>
      </c>
      <c r="C1380" s="16" t="inlineStr">
        <is>
          <t>PATCH + ApiKeyQuery + raw-xml</t>
        </is>
      </c>
      <c r="D1380" s="16" t="inlineStr">
        <is>
          <t>Functional</t>
        </is>
      </c>
      <c r="E1380" s="16" t="inlineStr">
        <is>
          <t>PATCH with ApiKeyQuery auth and raw-xml body</t>
        </is>
      </c>
      <c r="F1380" s="16" t="inlineStr">
        <is>
          <t>Editor open.</t>
        </is>
      </c>
      <c r="G1380" s="16" t="inlineStr">
        <is>
          <t>1. New request; method PATCH; URL to an echo endpoint.
2. Auth type ApiKeyQuery; configure minimum credentials.
3. Body type raw-xml; provide minimum valid content.
4. Send and inspect outgoing wire request (DevTools/proxy).</t>
        </is>
      </c>
      <c r="H1380" s="16" t="inlineStr">
        <is>
          <t>method=PATCH auth=ApiKeyQuery body=raw-xml</t>
        </is>
      </c>
      <c r="I1380" s="16" t="inlineStr">
        <is>
          <t>ApiKeyQuery auth applied correctly; raw-xml body sent with right Content-Type; server returns expected status.</t>
        </is>
      </c>
      <c r="J1380" s="16" t="inlineStr"/>
      <c r="K1380" s="16" t="inlineStr">
        <is>
          <t>Not Run</t>
        </is>
      </c>
      <c r="L1380" s="16" t="inlineStr">
        <is>
          <t>Medium</t>
        </is>
      </c>
      <c r="M1380" s="16" t="inlineStr"/>
      <c r="N1380" s="16" t="inlineStr"/>
      <c r="O1380" s="16" t="inlineStr"/>
    </row>
    <row r="1381" ht="72" customHeight="1">
      <c r="A1381" s="16" t="inlineStr">
        <is>
          <t>TC-MM-0338</t>
        </is>
      </c>
      <c r="B1381" s="16" t="inlineStr">
        <is>
          <t>Method x Body Matrix</t>
        </is>
      </c>
      <c r="C1381" s="16" t="inlineStr">
        <is>
          <t>PATCH + ApiKeyQuery + raw-text</t>
        </is>
      </c>
      <c r="D1381" s="16" t="inlineStr">
        <is>
          <t>Functional</t>
        </is>
      </c>
      <c r="E1381" s="16" t="inlineStr">
        <is>
          <t>PATCH with ApiKeyQuery auth and raw-text body</t>
        </is>
      </c>
      <c r="F1381" s="16" t="inlineStr">
        <is>
          <t>Editor open.</t>
        </is>
      </c>
      <c r="G1381" s="16" t="inlineStr">
        <is>
          <t>1. New request; method PATCH; URL to an echo endpoint.
2. Auth type ApiKeyQuery; configure minimum credentials.
3. Body type raw-text; provide minimum valid content.
4. Send and inspect outgoing wire request (DevTools/proxy).</t>
        </is>
      </c>
      <c r="H1381" s="16" t="inlineStr">
        <is>
          <t>method=PATCH auth=ApiKeyQuery body=raw-text</t>
        </is>
      </c>
      <c r="I1381" s="16" t="inlineStr">
        <is>
          <t>ApiKeyQuery auth applied correctly; raw-text body sent with right Content-Type; server returns expected status.</t>
        </is>
      </c>
      <c r="J1381" s="16" t="inlineStr"/>
      <c r="K1381" s="16" t="inlineStr">
        <is>
          <t>Not Run</t>
        </is>
      </c>
      <c r="L1381" s="16" t="inlineStr">
        <is>
          <t>Medium</t>
        </is>
      </c>
      <c r="M1381" s="16" t="inlineStr"/>
      <c r="N1381" s="16" t="inlineStr"/>
      <c r="O1381" s="16" t="inlineStr"/>
    </row>
    <row r="1382" ht="72" customHeight="1">
      <c r="A1382" s="16" t="inlineStr">
        <is>
          <t>TC-MM-0339</t>
        </is>
      </c>
      <c r="B1382" s="16" t="inlineStr">
        <is>
          <t>Method x Body Matrix</t>
        </is>
      </c>
      <c r="C1382" s="16" t="inlineStr">
        <is>
          <t>PATCH + ApiKeyQuery + binary</t>
        </is>
      </c>
      <c r="D1382" s="16" t="inlineStr">
        <is>
          <t>Functional</t>
        </is>
      </c>
      <c r="E1382" s="16" t="inlineStr">
        <is>
          <t>PATCH with ApiKeyQuery auth and binary body</t>
        </is>
      </c>
      <c r="F1382" s="16" t="inlineStr">
        <is>
          <t>Editor open.</t>
        </is>
      </c>
      <c r="G1382" s="16" t="inlineStr">
        <is>
          <t>1. New request; method PATCH; URL to an echo endpoint.
2. Auth type ApiKeyQuery; configure minimum credentials.
3. Body type binary; provide minimum valid content.
4. Send and inspect outgoing wire request (DevTools/proxy).</t>
        </is>
      </c>
      <c r="H1382" s="16" t="inlineStr">
        <is>
          <t>method=PATCH auth=ApiKeyQuery body=binary</t>
        </is>
      </c>
      <c r="I1382" s="16" t="inlineStr">
        <is>
          <t>ApiKeyQuery auth applied correctly; binary body sent with right Content-Type; server returns expected status.</t>
        </is>
      </c>
      <c r="J1382" s="16" t="inlineStr"/>
      <c r="K1382" s="16" t="inlineStr">
        <is>
          <t>Not Run</t>
        </is>
      </c>
      <c r="L1382" s="16" t="inlineStr">
        <is>
          <t>Medium</t>
        </is>
      </c>
      <c r="M1382" s="16" t="inlineStr"/>
      <c r="N1382" s="16" t="inlineStr"/>
      <c r="O1382" s="16" t="inlineStr"/>
    </row>
    <row r="1383" ht="72" customHeight="1">
      <c r="A1383" s="16" t="inlineStr">
        <is>
          <t>TC-MM-0340</t>
        </is>
      </c>
      <c r="B1383" s="16" t="inlineStr">
        <is>
          <t>Method x Body Matrix</t>
        </is>
      </c>
      <c r="C1383" s="16" t="inlineStr">
        <is>
          <t>PATCH + AwsSigV4 + none</t>
        </is>
      </c>
      <c r="D1383" s="16" t="inlineStr">
        <is>
          <t>Functional</t>
        </is>
      </c>
      <c r="E1383" s="16" t="inlineStr">
        <is>
          <t>PATCH with AwsSigV4 auth and none body</t>
        </is>
      </c>
      <c r="F1383" s="16" t="inlineStr">
        <is>
          <t>Editor open.</t>
        </is>
      </c>
      <c r="G1383" s="16" t="inlineStr">
        <is>
          <t>1. New request; method PATCH; URL to an echo endpoint.
2. Auth type AwsSigV4; configure minimum credentials.
3. Body type none; provide minimum valid content.
4. Send and inspect outgoing wire request (DevTools/proxy).</t>
        </is>
      </c>
      <c r="H1383" s="16" t="inlineStr">
        <is>
          <t>method=PATCH auth=AwsSigV4 body=none</t>
        </is>
      </c>
      <c r="I1383" s="16" t="inlineStr">
        <is>
          <t>AwsSigV4 auth applied correctly; none body sent with right Content-Type; server returns expected status.</t>
        </is>
      </c>
      <c r="J1383" s="16" t="inlineStr"/>
      <c r="K1383" s="16" t="inlineStr">
        <is>
          <t>Not Run</t>
        </is>
      </c>
      <c r="L1383" s="16" t="inlineStr">
        <is>
          <t>Medium</t>
        </is>
      </c>
      <c r="M1383" s="16" t="inlineStr"/>
      <c r="N1383" s="16" t="inlineStr"/>
      <c r="O1383" s="16" t="inlineStr"/>
    </row>
    <row r="1384" ht="72" customHeight="1">
      <c r="A1384" s="16" t="inlineStr">
        <is>
          <t>TC-MM-0341</t>
        </is>
      </c>
      <c r="B1384" s="16" t="inlineStr">
        <is>
          <t>Method x Body Matrix</t>
        </is>
      </c>
      <c r="C1384" s="16" t="inlineStr">
        <is>
          <t>PATCH + AwsSigV4 + form-data</t>
        </is>
      </c>
      <c r="D1384" s="16" t="inlineStr">
        <is>
          <t>Functional</t>
        </is>
      </c>
      <c r="E1384" s="16" t="inlineStr">
        <is>
          <t>PATCH with AwsSigV4 auth and form-data body</t>
        </is>
      </c>
      <c r="F1384" s="16" t="inlineStr">
        <is>
          <t>Editor open.</t>
        </is>
      </c>
      <c r="G1384" s="16" t="inlineStr">
        <is>
          <t>1. New request; method PATCH; URL to an echo endpoint.
2. Auth type AwsSigV4; configure minimum credentials.
3. Body type form-data; provide minimum valid content.
4. Send and inspect outgoing wire request (DevTools/proxy).</t>
        </is>
      </c>
      <c r="H1384" s="16" t="inlineStr">
        <is>
          <t>method=PATCH auth=AwsSigV4 body=form-data</t>
        </is>
      </c>
      <c r="I1384" s="16" t="inlineStr">
        <is>
          <t>AWS SigV4 signs canonical request including body bytes; x-amz-content-sha256 reflects SHA256 of body. Server returns expected status.</t>
        </is>
      </c>
      <c r="J1384" s="16" t="inlineStr"/>
      <c r="K1384" s="16" t="inlineStr">
        <is>
          <t>Not Run</t>
        </is>
      </c>
      <c r="L1384" s="16" t="inlineStr">
        <is>
          <t>High</t>
        </is>
      </c>
      <c r="M1384" s="16" t="inlineStr"/>
      <c r="N1384" s="16" t="inlineStr"/>
      <c r="O1384" s="16" t="inlineStr"/>
    </row>
    <row r="1385" ht="72" customHeight="1">
      <c r="A1385" s="16" t="inlineStr">
        <is>
          <t>TC-MM-0342</t>
        </is>
      </c>
      <c r="B1385" s="16" t="inlineStr">
        <is>
          <t>Method x Body Matrix</t>
        </is>
      </c>
      <c r="C1385" s="16" t="inlineStr">
        <is>
          <t>PATCH + AwsSigV4 + x-www-form-urlencoded</t>
        </is>
      </c>
      <c r="D1385" s="16" t="inlineStr">
        <is>
          <t>Functional</t>
        </is>
      </c>
      <c r="E1385" s="16" t="inlineStr">
        <is>
          <t>PATCH with AwsSigV4 auth and x-www-form-urlencoded body</t>
        </is>
      </c>
      <c r="F1385" s="16" t="inlineStr">
        <is>
          <t>Editor open.</t>
        </is>
      </c>
      <c r="G1385" s="16" t="inlineStr">
        <is>
          <t>1. New request; method PATCH; URL to an echo endpoint.
2. Auth type AwsSigV4; configure minimum credentials.
3. Body type x-www-form-urlencoded; provide minimum valid content.
4. Send and inspect outgoing wire request (DevTools/proxy).</t>
        </is>
      </c>
      <c r="H1385" s="16" t="inlineStr">
        <is>
          <t>method=PATCH auth=AwsSigV4 body=x-www-form-urlencoded</t>
        </is>
      </c>
      <c r="I1385" s="16" t="inlineStr">
        <is>
          <t>AWS SigV4 signs canonical request including body bytes; x-amz-content-sha256 reflects SHA256 of body. Server returns expected status.</t>
        </is>
      </c>
      <c r="J1385" s="16" t="inlineStr"/>
      <c r="K1385" s="16" t="inlineStr">
        <is>
          <t>Not Run</t>
        </is>
      </c>
      <c r="L1385" s="16" t="inlineStr">
        <is>
          <t>High</t>
        </is>
      </c>
      <c r="M1385" s="16" t="inlineStr"/>
      <c r="N1385" s="16" t="inlineStr"/>
      <c r="O1385" s="16" t="inlineStr"/>
    </row>
    <row r="1386" ht="72" customHeight="1">
      <c r="A1386" s="16" t="inlineStr">
        <is>
          <t>TC-MM-0343</t>
        </is>
      </c>
      <c r="B1386" s="16" t="inlineStr">
        <is>
          <t>Method x Body Matrix</t>
        </is>
      </c>
      <c r="C1386" s="16" t="inlineStr">
        <is>
          <t>PATCH + AwsSigV4 + raw-json</t>
        </is>
      </c>
      <c r="D1386" s="16" t="inlineStr">
        <is>
          <t>Functional</t>
        </is>
      </c>
      <c r="E1386" s="16" t="inlineStr">
        <is>
          <t>PATCH with AwsSigV4 auth and raw-json body</t>
        </is>
      </c>
      <c r="F1386" s="16" t="inlineStr">
        <is>
          <t>Editor open.</t>
        </is>
      </c>
      <c r="G1386" s="16" t="inlineStr">
        <is>
          <t>1. New request; method PATCH; URL to an echo endpoint.
2. Auth type AwsSigV4; configure minimum credentials.
3. Body type raw-json; provide minimum valid content.
4. Send and inspect outgoing wire request (DevTools/proxy).</t>
        </is>
      </c>
      <c r="H1386" s="16" t="inlineStr">
        <is>
          <t>method=PATCH auth=AwsSigV4 body=raw-json</t>
        </is>
      </c>
      <c r="I1386" s="16" t="inlineStr">
        <is>
          <t>AWS SigV4 signs canonical request including body bytes; x-amz-content-sha256 reflects SHA256 of body. Server returns expected status.</t>
        </is>
      </c>
      <c r="J1386" s="16" t="inlineStr"/>
      <c r="K1386" s="16" t="inlineStr">
        <is>
          <t>Not Run</t>
        </is>
      </c>
      <c r="L1386" s="16" t="inlineStr">
        <is>
          <t>High</t>
        </is>
      </c>
      <c r="M1386" s="16" t="inlineStr"/>
      <c r="N1386" s="16" t="inlineStr"/>
      <c r="O1386" s="16" t="inlineStr"/>
    </row>
    <row r="1387" ht="72" customHeight="1">
      <c r="A1387" s="16" t="inlineStr">
        <is>
          <t>TC-MM-0344</t>
        </is>
      </c>
      <c r="B1387" s="16" t="inlineStr">
        <is>
          <t>Method x Body Matrix</t>
        </is>
      </c>
      <c r="C1387" s="16" t="inlineStr">
        <is>
          <t>PATCH + AwsSigV4 + raw-xml</t>
        </is>
      </c>
      <c r="D1387" s="16" t="inlineStr">
        <is>
          <t>Functional</t>
        </is>
      </c>
      <c r="E1387" s="16" t="inlineStr">
        <is>
          <t>PATCH with AwsSigV4 auth and raw-xml body</t>
        </is>
      </c>
      <c r="F1387" s="16" t="inlineStr">
        <is>
          <t>Editor open.</t>
        </is>
      </c>
      <c r="G1387" s="16" t="inlineStr">
        <is>
          <t>1. New request; method PATCH; URL to an echo endpoint.
2. Auth type AwsSigV4; configure minimum credentials.
3. Body type raw-xml; provide minimum valid content.
4. Send and inspect outgoing wire request (DevTools/proxy).</t>
        </is>
      </c>
      <c r="H1387" s="16" t="inlineStr">
        <is>
          <t>method=PATCH auth=AwsSigV4 body=raw-xml</t>
        </is>
      </c>
      <c r="I1387" s="16" t="inlineStr">
        <is>
          <t>AWS SigV4 signs canonical request including body bytes; x-amz-content-sha256 reflects SHA256 of body. Server returns expected status.</t>
        </is>
      </c>
      <c r="J1387" s="16" t="inlineStr"/>
      <c r="K1387" s="16" t="inlineStr">
        <is>
          <t>Not Run</t>
        </is>
      </c>
      <c r="L1387" s="16" t="inlineStr">
        <is>
          <t>High</t>
        </is>
      </c>
      <c r="M1387" s="16" t="inlineStr"/>
      <c r="N1387" s="16" t="inlineStr"/>
      <c r="O1387" s="16" t="inlineStr"/>
    </row>
    <row r="1388" ht="72" customHeight="1">
      <c r="A1388" s="16" t="inlineStr">
        <is>
          <t>TC-MM-0345</t>
        </is>
      </c>
      <c r="B1388" s="16" t="inlineStr">
        <is>
          <t>Method x Body Matrix</t>
        </is>
      </c>
      <c r="C1388" s="16" t="inlineStr">
        <is>
          <t>PATCH + AwsSigV4 + raw-text</t>
        </is>
      </c>
      <c r="D1388" s="16" t="inlineStr">
        <is>
          <t>Functional</t>
        </is>
      </c>
      <c r="E1388" s="16" t="inlineStr">
        <is>
          <t>PATCH with AwsSigV4 auth and raw-text body</t>
        </is>
      </c>
      <c r="F1388" s="16" t="inlineStr">
        <is>
          <t>Editor open.</t>
        </is>
      </c>
      <c r="G1388" s="16" t="inlineStr">
        <is>
          <t>1. New request; method PATCH; URL to an echo endpoint.
2. Auth type AwsSigV4; configure minimum credentials.
3. Body type raw-text; provide minimum valid content.
4. Send and inspect outgoing wire request (DevTools/proxy).</t>
        </is>
      </c>
      <c r="H1388" s="16" t="inlineStr">
        <is>
          <t>method=PATCH auth=AwsSigV4 body=raw-text</t>
        </is>
      </c>
      <c r="I1388" s="16" t="inlineStr">
        <is>
          <t>AWS SigV4 signs canonical request including body bytes; x-amz-content-sha256 reflects SHA256 of body. Server returns expected status.</t>
        </is>
      </c>
      <c r="J1388" s="16" t="inlineStr"/>
      <c r="K1388" s="16" t="inlineStr">
        <is>
          <t>Not Run</t>
        </is>
      </c>
      <c r="L1388" s="16" t="inlineStr">
        <is>
          <t>High</t>
        </is>
      </c>
      <c r="M1388" s="16" t="inlineStr"/>
      <c r="N1388" s="16" t="inlineStr"/>
      <c r="O1388" s="16" t="inlineStr"/>
    </row>
    <row r="1389" ht="72" customHeight="1">
      <c r="A1389" s="16" t="inlineStr">
        <is>
          <t>TC-MM-0346</t>
        </is>
      </c>
      <c r="B1389" s="16" t="inlineStr">
        <is>
          <t>Method x Body Matrix</t>
        </is>
      </c>
      <c r="C1389" s="16" t="inlineStr">
        <is>
          <t>PATCH + AwsSigV4 + binary</t>
        </is>
      </c>
      <c r="D1389" s="16" t="inlineStr">
        <is>
          <t>Functional</t>
        </is>
      </c>
      <c r="E1389" s="16" t="inlineStr">
        <is>
          <t>PATCH with AwsSigV4 auth and binary body</t>
        </is>
      </c>
      <c r="F1389" s="16" t="inlineStr">
        <is>
          <t>Editor open.</t>
        </is>
      </c>
      <c r="G1389" s="16" t="inlineStr">
        <is>
          <t>1. New request; method PATCH; URL to an echo endpoint.
2. Auth type AwsSigV4; configure minimum credentials.
3. Body type binary; provide minimum valid content.
4. Send and inspect outgoing wire request (DevTools/proxy).</t>
        </is>
      </c>
      <c r="H1389" s="16" t="inlineStr">
        <is>
          <t>method=PATCH auth=AwsSigV4 body=binary</t>
        </is>
      </c>
      <c r="I1389" s="16" t="inlineStr">
        <is>
          <t>AWS SigV4 signs canonical request including body bytes; x-amz-content-sha256 reflects SHA256 of body. Server returns expected status.</t>
        </is>
      </c>
      <c r="J1389" s="16" t="inlineStr"/>
      <c r="K1389" s="16" t="inlineStr">
        <is>
          <t>Not Run</t>
        </is>
      </c>
      <c r="L1389" s="16" t="inlineStr">
        <is>
          <t>High</t>
        </is>
      </c>
      <c r="M1389" s="16" t="inlineStr"/>
      <c r="N1389" s="16" t="inlineStr"/>
      <c r="O1389" s="16" t="inlineStr"/>
    </row>
    <row r="1390" ht="72" customHeight="1">
      <c r="A1390" s="16" t="inlineStr">
        <is>
          <t>TC-MM-0347</t>
        </is>
      </c>
      <c r="B1390" s="16" t="inlineStr">
        <is>
          <t>Method x Body Matrix</t>
        </is>
      </c>
      <c r="C1390" s="16" t="inlineStr">
        <is>
          <t>PATCH + JwtHS256 + none</t>
        </is>
      </c>
      <c r="D1390" s="16" t="inlineStr">
        <is>
          <t>Functional</t>
        </is>
      </c>
      <c r="E1390" s="16" t="inlineStr">
        <is>
          <t>PATCH with JwtHS256 auth and none body</t>
        </is>
      </c>
      <c r="F1390" s="16" t="inlineStr">
        <is>
          <t>Editor open.</t>
        </is>
      </c>
      <c r="G1390" s="16" t="inlineStr">
        <is>
          <t>1. New request; method PATCH; URL to an echo endpoint.
2. Auth type JwtHS256; configure minimum credentials.
3. Body type none; provide minimum valid content.
4. Send and inspect outgoing wire request (DevTools/proxy).</t>
        </is>
      </c>
      <c r="H1390" s="16" t="inlineStr">
        <is>
          <t>method=PATCH auth=JwtHS256 body=none</t>
        </is>
      </c>
      <c r="I1390" s="16" t="inlineStr">
        <is>
          <t>JwtHS256 auth applied correctly; none body sent with right Content-Type; server returns expected status.</t>
        </is>
      </c>
      <c r="J1390" s="16" t="inlineStr"/>
      <c r="K1390" s="16" t="inlineStr">
        <is>
          <t>Not Run</t>
        </is>
      </c>
      <c r="L1390" s="16" t="inlineStr">
        <is>
          <t>Medium</t>
        </is>
      </c>
      <c r="M1390" s="16" t="inlineStr"/>
      <c r="N1390" s="16" t="inlineStr"/>
      <c r="O1390" s="16" t="inlineStr"/>
    </row>
    <row r="1391" ht="72" customHeight="1">
      <c r="A1391" s="16" t="inlineStr">
        <is>
          <t>TC-MM-0348</t>
        </is>
      </c>
      <c r="B1391" s="16" t="inlineStr">
        <is>
          <t>Method x Body Matrix</t>
        </is>
      </c>
      <c r="C1391" s="16" t="inlineStr">
        <is>
          <t>PATCH + JwtHS256 + form-data</t>
        </is>
      </c>
      <c r="D1391" s="16" t="inlineStr">
        <is>
          <t>Functional</t>
        </is>
      </c>
      <c r="E1391" s="16" t="inlineStr">
        <is>
          <t>PATCH with JwtHS256 auth and form-data body</t>
        </is>
      </c>
      <c r="F1391" s="16" t="inlineStr">
        <is>
          <t>Editor open.</t>
        </is>
      </c>
      <c r="G1391" s="16" t="inlineStr">
        <is>
          <t>1. New request; method PATCH; URL to an echo endpoint.
2. Auth type JwtHS256; configure minimum credentials.
3. Body type form-data; provide minimum valid content.
4. Send and inspect outgoing wire request (DevTools/proxy).</t>
        </is>
      </c>
      <c r="H1391" s="16" t="inlineStr">
        <is>
          <t>method=PATCH auth=JwtHS256 body=form-data</t>
        </is>
      </c>
      <c r="I1391" s="16" t="inlineStr">
        <is>
          <t>JwtHS256 auth applied correctly; form-data body sent with right Content-Type; server returns expected status.</t>
        </is>
      </c>
      <c r="J1391" s="16" t="inlineStr"/>
      <c r="K1391" s="16" t="inlineStr">
        <is>
          <t>Not Run</t>
        </is>
      </c>
      <c r="L1391" s="16" t="inlineStr">
        <is>
          <t>Medium</t>
        </is>
      </c>
      <c r="M1391" s="16" t="inlineStr"/>
      <c r="N1391" s="16" t="inlineStr"/>
      <c r="O1391" s="16" t="inlineStr"/>
    </row>
    <row r="1392" ht="72" customHeight="1">
      <c r="A1392" s="16" t="inlineStr">
        <is>
          <t>TC-MM-0349</t>
        </is>
      </c>
      <c r="B1392" s="16" t="inlineStr">
        <is>
          <t>Method x Body Matrix</t>
        </is>
      </c>
      <c r="C1392" s="16" t="inlineStr">
        <is>
          <t>PATCH + JwtHS256 + x-www-form-urlencoded</t>
        </is>
      </c>
      <c r="D1392" s="16" t="inlineStr">
        <is>
          <t>Functional</t>
        </is>
      </c>
      <c r="E1392" s="16" t="inlineStr">
        <is>
          <t>PATCH with JwtHS256 auth and x-www-form-urlencoded body</t>
        </is>
      </c>
      <c r="F1392" s="16" t="inlineStr">
        <is>
          <t>Editor open.</t>
        </is>
      </c>
      <c r="G1392" s="16" t="inlineStr">
        <is>
          <t>1. New request; method PATCH; URL to an echo endpoint.
2. Auth type JwtHS256; configure minimum credentials.
3. Body type x-www-form-urlencoded; provide minimum valid content.
4. Send and inspect outgoing wire request (DevTools/proxy).</t>
        </is>
      </c>
      <c r="H1392" s="16" t="inlineStr">
        <is>
          <t>method=PATCH auth=JwtHS256 body=x-www-form-urlencoded</t>
        </is>
      </c>
      <c r="I1392" s="16" t="inlineStr">
        <is>
          <t>JwtHS256 auth applied correctly; x-www-form-urlencoded body sent with right Content-Type; server returns expected status.</t>
        </is>
      </c>
      <c r="J1392" s="16" t="inlineStr"/>
      <c r="K1392" s="16" t="inlineStr">
        <is>
          <t>Not Run</t>
        </is>
      </c>
      <c r="L1392" s="16" t="inlineStr">
        <is>
          <t>Medium</t>
        </is>
      </c>
      <c r="M1392" s="16" t="inlineStr"/>
      <c r="N1392" s="16" t="inlineStr"/>
      <c r="O1392" s="16" t="inlineStr"/>
    </row>
    <row r="1393" ht="72" customHeight="1">
      <c r="A1393" s="16" t="inlineStr">
        <is>
          <t>TC-MM-0350</t>
        </is>
      </c>
      <c r="B1393" s="16" t="inlineStr">
        <is>
          <t>Method x Body Matrix</t>
        </is>
      </c>
      <c r="C1393" s="16" t="inlineStr">
        <is>
          <t>PATCH + JwtHS256 + raw-json</t>
        </is>
      </c>
      <c r="D1393" s="16" t="inlineStr">
        <is>
          <t>Functional</t>
        </is>
      </c>
      <c r="E1393" s="16" t="inlineStr">
        <is>
          <t>PATCH with JwtHS256 auth and raw-json body</t>
        </is>
      </c>
      <c r="F1393" s="16" t="inlineStr">
        <is>
          <t>Editor open.</t>
        </is>
      </c>
      <c r="G1393" s="16" t="inlineStr">
        <is>
          <t>1. New request; method PATCH; URL to an echo endpoint.
2. Auth type JwtHS256; configure minimum credentials.
3. Body type raw-json; provide minimum valid content.
4. Send and inspect outgoing wire request (DevTools/proxy).</t>
        </is>
      </c>
      <c r="H1393" s="16" t="inlineStr">
        <is>
          <t>method=PATCH auth=JwtHS256 body=raw-json</t>
        </is>
      </c>
      <c r="I1393" s="16" t="inlineStr">
        <is>
          <t>JwtHS256 auth applied correctly; raw-json body sent with right Content-Type; server returns expected status.</t>
        </is>
      </c>
      <c r="J1393" s="16" t="inlineStr"/>
      <c r="K1393" s="16" t="inlineStr">
        <is>
          <t>Not Run</t>
        </is>
      </c>
      <c r="L1393" s="16" t="inlineStr">
        <is>
          <t>Medium</t>
        </is>
      </c>
      <c r="M1393" s="16" t="inlineStr"/>
      <c r="N1393" s="16" t="inlineStr"/>
      <c r="O1393" s="16" t="inlineStr"/>
    </row>
    <row r="1394" ht="72" customHeight="1">
      <c r="A1394" s="16" t="inlineStr">
        <is>
          <t>TC-MM-0351</t>
        </is>
      </c>
      <c r="B1394" s="16" t="inlineStr">
        <is>
          <t>Method x Body Matrix</t>
        </is>
      </c>
      <c r="C1394" s="16" t="inlineStr">
        <is>
          <t>PATCH + JwtHS256 + raw-xml</t>
        </is>
      </c>
      <c r="D1394" s="16" t="inlineStr">
        <is>
          <t>Functional</t>
        </is>
      </c>
      <c r="E1394" s="16" t="inlineStr">
        <is>
          <t>PATCH with JwtHS256 auth and raw-xml body</t>
        </is>
      </c>
      <c r="F1394" s="16" t="inlineStr">
        <is>
          <t>Editor open.</t>
        </is>
      </c>
      <c r="G1394" s="16" t="inlineStr">
        <is>
          <t>1. New request; method PATCH; URL to an echo endpoint.
2. Auth type JwtHS256; configure minimum credentials.
3. Body type raw-xml; provide minimum valid content.
4. Send and inspect outgoing wire request (DevTools/proxy).</t>
        </is>
      </c>
      <c r="H1394" s="16" t="inlineStr">
        <is>
          <t>method=PATCH auth=JwtHS256 body=raw-xml</t>
        </is>
      </c>
      <c r="I1394" s="16" t="inlineStr">
        <is>
          <t>JwtHS256 auth applied correctly; raw-xml body sent with right Content-Type; server returns expected status.</t>
        </is>
      </c>
      <c r="J1394" s="16" t="inlineStr"/>
      <c r="K1394" s="16" t="inlineStr">
        <is>
          <t>Not Run</t>
        </is>
      </c>
      <c r="L1394" s="16" t="inlineStr">
        <is>
          <t>Medium</t>
        </is>
      </c>
      <c r="M1394" s="16" t="inlineStr"/>
      <c r="N1394" s="16" t="inlineStr"/>
      <c r="O1394" s="16" t="inlineStr"/>
    </row>
    <row r="1395" ht="72" customHeight="1">
      <c r="A1395" s="16" t="inlineStr">
        <is>
          <t>TC-MM-0352</t>
        </is>
      </c>
      <c r="B1395" s="16" t="inlineStr">
        <is>
          <t>Method x Body Matrix</t>
        </is>
      </c>
      <c r="C1395" s="16" t="inlineStr">
        <is>
          <t>PATCH + JwtHS256 + raw-text</t>
        </is>
      </c>
      <c r="D1395" s="16" t="inlineStr">
        <is>
          <t>Functional</t>
        </is>
      </c>
      <c r="E1395" s="16" t="inlineStr">
        <is>
          <t>PATCH with JwtHS256 auth and raw-text body</t>
        </is>
      </c>
      <c r="F1395" s="16" t="inlineStr">
        <is>
          <t>Editor open.</t>
        </is>
      </c>
      <c r="G1395" s="16" t="inlineStr">
        <is>
          <t>1. New request; method PATCH; URL to an echo endpoint.
2. Auth type JwtHS256; configure minimum credentials.
3. Body type raw-text; provide minimum valid content.
4. Send and inspect outgoing wire request (DevTools/proxy).</t>
        </is>
      </c>
      <c r="H1395" s="16" t="inlineStr">
        <is>
          <t>method=PATCH auth=JwtHS256 body=raw-text</t>
        </is>
      </c>
      <c r="I1395" s="16" t="inlineStr">
        <is>
          <t>JwtHS256 auth applied correctly; raw-text body sent with right Content-Type; server returns expected status.</t>
        </is>
      </c>
      <c r="J1395" s="16" t="inlineStr"/>
      <c r="K1395" s="16" t="inlineStr">
        <is>
          <t>Not Run</t>
        </is>
      </c>
      <c r="L1395" s="16" t="inlineStr">
        <is>
          <t>Medium</t>
        </is>
      </c>
      <c r="M1395" s="16" t="inlineStr"/>
      <c r="N1395" s="16" t="inlineStr"/>
      <c r="O1395" s="16" t="inlineStr"/>
    </row>
    <row r="1396" ht="72" customHeight="1">
      <c r="A1396" s="16" t="inlineStr">
        <is>
          <t>TC-MM-0353</t>
        </is>
      </c>
      <c r="B1396" s="16" t="inlineStr">
        <is>
          <t>Method x Body Matrix</t>
        </is>
      </c>
      <c r="C1396" s="16" t="inlineStr">
        <is>
          <t>PATCH + JwtHS256 + binary</t>
        </is>
      </c>
      <c r="D1396" s="16" t="inlineStr">
        <is>
          <t>Functional</t>
        </is>
      </c>
      <c r="E1396" s="16" t="inlineStr">
        <is>
          <t>PATCH with JwtHS256 auth and binary body</t>
        </is>
      </c>
      <c r="F1396" s="16" t="inlineStr">
        <is>
          <t>Editor open.</t>
        </is>
      </c>
      <c r="G1396" s="16" t="inlineStr">
        <is>
          <t>1. New request; method PATCH; URL to an echo endpoint.
2. Auth type JwtHS256; configure minimum credentials.
3. Body type binary; provide minimum valid content.
4. Send and inspect outgoing wire request (DevTools/proxy).</t>
        </is>
      </c>
      <c r="H1396" s="16" t="inlineStr">
        <is>
          <t>method=PATCH auth=JwtHS256 body=binary</t>
        </is>
      </c>
      <c r="I1396" s="16" t="inlineStr">
        <is>
          <t>JwtHS256 auth applied correctly; binary body sent with right Content-Type; server returns expected status.</t>
        </is>
      </c>
      <c r="J1396" s="16" t="inlineStr"/>
      <c r="K1396" s="16" t="inlineStr">
        <is>
          <t>Not Run</t>
        </is>
      </c>
      <c r="L1396" s="16" t="inlineStr">
        <is>
          <t>Medium</t>
        </is>
      </c>
      <c r="M1396" s="16" t="inlineStr"/>
      <c r="N1396" s="16" t="inlineStr"/>
      <c r="O1396" s="16" t="inlineStr"/>
    </row>
    <row r="1397" ht="72" customHeight="1">
      <c r="A1397" s="16" t="inlineStr">
        <is>
          <t>TC-MM-0354</t>
        </is>
      </c>
      <c r="B1397" s="16" t="inlineStr">
        <is>
          <t>Method x Body Matrix</t>
        </is>
      </c>
      <c r="C1397" s="16" t="inlineStr">
        <is>
          <t>PATCH + OAuth2ClientCreds + none</t>
        </is>
      </c>
      <c r="D1397" s="16" t="inlineStr">
        <is>
          <t>Functional</t>
        </is>
      </c>
      <c r="E1397" s="16" t="inlineStr">
        <is>
          <t>PATCH with OAuth2ClientCreds auth and none body</t>
        </is>
      </c>
      <c r="F1397" s="16" t="inlineStr">
        <is>
          <t>Editor open.</t>
        </is>
      </c>
      <c r="G1397" s="16" t="inlineStr">
        <is>
          <t>1. New request; method PATCH; URL to an echo endpoint.
2. Auth type OAuth2ClientCreds; configure minimum credentials.
3. Body type none; provide minimum valid content.
4. Send and inspect outgoing wire request (DevTools/proxy).</t>
        </is>
      </c>
      <c r="H1397" s="16" t="inlineStr">
        <is>
          <t>method=PATCH auth=OAuth2ClientCreds body=none</t>
        </is>
      </c>
      <c r="I1397" s="16" t="inlineStr">
        <is>
          <t>Access token acquired (or refreshed); attached as Bearer; PATCH sent with none body; server returns expected status.</t>
        </is>
      </c>
      <c r="J1397" s="16" t="inlineStr"/>
      <c r="K1397" s="16" t="inlineStr">
        <is>
          <t>Not Run</t>
        </is>
      </c>
      <c r="L1397" s="16" t="inlineStr">
        <is>
          <t>Medium</t>
        </is>
      </c>
      <c r="M1397" s="16" t="inlineStr"/>
      <c r="N1397" s="16" t="inlineStr"/>
      <c r="O1397" s="16" t="inlineStr"/>
    </row>
    <row r="1398" ht="72" customHeight="1">
      <c r="A1398" s="16" t="inlineStr">
        <is>
          <t>TC-MM-0355</t>
        </is>
      </c>
      <c r="B1398" s="16" t="inlineStr">
        <is>
          <t>Method x Body Matrix</t>
        </is>
      </c>
      <c r="C1398" s="16" t="inlineStr">
        <is>
          <t>PATCH + OAuth2ClientCreds + form-data</t>
        </is>
      </c>
      <c r="D1398" s="16" t="inlineStr">
        <is>
          <t>Functional</t>
        </is>
      </c>
      <c r="E1398" s="16" t="inlineStr">
        <is>
          <t>PATCH with OAuth2ClientCreds auth and form-data body</t>
        </is>
      </c>
      <c r="F1398" s="16" t="inlineStr">
        <is>
          <t>Editor open.</t>
        </is>
      </c>
      <c r="G1398" s="16" t="inlineStr">
        <is>
          <t>1. New request; method PATCH; URL to an echo endpoint.
2. Auth type OAuth2ClientCreds; configure minimum credentials.
3. Body type form-data; provide minimum valid content.
4. Send and inspect outgoing wire request (DevTools/proxy).</t>
        </is>
      </c>
      <c r="H1398" s="16" t="inlineStr">
        <is>
          <t>method=PATCH auth=OAuth2ClientCreds body=form-data</t>
        </is>
      </c>
      <c r="I1398" s="16" t="inlineStr">
        <is>
          <t>Access token acquired (or refreshed); attached as Bearer; PATCH sent with form-data body; server returns expected status.</t>
        </is>
      </c>
      <c r="J1398" s="16" t="inlineStr"/>
      <c r="K1398" s="16" t="inlineStr">
        <is>
          <t>Not Run</t>
        </is>
      </c>
      <c r="L1398" s="16" t="inlineStr">
        <is>
          <t>Medium</t>
        </is>
      </c>
      <c r="M1398" s="16" t="inlineStr"/>
      <c r="N1398" s="16" t="inlineStr"/>
      <c r="O1398" s="16" t="inlineStr"/>
    </row>
    <row r="1399" ht="72" customHeight="1">
      <c r="A1399" s="16" t="inlineStr">
        <is>
          <t>TC-MM-0356</t>
        </is>
      </c>
      <c r="B1399" s="16" t="inlineStr">
        <is>
          <t>Method x Body Matrix</t>
        </is>
      </c>
      <c r="C1399" s="16" t="inlineStr">
        <is>
          <t>PATCH + OAuth2ClientCreds + x-www-form-urlencoded</t>
        </is>
      </c>
      <c r="D1399" s="16" t="inlineStr">
        <is>
          <t>Functional</t>
        </is>
      </c>
      <c r="E1399" s="16" t="inlineStr">
        <is>
          <t>PATCH with OAuth2ClientCreds auth and x-www-form-urlencoded body</t>
        </is>
      </c>
      <c r="F1399" s="16" t="inlineStr">
        <is>
          <t>Editor open.</t>
        </is>
      </c>
      <c r="G1399" s="16" t="inlineStr">
        <is>
          <t>1. New request; method PATCH; URL to an echo endpoint.
2. Auth type OAuth2ClientCreds; configure minimum credentials.
3. Body type x-www-form-urlencoded; provide minimum valid content.
4. Send and inspect outgoing wire request (DevTools/proxy).</t>
        </is>
      </c>
      <c r="H1399" s="16" t="inlineStr">
        <is>
          <t>method=PATCH auth=OAuth2ClientCreds body=x-www-form-urlencoded</t>
        </is>
      </c>
      <c r="I1399" s="16" t="inlineStr">
        <is>
          <t>Access token acquired (or refreshed); attached as Bearer; PATCH sent with x-www-form-urlencoded body; server returns expected status.</t>
        </is>
      </c>
      <c r="J1399" s="16" t="inlineStr"/>
      <c r="K1399" s="16" t="inlineStr">
        <is>
          <t>Not Run</t>
        </is>
      </c>
      <c r="L1399" s="16" t="inlineStr">
        <is>
          <t>Medium</t>
        </is>
      </c>
      <c r="M1399" s="16" t="inlineStr"/>
      <c r="N1399" s="16" t="inlineStr"/>
      <c r="O1399" s="16" t="inlineStr"/>
    </row>
    <row r="1400" ht="72" customHeight="1">
      <c r="A1400" s="16" t="inlineStr">
        <is>
          <t>TC-MM-0357</t>
        </is>
      </c>
      <c r="B1400" s="16" t="inlineStr">
        <is>
          <t>Method x Body Matrix</t>
        </is>
      </c>
      <c r="C1400" s="16" t="inlineStr">
        <is>
          <t>PATCH + OAuth2ClientCreds + raw-json</t>
        </is>
      </c>
      <c r="D1400" s="16" t="inlineStr">
        <is>
          <t>Functional</t>
        </is>
      </c>
      <c r="E1400" s="16" t="inlineStr">
        <is>
          <t>PATCH with OAuth2ClientCreds auth and raw-json body</t>
        </is>
      </c>
      <c r="F1400" s="16" t="inlineStr">
        <is>
          <t>Editor open.</t>
        </is>
      </c>
      <c r="G1400" s="16" t="inlineStr">
        <is>
          <t>1. New request; method PATCH; URL to an echo endpoint.
2. Auth type OAuth2ClientCreds; configure minimum credentials.
3. Body type raw-json; provide minimum valid content.
4. Send and inspect outgoing wire request (DevTools/proxy).</t>
        </is>
      </c>
      <c r="H1400" s="16" t="inlineStr">
        <is>
          <t>method=PATCH auth=OAuth2ClientCreds body=raw-json</t>
        </is>
      </c>
      <c r="I1400" s="16" t="inlineStr">
        <is>
          <t>Access token acquired (or refreshed); attached as Bearer; PATCH sent with raw-json body; server returns expected status.</t>
        </is>
      </c>
      <c r="J1400" s="16" t="inlineStr"/>
      <c r="K1400" s="16" t="inlineStr">
        <is>
          <t>Not Run</t>
        </is>
      </c>
      <c r="L1400" s="16" t="inlineStr">
        <is>
          <t>Medium</t>
        </is>
      </c>
      <c r="M1400" s="16" t="inlineStr"/>
      <c r="N1400" s="16" t="inlineStr"/>
      <c r="O1400" s="16" t="inlineStr"/>
    </row>
    <row r="1401" ht="72" customHeight="1">
      <c r="A1401" s="16" t="inlineStr">
        <is>
          <t>TC-MM-0358</t>
        </is>
      </c>
      <c r="B1401" s="16" t="inlineStr">
        <is>
          <t>Method x Body Matrix</t>
        </is>
      </c>
      <c r="C1401" s="16" t="inlineStr">
        <is>
          <t>PATCH + OAuth2ClientCreds + raw-xml</t>
        </is>
      </c>
      <c r="D1401" s="16" t="inlineStr">
        <is>
          <t>Functional</t>
        </is>
      </c>
      <c r="E1401" s="16" t="inlineStr">
        <is>
          <t>PATCH with OAuth2ClientCreds auth and raw-xml body</t>
        </is>
      </c>
      <c r="F1401" s="16" t="inlineStr">
        <is>
          <t>Editor open.</t>
        </is>
      </c>
      <c r="G1401" s="16" t="inlineStr">
        <is>
          <t>1. New request; method PATCH; URL to an echo endpoint.
2. Auth type OAuth2ClientCreds; configure minimum credentials.
3. Body type raw-xml; provide minimum valid content.
4. Send and inspect outgoing wire request (DevTools/proxy).</t>
        </is>
      </c>
      <c r="H1401" s="16" t="inlineStr">
        <is>
          <t>method=PATCH auth=OAuth2ClientCreds body=raw-xml</t>
        </is>
      </c>
      <c r="I1401" s="16" t="inlineStr">
        <is>
          <t>Access token acquired (or refreshed); attached as Bearer; PATCH sent with raw-xml body; server returns expected status.</t>
        </is>
      </c>
      <c r="J1401" s="16" t="inlineStr"/>
      <c r="K1401" s="16" t="inlineStr">
        <is>
          <t>Not Run</t>
        </is>
      </c>
      <c r="L1401" s="16" t="inlineStr">
        <is>
          <t>Medium</t>
        </is>
      </c>
      <c r="M1401" s="16" t="inlineStr"/>
      <c r="N1401" s="16" t="inlineStr"/>
      <c r="O1401" s="16" t="inlineStr"/>
    </row>
    <row r="1402" ht="72" customHeight="1">
      <c r="A1402" s="16" t="inlineStr">
        <is>
          <t>TC-MM-0359</t>
        </is>
      </c>
      <c r="B1402" s="16" t="inlineStr">
        <is>
          <t>Method x Body Matrix</t>
        </is>
      </c>
      <c r="C1402" s="16" t="inlineStr">
        <is>
          <t>PATCH + OAuth2ClientCreds + raw-text</t>
        </is>
      </c>
      <c r="D1402" s="16" t="inlineStr">
        <is>
          <t>Functional</t>
        </is>
      </c>
      <c r="E1402" s="16" t="inlineStr">
        <is>
          <t>PATCH with OAuth2ClientCreds auth and raw-text body</t>
        </is>
      </c>
      <c r="F1402" s="16" t="inlineStr">
        <is>
          <t>Editor open.</t>
        </is>
      </c>
      <c r="G1402" s="16" t="inlineStr">
        <is>
          <t>1. New request; method PATCH; URL to an echo endpoint.
2. Auth type OAuth2ClientCreds; configure minimum credentials.
3. Body type raw-text; provide minimum valid content.
4. Send and inspect outgoing wire request (DevTools/proxy).</t>
        </is>
      </c>
      <c r="H1402" s="16" t="inlineStr">
        <is>
          <t>method=PATCH auth=OAuth2ClientCreds body=raw-text</t>
        </is>
      </c>
      <c r="I1402" s="16" t="inlineStr">
        <is>
          <t>Access token acquired (or refreshed); attached as Bearer; PATCH sent with raw-text body; server returns expected status.</t>
        </is>
      </c>
      <c r="J1402" s="16" t="inlineStr"/>
      <c r="K1402" s="16" t="inlineStr">
        <is>
          <t>Not Run</t>
        </is>
      </c>
      <c r="L1402" s="16" t="inlineStr">
        <is>
          <t>Medium</t>
        </is>
      </c>
      <c r="M1402" s="16" t="inlineStr"/>
      <c r="N1402" s="16" t="inlineStr"/>
      <c r="O1402" s="16" t="inlineStr"/>
    </row>
    <row r="1403" ht="72" customHeight="1">
      <c r="A1403" s="16" t="inlineStr">
        <is>
          <t>TC-MM-0360</t>
        </is>
      </c>
      <c r="B1403" s="16" t="inlineStr">
        <is>
          <t>Method x Body Matrix</t>
        </is>
      </c>
      <c r="C1403" s="16" t="inlineStr">
        <is>
          <t>PATCH + OAuth2ClientCreds + binary</t>
        </is>
      </c>
      <c r="D1403" s="16" t="inlineStr">
        <is>
          <t>Functional</t>
        </is>
      </c>
      <c r="E1403" s="16" t="inlineStr">
        <is>
          <t>PATCH with OAuth2ClientCreds auth and binary body</t>
        </is>
      </c>
      <c r="F1403" s="16" t="inlineStr">
        <is>
          <t>Editor open.</t>
        </is>
      </c>
      <c r="G1403" s="16" t="inlineStr">
        <is>
          <t>1. New request; method PATCH; URL to an echo endpoint.
2. Auth type OAuth2ClientCreds; configure minimum credentials.
3. Body type binary; provide minimum valid content.
4. Send and inspect outgoing wire request (DevTools/proxy).</t>
        </is>
      </c>
      <c r="H1403" s="16" t="inlineStr">
        <is>
          <t>method=PATCH auth=OAuth2ClientCreds body=binary</t>
        </is>
      </c>
      <c r="I1403" s="16" t="inlineStr">
        <is>
          <t>Access token acquired (or refreshed); attached as Bearer; PATCH sent with binary body; server returns expected status.</t>
        </is>
      </c>
      <c r="J1403" s="16" t="inlineStr"/>
      <c r="K1403" s="16" t="inlineStr">
        <is>
          <t>Not Run</t>
        </is>
      </c>
      <c r="L1403" s="16" t="inlineStr">
        <is>
          <t>Medium</t>
        </is>
      </c>
      <c r="M1403" s="16" t="inlineStr"/>
      <c r="N1403" s="16" t="inlineStr"/>
      <c r="O1403" s="16" t="inlineStr"/>
    </row>
    <row r="1404" ht="72" customHeight="1">
      <c r="A1404" s="16" t="inlineStr">
        <is>
          <t>TC-MM-0361</t>
        </is>
      </c>
      <c r="B1404" s="16" t="inlineStr">
        <is>
          <t>Method x Body Matrix</t>
        </is>
      </c>
      <c r="C1404" s="16" t="inlineStr">
        <is>
          <t>PATCH + OAuth2PKCE + none</t>
        </is>
      </c>
      <c r="D1404" s="16" t="inlineStr">
        <is>
          <t>Functional</t>
        </is>
      </c>
      <c r="E1404" s="16" t="inlineStr">
        <is>
          <t>PATCH with OAuth2PKCE auth and none body</t>
        </is>
      </c>
      <c r="F1404" s="16" t="inlineStr">
        <is>
          <t>Editor open.</t>
        </is>
      </c>
      <c r="G1404" s="16" t="inlineStr">
        <is>
          <t>1. New request; method PATCH; URL to an echo endpoint.
2. Auth type OAuth2PKCE; configure minimum credentials.
3. Body type none; provide minimum valid content.
4. Send and inspect outgoing wire request (DevTools/proxy).</t>
        </is>
      </c>
      <c r="H1404" s="16" t="inlineStr">
        <is>
          <t>method=PATCH auth=OAuth2PKCE body=none</t>
        </is>
      </c>
      <c r="I1404" s="16" t="inlineStr">
        <is>
          <t>Access token acquired (or refreshed); attached as Bearer; PATCH sent with none body; server returns expected status.</t>
        </is>
      </c>
      <c r="J1404" s="16" t="inlineStr"/>
      <c r="K1404" s="16" t="inlineStr">
        <is>
          <t>Not Run</t>
        </is>
      </c>
      <c r="L1404" s="16" t="inlineStr">
        <is>
          <t>Medium</t>
        </is>
      </c>
      <c r="M1404" s="16" t="inlineStr"/>
      <c r="N1404" s="16" t="inlineStr"/>
      <c r="O1404" s="16" t="inlineStr"/>
    </row>
    <row r="1405" ht="72" customHeight="1">
      <c r="A1405" s="16" t="inlineStr">
        <is>
          <t>TC-MM-0362</t>
        </is>
      </c>
      <c r="B1405" s="16" t="inlineStr">
        <is>
          <t>Method x Body Matrix</t>
        </is>
      </c>
      <c r="C1405" s="16" t="inlineStr">
        <is>
          <t>PATCH + OAuth2PKCE + form-data</t>
        </is>
      </c>
      <c r="D1405" s="16" t="inlineStr">
        <is>
          <t>Functional</t>
        </is>
      </c>
      <c r="E1405" s="16" t="inlineStr">
        <is>
          <t>PATCH with OAuth2PKCE auth and form-data body</t>
        </is>
      </c>
      <c r="F1405" s="16" t="inlineStr">
        <is>
          <t>Editor open.</t>
        </is>
      </c>
      <c r="G1405" s="16" t="inlineStr">
        <is>
          <t>1. New request; method PATCH; URL to an echo endpoint.
2. Auth type OAuth2PKCE; configure minimum credentials.
3. Body type form-data; provide minimum valid content.
4. Send and inspect outgoing wire request (DevTools/proxy).</t>
        </is>
      </c>
      <c r="H1405" s="16" t="inlineStr">
        <is>
          <t>method=PATCH auth=OAuth2PKCE body=form-data</t>
        </is>
      </c>
      <c r="I1405" s="16" t="inlineStr">
        <is>
          <t>Access token acquired (or refreshed); attached as Bearer; PATCH sent with form-data body; server returns expected status.</t>
        </is>
      </c>
      <c r="J1405" s="16" t="inlineStr"/>
      <c r="K1405" s="16" t="inlineStr">
        <is>
          <t>Not Run</t>
        </is>
      </c>
      <c r="L1405" s="16" t="inlineStr">
        <is>
          <t>Medium</t>
        </is>
      </c>
      <c r="M1405" s="16" t="inlineStr"/>
      <c r="N1405" s="16" t="inlineStr"/>
      <c r="O1405" s="16" t="inlineStr"/>
    </row>
    <row r="1406" ht="72" customHeight="1">
      <c r="A1406" s="16" t="inlineStr">
        <is>
          <t>TC-MM-0363</t>
        </is>
      </c>
      <c r="B1406" s="16" t="inlineStr">
        <is>
          <t>Method x Body Matrix</t>
        </is>
      </c>
      <c r="C1406" s="16" t="inlineStr">
        <is>
          <t>PATCH + OAuth2PKCE + x-www-form-urlencoded</t>
        </is>
      </c>
      <c r="D1406" s="16" t="inlineStr">
        <is>
          <t>Functional</t>
        </is>
      </c>
      <c r="E1406" s="16" t="inlineStr">
        <is>
          <t>PATCH with OAuth2PKCE auth and x-www-form-urlencoded body</t>
        </is>
      </c>
      <c r="F1406" s="16" t="inlineStr">
        <is>
          <t>Editor open.</t>
        </is>
      </c>
      <c r="G1406" s="16" t="inlineStr">
        <is>
          <t>1. New request; method PATCH; URL to an echo endpoint.
2. Auth type OAuth2PKCE; configure minimum credentials.
3. Body type x-www-form-urlencoded; provide minimum valid content.
4. Send and inspect outgoing wire request (DevTools/proxy).</t>
        </is>
      </c>
      <c r="H1406" s="16" t="inlineStr">
        <is>
          <t>method=PATCH auth=OAuth2PKCE body=x-www-form-urlencoded</t>
        </is>
      </c>
      <c r="I1406" s="16" t="inlineStr">
        <is>
          <t>Access token acquired (or refreshed); attached as Bearer; PATCH sent with x-www-form-urlencoded body; server returns expected status.</t>
        </is>
      </c>
      <c r="J1406" s="16" t="inlineStr"/>
      <c r="K1406" s="16" t="inlineStr">
        <is>
          <t>Not Run</t>
        </is>
      </c>
      <c r="L1406" s="16" t="inlineStr">
        <is>
          <t>Medium</t>
        </is>
      </c>
      <c r="M1406" s="16" t="inlineStr"/>
      <c r="N1406" s="16" t="inlineStr"/>
      <c r="O1406" s="16" t="inlineStr"/>
    </row>
    <row r="1407" ht="72" customHeight="1">
      <c r="A1407" s="16" t="inlineStr">
        <is>
          <t>TC-MM-0364</t>
        </is>
      </c>
      <c r="B1407" s="16" t="inlineStr">
        <is>
          <t>Method x Body Matrix</t>
        </is>
      </c>
      <c r="C1407" s="16" t="inlineStr">
        <is>
          <t>PATCH + OAuth2PKCE + raw-json</t>
        </is>
      </c>
      <c r="D1407" s="16" t="inlineStr">
        <is>
          <t>Functional</t>
        </is>
      </c>
      <c r="E1407" s="16" t="inlineStr">
        <is>
          <t>PATCH with OAuth2PKCE auth and raw-json body</t>
        </is>
      </c>
      <c r="F1407" s="16" t="inlineStr">
        <is>
          <t>Editor open.</t>
        </is>
      </c>
      <c r="G1407" s="16" t="inlineStr">
        <is>
          <t>1. New request; method PATCH; URL to an echo endpoint.
2. Auth type OAuth2PKCE; configure minimum credentials.
3. Body type raw-json; provide minimum valid content.
4. Send and inspect outgoing wire request (DevTools/proxy).</t>
        </is>
      </c>
      <c r="H1407" s="16" t="inlineStr">
        <is>
          <t>method=PATCH auth=OAuth2PKCE body=raw-json</t>
        </is>
      </c>
      <c r="I1407" s="16" t="inlineStr">
        <is>
          <t>Access token acquired (or refreshed); attached as Bearer; PATCH sent with raw-json body; server returns expected status.</t>
        </is>
      </c>
      <c r="J1407" s="16" t="inlineStr"/>
      <c r="K1407" s="16" t="inlineStr">
        <is>
          <t>Not Run</t>
        </is>
      </c>
      <c r="L1407" s="16" t="inlineStr">
        <is>
          <t>Medium</t>
        </is>
      </c>
      <c r="M1407" s="16" t="inlineStr"/>
      <c r="N1407" s="16" t="inlineStr"/>
      <c r="O1407" s="16" t="inlineStr"/>
    </row>
    <row r="1408" ht="72" customHeight="1">
      <c r="A1408" s="16" t="inlineStr">
        <is>
          <t>TC-MM-0365</t>
        </is>
      </c>
      <c r="B1408" s="16" t="inlineStr">
        <is>
          <t>Method x Body Matrix</t>
        </is>
      </c>
      <c r="C1408" s="16" t="inlineStr">
        <is>
          <t>PATCH + OAuth2PKCE + raw-xml</t>
        </is>
      </c>
      <c r="D1408" s="16" t="inlineStr">
        <is>
          <t>Functional</t>
        </is>
      </c>
      <c r="E1408" s="16" t="inlineStr">
        <is>
          <t>PATCH with OAuth2PKCE auth and raw-xml body</t>
        </is>
      </c>
      <c r="F1408" s="16" t="inlineStr">
        <is>
          <t>Editor open.</t>
        </is>
      </c>
      <c r="G1408" s="16" t="inlineStr">
        <is>
          <t>1. New request; method PATCH; URL to an echo endpoint.
2. Auth type OAuth2PKCE; configure minimum credentials.
3. Body type raw-xml; provide minimum valid content.
4. Send and inspect outgoing wire request (DevTools/proxy).</t>
        </is>
      </c>
      <c r="H1408" s="16" t="inlineStr">
        <is>
          <t>method=PATCH auth=OAuth2PKCE body=raw-xml</t>
        </is>
      </c>
      <c r="I1408" s="16" t="inlineStr">
        <is>
          <t>Access token acquired (or refreshed); attached as Bearer; PATCH sent with raw-xml body; server returns expected status.</t>
        </is>
      </c>
      <c r="J1408" s="16" t="inlineStr"/>
      <c r="K1408" s="16" t="inlineStr">
        <is>
          <t>Not Run</t>
        </is>
      </c>
      <c r="L1408" s="16" t="inlineStr">
        <is>
          <t>Medium</t>
        </is>
      </c>
      <c r="M1408" s="16" t="inlineStr"/>
      <c r="N1408" s="16" t="inlineStr"/>
      <c r="O1408" s="16" t="inlineStr"/>
    </row>
    <row r="1409" ht="72" customHeight="1">
      <c r="A1409" s="16" t="inlineStr">
        <is>
          <t>TC-MM-0366</t>
        </is>
      </c>
      <c r="B1409" s="16" t="inlineStr">
        <is>
          <t>Method x Body Matrix</t>
        </is>
      </c>
      <c r="C1409" s="16" t="inlineStr">
        <is>
          <t>PATCH + OAuth2PKCE + raw-text</t>
        </is>
      </c>
      <c r="D1409" s="16" t="inlineStr">
        <is>
          <t>Functional</t>
        </is>
      </c>
      <c r="E1409" s="16" t="inlineStr">
        <is>
          <t>PATCH with OAuth2PKCE auth and raw-text body</t>
        </is>
      </c>
      <c r="F1409" s="16" t="inlineStr">
        <is>
          <t>Editor open.</t>
        </is>
      </c>
      <c r="G1409" s="16" t="inlineStr">
        <is>
          <t>1. New request; method PATCH; URL to an echo endpoint.
2. Auth type OAuth2PKCE; configure minimum credentials.
3. Body type raw-text; provide minimum valid content.
4. Send and inspect outgoing wire request (DevTools/proxy).</t>
        </is>
      </c>
      <c r="H1409" s="16" t="inlineStr">
        <is>
          <t>method=PATCH auth=OAuth2PKCE body=raw-text</t>
        </is>
      </c>
      <c r="I1409" s="16" t="inlineStr">
        <is>
          <t>Access token acquired (or refreshed); attached as Bearer; PATCH sent with raw-text body; server returns expected status.</t>
        </is>
      </c>
      <c r="J1409" s="16" t="inlineStr"/>
      <c r="K1409" s="16" t="inlineStr">
        <is>
          <t>Not Run</t>
        </is>
      </c>
      <c r="L1409" s="16" t="inlineStr">
        <is>
          <t>Medium</t>
        </is>
      </c>
      <c r="M1409" s="16" t="inlineStr"/>
      <c r="N1409" s="16" t="inlineStr"/>
      <c r="O1409" s="16" t="inlineStr"/>
    </row>
    <row r="1410" ht="72" customHeight="1">
      <c r="A1410" s="16" t="inlineStr">
        <is>
          <t>TC-MM-0367</t>
        </is>
      </c>
      <c r="B1410" s="16" t="inlineStr">
        <is>
          <t>Method x Body Matrix</t>
        </is>
      </c>
      <c r="C1410" s="16" t="inlineStr">
        <is>
          <t>PATCH + OAuth2PKCE + binary</t>
        </is>
      </c>
      <c r="D1410" s="16" t="inlineStr">
        <is>
          <t>Functional</t>
        </is>
      </c>
      <c r="E1410" s="16" t="inlineStr">
        <is>
          <t>PATCH with OAuth2PKCE auth and binary body</t>
        </is>
      </c>
      <c r="F1410" s="16" t="inlineStr">
        <is>
          <t>Editor open.</t>
        </is>
      </c>
      <c r="G1410" s="16" t="inlineStr">
        <is>
          <t>1. New request; method PATCH; URL to an echo endpoint.
2. Auth type OAuth2PKCE; configure minimum credentials.
3. Body type binary; provide minimum valid content.
4. Send and inspect outgoing wire request (DevTools/proxy).</t>
        </is>
      </c>
      <c r="H1410" s="16" t="inlineStr">
        <is>
          <t>method=PATCH auth=OAuth2PKCE body=binary</t>
        </is>
      </c>
      <c r="I1410" s="16" t="inlineStr">
        <is>
          <t>Access token acquired (or refreshed); attached as Bearer; PATCH sent with binary body; server returns expected status.</t>
        </is>
      </c>
      <c r="J1410" s="16" t="inlineStr"/>
      <c r="K1410" s="16" t="inlineStr">
        <is>
          <t>Not Run</t>
        </is>
      </c>
      <c r="L1410" s="16" t="inlineStr">
        <is>
          <t>Medium</t>
        </is>
      </c>
      <c r="M1410" s="16" t="inlineStr"/>
      <c r="N1410" s="16" t="inlineStr"/>
      <c r="O1410" s="16" t="inlineStr"/>
    </row>
    <row r="1411" ht="72" customHeight="1">
      <c r="A1411" s="16" t="inlineStr">
        <is>
          <t>TC-MM-0368</t>
        </is>
      </c>
      <c r="B1411" s="16" t="inlineStr">
        <is>
          <t>Method x Body Matrix</t>
        </is>
      </c>
      <c r="C1411" s="16" t="inlineStr">
        <is>
          <t>PATCH + Digest + none</t>
        </is>
      </c>
      <c r="D1411" s="16" t="inlineStr">
        <is>
          <t>Functional</t>
        </is>
      </c>
      <c r="E1411" s="16" t="inlineStr">
        <is>
          <t>PATCH with Digest auth and none body</t>
        </is>
      </c>
      <c r="F1411" s="16" t="inlineStr">
        <is>
          <t>Editor open.</t>
        </is>
      </c>
      <c r="G1411" s="16" t="inlineStr">
        <is>
          <t>1. New request; method PATCH; URL to an echo endpoint.
2. Auth type Digest; configure minimum credentials.
3. Body type none; provide minimum valid content.
4. Send and inspect outgoing wire request (DevTools/proxy).</t>
        </is>
      </c>
      <c r="H1411" s="16" t="inlineStr">
        <is>
          <t>method=PATCH auth=Digest body=none</t>
        </is>
      </c>
      <c r="I1411" s="16" t="inlineStr">
        <is>
          <t>Digest auth applied correctly; none body sent with right Content-Type; server returns expected status.</t>
        </is>
      </c>
      <c r="J1411" s="16" t="inlineStr"/>
      <c r="K1411" s="16" t="inlineStr">
        <is>
          <t>Not Run</t>
        </is>
      </c>
      <c r="L1411" s="16" t="inlineStr">
        <is>
          <t>Medium</t>
        </is>
      </c>
      <c r="M1411" s="16" t="inlineStr"/>
      <c r="N1411" s="16" t="inlineStr"/>
      <c r="O1411" s="16" t="inlineStr"/>
    </row>
    <row r="1412" ht="72" customHeight="1">
      <c r="A1412" s="16" t="inlineStr">
        <is>
          <t>TC-MM-0369</t>
        </is>
      </c>
      <c r="B1412" s="16" t="inlineStr">
        <is>
          <t>Method x Body Matrix</t>
        </is>
      </c>
      <c r="C1412" s="16" t="inlineStr">
        <is>
          <t>PATCH + Digest + form-data</t>
        </is>
      </c>
      <c r="D1412" s="16" t="inlineStr">
        <is>
          <t>Functional</t>
        </is>
      </c>
      <c r="E1412" s="16" t="inlineStr">
        <is>
          <t>PATCH with Digest auth and form-data body</t>
        </is>
      </c>
      <c r="F1412" s="16" t="inlineStr">
        <is>
          <t>Editor open.</t>
        </is>
      </c>
      <c r="G1412" s="16" t="inlineStr">
        <is>
          <t>1. New request; method PATCH; URL to an echo endpoint.
2. Auth type Digest; configure minimum credentials.
3. Body type form-data; provide minimum valid content.
4. Send and inspect outgoing wire request (DevTools/proxy).</t>
        </is>
      </c>
      <c r="H1412" s="16" t="inlineStr">
        <is>
          <t>method=PATCH auth=Digest body=form-data</t>
        </is>
      </c>
      <c r="I1412" s="16" t="inlineStr">
        <is>
          <t>Digest auth applied correctly; form-data body sent with right Content-Type; server returns expected status.</t>
        </is>
      </c>
      <c r="J1412" s="16" t="inlineStr"/>
      <c r="K1412" s="16" t="inlineStr">
        <is>
          <t>Not Run</t>
        </is>
      </c>
      <c r="L1412" s="16" t="inlineStr">
        <is>
          <t>Medium</t>
        </is>
      </c>
      <c r="M1412" s="16" t="inlineStr"/>
      <c r="N1412" s="16" t="inlineStr"/>
      <c r="O1412" s="16" t="inlineStr"/>
    </row>
    <row r="1413" ht="72" customHeight="1">
      <c r="A1413" s="16" t="inlineStr">
        <is>
          <t>TC-MM-0370</t>
        </is>
      </c>
      <c r="B1413" s="16" t="inlineStr">
        <is>
          <t>Method x Body Matrix</t>
        </is>
      </c>
      <c r="C1413" s="16" t="inlineStr">
        <is>
          <t>PATCH + Digest + x-www-form-urlencoded</t>
        </is>
      </c>
      <c r="D1413" s="16" t="inlineStr">
        <is>
          <t>Functional</t>
        </is>
      </c>
      <c r="E1413" s="16" t="inlineStr">
        <is>
          <t>PATCH with Digest auth and x-www-form-urlencoded body</t>
        </is>
      </c>
      <c r="F1413" s="16" t="inlineStr">
        <is>
          <t>Editor open.</t>
        </is>
      </c>
      <c r="G1413" s="16" t="inlineStr">
        <is>
          <t>1. New request; method PATCH; URL to an echo endpoint.
2. Auth type Digest; configure minimum credentials.
3. Body type x-www-form-urlencoded; provide minimum valid content.
4. Send and inspect outgoing wire request (DevTools/proxy).</t>
        </is>
      </c>
      <c r="H1413" s="16" t="inlineStr">
        <is>
          <t>method=PATCH auth=Digest body=x-www-form-urlencoded</t>
        </is>
      </c>
      <c r="I1413" s="16" t="inlineStr">
        <is>
          <t>Digest auth applied correctly; x-www-form-urlencoded body sent with right Content-Type; server returns expected status.</t>
        </is>
      </c>
      <c r="J1413" s="16" t="inlineStr"/>
      <c r="K1413" s="16" t="inlineStr">
        <is>
          <t>Not Run</t>
        </is>
      </c>
      <c r="L1413" s="16" t="inlineStr">
        <is>
          <t>Medium</t>
        </is>
      </c>
      <c r="M1413" s="16" t="inlineStr"/>
      <c r="N1413" s="16" t="inlineStr"/>
      <c r="O1413" s="16" t="inlineStr"/>
    </row>
    <row r="1414" ht="72" customHeight="1">
      <c r="A1414" s="16" t="inlineStr">
        <is>
          <t>TC-MM-0371</t>
        </is>
      </c>
      <c r="B1414" s="16" t="inlineStr">
        <is>
          <t>Method x Body Matrix</t>
        </is>
      </c>
      <c r="C1414" s="16" t="inlineStr">
        <is>
          <t>PATCH + Digest + raw-json</t>
        </is>
      </c>
      <c r="D1414" s="16" t="inlineStr">
        <is>
          <t>Functional</t>
        </is>
      </c>
      <c r="E1414" s="16" t="inlineStr">
        <is>
          <t>PATCH with Digest auth and raw-json body</t>
        </is>
      </c>
      <c r="F1414" s="16" t="inlineStr">
        <is>
          <t>Editor open.</t>
        </is>
      </c>
      <c r="G1414" s="16" t="inlineStr">
        <is>
          <t>1. New request; method PATCH; URL to an echo endpoint.
2. Auth type Digest; configure minimum credentials.
3. Body type raw-json; provide minimum valid content.
4. Send and inspect outgoing wire request (DevTools/proxy).</t>
        </is>
      </c>
      <c r="H1414" s="16" t="inlineStr">
        <is>
          <t>method=PATCH auth=Digest body=raw-json</t>
        </is>
      </c>
      <c r="I1414" s="16" t="inlineStr">
        <is>
          <t>Digest auth applied correctly; raw-json body sent with right Content-Type; server returns expected status.</t>
        </is>
      </c>
      <c r="J1414" s="16" t="inlineStr"/>
      <c r="K1414" s="16" t="inlineStr">
        <is>
          <t>Not Run</t>
        </is>
      </c>
      <c r="L1414" s="16" t="inlineStr">
        <is>
          <t>Medium</t>
        </is>
      </c>
      <c r="M1414" s="16" t="inlineStr"/>
      <c r="N1414" s="16" t="inlineStr"/>
      <c r="O1414" s="16" t="inlineStr"/>
    </row>
    <row r="1415" ht="72" customHeight="1">
      <c r="A1415" s="16" t="inlineStr">
        <is>
          <t>TC-MM-0372</t>
        </is>
      </c>
      <c r="B1415" s="16" t="inlineStr">
        <is>
          <t>Method x Body Matrix</t>
        </is>
      </c>
      <c r="C1415" s="16" t="inlineStr">
        <is>
          <t>PATCH + Digest + raw-xml</t>
        </is>
      </c>
      <c r="D1415" s="16" t="inlineStr">
        <is>
          <t>Functional</t>
        </is>
      </c>
      <c r="E1415" s="16" t="inlineStr">
        <is>
          <t>PATCH with Digest auth and raw-xml body</t>
        </is>
      </c>
      <c r="F1415" s="16" t="inlineStr">
        <is>
          <t>Editor open.</t>
        </is>
      </c>
      <c r="G1415" s="16" t="inlineStr">
        <is>
          <t>1. New request; method PATCH; URL to an echo endpoint.
2. Auth type Digest; configure minimum credentials.
3. Body type raw-xml; provide minimum valid content.
4. Send and inspect outgoing wire request (DevTools/proxy).</t>
        </is>
      </c>
      <c r="H1415" s="16" t="inlineStr">
        <is>
          <t>method=PATCH auth=Digest body=raw-xml</t>
        </is>
      </c>
      <c r="I1415" s="16" t="inlineStr">
        <is>
          <t>Digest auth applied correctly; raw-xml body sent with right Content-Type; server returns expected status.</t>
        </is>
      </c>
      <c r="J1415" s="16" t="inlineStr"/>
      <c r="K1415" s="16" t="inlineStr">
        <is>
          <t>Not Run</t>
        </is>
      </c>
      <c r="L1415" s="16" t="inlineStr">
        <is>
          <t>Medium</t>
        </is>
      </c>
      <c r="M1415" s="16" t="inlineStr"/>
      <c r="N1415" s="16" t="inlineStr"/>
      <c r="O1415" s="16" t="inlineStr"/>
    </row>
    <row r="1416" ht="72" customHeight="1">
      <c r="A1416" s="16" t="inlineStr">
        <is>
          <t>TC-MM-0373</t>
        </is>
      </c>
      <c r="B1416" s="16" t="inlineStr">
        <is>
          <t>Method x Body Matrix</t>
        </is>
      </c>
      <c r="C1416" s="16" t="inlineStr">
        <is>
          <t>PATCH + Digest + raw-text</t>
        </is>
      </c>
      <c r="D1416" s="16" t="inlineStr">
        <is>
          <t>Functional</t>
        </is>
      </c>
      <c r="E1416" s="16" t="inlineStr">
        <is>
          <t>PATCH with Digest auth and raw-text body</t>
        </is>
      </c>
      <c r="F1416" s="16" t="inlineStr">
        <is>
          <t>Editor open.</t>
        </is>
      </c>
      <c r="G1416" s="16" t="inlineStr">
        <is>
          <t>1. New request; method PATCH; URL to an echo endpoint.
2. Auth type Digest; configure minimum credentials.
3. Body type raw-text; provide minimum valid content.
4. Send and inspect outgoing wire request (DevTools/proxy).</t>
        </is>
      </c>
      <c r="H1416" s="16" t="inlineStr">
        <is>
          <t>method=PATCH auth=Digest body=raw-text</t>
        </is>
      </c>
      <c r="I1416" s="16" t="inlineStr">
        <is>
          <t>Digest auth applied correctly; raw-text body sent with right Content-Type; server returns expected status.</t>
        </is>
      </c>
      <c r="J1416" s="16" t="inlineStr"/>
      <c r="K1416" s="16" t="inlineStr">
        <is>
          <t>Not Run</t>
        </is>
      </c>
      <c r="L1416" s="16" t="inlineStr">
        <is>
          <t>Medium</t>
        </is>
      </c>
      <c r="M1416" s="16" t="inlineStr"/>
      <c r="N1416" s="16" t="inlineStr"/>
      <c r="O1416" s="16" t="inlineStr"/>
    </row>
    <row r="1417" ht="72" customHeight="1">
      <c r="A1417" s="16" t="inlineStr">
        <is>
          <t>TC-MM-0374</t>
        </is>
      </c>
      <c r="B1417" s="16" t="inlineStr">
        <is>
          <t>Method x Body Matrix</t>
        </is>
      </c>
      <c r="C1417" s="16" t="inlineStr">
        <is>
          <t>PATCH + Digest + binary</t>
        </is>
      </c>
      <c r="D1417" s="16" t="inlineStr">
        <is>
          <t>Functional</t>
        </is>
      </c>
      <c r="E1417" s="16" t="inlineStr">
        <is>
          <t>PATCH with Digest auth and binary body</t>
        </is>
      </c>
      <c r="F1417" s="16" t="inlineStr">
        <is>
          <t>Editor open.</t>
        </is>
      </c>
      <c r="G1417" s="16" t="inlineStr">
        <is>
          <t>1. New request; method PATCH; URL to an echo endpoint.
2. Auth type Digest; configure minimum credentials.
3. Body type binary; provide minimum valid content.
4. Send and inspect outgoing wire request (DevTools/proxy).</t>
        </is>
      </c>
      <c r="H1417" s="16" t="inlineStr">
        <is>
          <t>method=PATCH auth=Digest body=binary</t>
        </is>
      </c>
      <c r="I1417" s="16" t="inlineStr">
        <is>
          <t>Digest auth applied correctly; binary body sent with right Content-Type; server returns expected status.</t>
        </is>
      </c>
      <c r="J1417" s="16" t="inlineStr"/>
      <c r="K1417" s="16" t="inlineStr">
        <is>
          <t>Not Run</t>
        </is>
      </c>
      <c r="L1417" s="16" t="inlineStr">
        <is>
          <t>Medium</t>
        </is>
      </c>
      <c r="M1417" s="16" t="inlineStr"/>
      <c r="N1417" s="16" t="inlineStr"/>
      <c r="O1417" s="16" t="inlineStr"/>
    </row>
    <row r="1418" ht="72" customHeight="1">
      <c r="A1418" s="16" t="inlineStr">
        <is>
          <t>TC-MM-0375</t>
        </is>
      </c>
      <c r="B1418" s="16" t="inlineStr">
        <is>
          <t>Method x Body Matrix</t>
        </is>
      </c>
      <c r="C1418" s="16" t="inlineStr">
        <is>
          <t>PATCH + NTLM + none</t>
        </is>
      </c>
      <c r="D1418" s="16" t="inlineStr">
        <is>
          <t>Functional</t>
        </is>
      </c>
      <c r="E1418" s="16" t="inlineStr">
        <is>
          <t>PATCH with NTLM auth and none body</t>
        </is>
      </c>
      <c r="F1418" s="16" t="inlineStr">
        <is>
          <t>Editor open.</t>
        </is>
      </c>
      <c r="G1418" s="16" t="inlineStr">
        <is>
          <t>1. New request; method PATCH; URL to an echo endpoint.
2. Auth type NTLM; configure minimum credentials.
3. Body type none; provide minimum valid content.
4. Send and inspect outgoing wire request (DevTools/proxy).</t>
        </is>
      </c>
      <c r="H1418" s="16" t="inlineStr">
        <is>
          <t>method=PATCH auth=NTLM body=none</t>
        </is>
      </c>
      <c r="I1418" s="16" t="inlineStr">
        <is>
          <t>NTLM auth applied correctly; none body sent with right Content-Type; server returns expected status.</t>
        </is>
      </c>
      <c r="J1418" s="16" t="inlineStr"/>
      <c r="K1418" s="16" t="inlineStr">
        <is>
          <t>Not Run</t>
        </is>
      </c>
      <c r="L1418" s="16" t="inlineStr">
        <is>
          <t>Medium</t>
        </is>
      </c>
      <c r="M1418" s="16" t="inlineStr"/>
      <c r="N1418" s="16" t="inlineStr"/>
      <c r="O1418" s="16" t="inlineStr"/>
    </row>
    <row r="1419" ht="72" customHeight="1">
      <c r="A1419" s="16" t="inlineStr">
        <is>
          <t>TC-MM-0376</t>
        </is>
      </c>
      <c r="B1419" s="16" t="inlineStr">
        <is>
          <t>Method x Body Matrix</t>
        </is>
      </c>
      <c r="C1419" s="16" t="inlineStr">
        <is>
          <t>PATCH + NTLM + form-data</t>
        </is>
      </c>
      <c r="D1419" s="16" t="inlineStr">
        <is>
          <t>Functional</t>
        </is>
      </c>
      <c r="E1419" s="16" t="inlineStr">
        <is>
          <t>PATCH with NTLM auth and form-data body</t>
        </is>
      </c>
      <c r="F1419" s="16" t="inlineStr">
        <is>
          <t>Editor open.</t>
        </is>
      </c>
      <c r="G1419" s="16" t="inlineStr">
        <is>
          <t>1. New request; method PATCH; URL to an echo endpoint.
2. Auth type NTLM; configure minimum credentials.
3. Body type form-data; provide minimum valid content.
4. Send and inspect outgoing wire request (DevTools/proxy).</t>
        </is>
      </c>
      <c r="H1419" s="16" t="inlineStr">
        <is>
          <t>method=PATCH auth=NTLM body=form-data</t>
        </is>
      </c>
      <c r="I1419" s="16" t="inlineStr">
        <is>
          <t>NTLM auth applied correctly; form-data body sent with right Content-Type; server returns expected status.</t>
        </is>
      </c>
      <c r="J1419" s="16" t="inlineStr"/>
      <c r="K1419" s="16" t="inlineStr">
        <is>
          <t>Not Run</t>
        </is>
      </c>
      <c r="L1419" s="16" t="inlineStr">
        <is>
          <t>Medium</t>
        </is>
      </c>
      <c r="M1419" s="16" t="inlineStr"/>
      <c r="N1419" s="16" t="inlineStr"/>
      <c r="O1419" s="16" t="inlineStr"/>
    </row>
    <row r="1420" ht="72" customHeight="1">
      <c r="A1420" s="16" t="inlineStr">
        <is>
          <t>TC-MM-0377</t>
        </is>
      </c>
      <c r="B1420" s="16" t="inlineStr">
        <is>
          <t>Method x Body Matrix</t>
        </is>
      </c>
      <c r="C1420" s="16" t="inlineStr">
        <is>
          <t>PATCH + NTLM + x-www-form-urlencoded</t>
        </is>
      </c>
      <c r="D1420" s="16" t="inlineStr">
        <is>
          <t>Functional</t>
        </is>
      </c>
      <c r="E1420" s="16" t="inlineStr">
        <is>
          <t>PATCH with NTLM auth and x-www-form-urlencoded body</t>
        </is>
      </c>
      <c r="F1420" s="16" t="inlineStr">
        <is>
          <t>Editor open.</t>
        </is>
      </c>
      <c r="G1420" s="16" t="inlineStr">
        <is>
          <t>1. New request; method PATCH; URL to an echo endpoint.
2. Auth type NTLM; configure minimum credentials.
3. Body type x-www-form-urlencoded; provide minimum valid content.
4. Send and inspect outgoing wire request (DevTools/proxy).</t>
        </is>
      </c>
      <c r="H1420" s="16" t="inlineStr">
        <is>
          <t>method=PATCH auth=NTLM body=x-www-form-urlencoded</t>
        </is>
      </c>
      <c r="I1420" s="16" t="inlineStr">
        <is>
          <t>NTLM auth applied correctly; x-www-form-urlencoded body sent with right Content-Type; server returns expected status.</t>
        </is>
      </c>
      <c r="J1420" s="16" t="inlineStr"/>
      <c r="K1420" s="16" t="inlineStr">
        <is>
          <t>Not Run</t>
        </is>
      </c>
      <c r="L1420" s="16" t="inlineStr">
        <is>
          <t>Medium</t>
        </is>
      </c>
      <c r="M1420" s="16" t="inlineStr"/>
      <c r="N1420" s="16" t="inlineStr"/>
      <c r="O1420" s="16" t="inlineStr"/>
    </row>
    <row r="1421" ht="72" customHeight="1">
      <c r="A1421" s="16" t="inlineStr">
        <is>
          <t>TC-MM-0378</t>
        </is>
      </c>
      <c r="B1421" s="16" t="inlineStr">
        <is>
          <t>Method x Body Matrix</t>
        </is>
      </c>
      <c r="C1421" s="16" t="inlineStr">
        <is>
          <t>PATCH + NTLM + raw-json</t>
        </is>
      </c>
      <c r="D1421" s="16" t="inlineStr">
        <is>
          <t>Functional</t>
        </is>
      </c>
      <c r="E1421" s="16" t="inlineStr">
        <is>
          <t>PATCH with NTLM auth and raw-json body</t>
        </is>
      </c>
      <c r="F1421" s="16" t="inlineStr">
        <is>
          <t>Editor open.</t>
        </is>
      </c>
      <c r="G1421" s="16" t="inlineStr">
        <is>
          <t>1. New request; method PATCH; URL to an echo endpoint.
2. Auth type NTLM; configure minimum credentials.
3. Body type raw-json; provide minimum valid content.
4. Send and inspect outgoing wire request (DevTools/proxy).</t>
        </is>
      </c>
      <c r="H1421" s="16" t="inlineStr">
        <is>
          <t>method=PATCH auth=NTLM body=raw-json</t>
        </is>
      </c>
      <c r="I1421" s="16" t="inlineStr">
        <is>
          <t>NTLM auth applied correctly; raw-json body sent with right Content-Type; server returns expected status.</t>
        </is>
      </c>
      <c r="J1421" s="16" t="inlineStr"/>
      <c r="K1421" s="16" t="inlineStr">
        <is>
          <t>Not Run</t>
        </is>
      </c>
      <c r="L1421" s="16" t="inlineStr">
        <is>
          <t>Medium</t>
        </is>
      </c>
      <c r="M1421" s="16" t="inlineStr"/>
      <c r="N1421" s="16" t="inlineStr"/>
      <c r="O1421" s="16" t="inlineStr"/>
    </row>
    <row r="1422" ht="72" customHeight="1">
      <c r="A1422" s="16" t="inlineStr">
        <is>
          <t>TC-MM-0379</t>
        </is>
      </c>
      <c r="B1422" s="16" t="inlineStr">
        <is>
          <t>Method x Body Matrix</t>
        </is>
      </c>
      <c r="C1422" s="16" t="inlineStr">
        <is>
          <t>PATCH + NTLM + raw-xml</t>
        </is>
      </c>
      <c r="D1422" s="16" t="inlineStr">
        <is>
          <t>Functional</t>
        </is>
      </c>
      <c r="E1422" s="16" t="inlineStr">
        <is>
          <t>PATCH with NTLM auth and raw-xml body</t>
        </is>
      </c>
      <c r="F1422" s="16" t="inlineStr">
        <is>
          <t>Editor open.</t>
        </is>
      </c>
      <c r="G1422" s="16" t="inlineStr">
        <is>
          <t>1. New request; method PATCH; URL to an echo endpoint.
2. Auth type NTLM; configure minimum credentials.
3. Body type raw-xml; provide minimum valid content.
4. Send and inspect outgoing wire request (DevTools/proxy).</t>
        </is>
      </c>
      <c r="H1422" s="16" t="inlineStr">
        <is>
          <t>method=PATCH auth=NTLM body=raw-xml</t>
        </is>
      </c>
      <c r="I1422" s="16" t="inlineStr">
        <is>
          <t>NTLM auth applied correctly; raw-xml body sent with right Content-Type; server returns expected status.</t>
        </is>
      </c>
      <c r="J1422" s="16" t="inlineStr"/>
      <c r="K1422" s="16" t="inlineStr">
        <is>
          <t>Not Run</t>
        </is>
      </c>
      <c r="L1422" s="16" t="inlineStr">
        <is>
          <t>Medium</t>
        </is>
      </c>
      <c r="M1422" s="16" t="inlineStr"/>
      <c r="N1422" s="16" t="inlineStr"/>
      <c r="O1422" s="16" t="inlineStr"/>
    </row>
    <row r="1423" ht="72" customHeight="1">
      <c r="A1423" s="16" t="inlineStr">
        <is>
          <t>TC-MM-0380</t>
        </is>
      </c>
      <c r="B1423" s="16" t="inlineStr">
        <is>
          <t>Method x Body Matrix</t>
        </is>
      </c>
      <c r="C1423" s="16" t="inlineStr">
        <is>
          <t>PATCH + NTLM + raw-text</t>
        </is>
      </c>
      <c r="D1423" s="16" t="inlineStr">
        <is>
          <t>Functional</t>
        </is>
      </c>
      <c r="E1423" s="16" t="inlineStr">
        <is>
          <t>PATCH with NTLM auth and raw-text body</t>
        </is>
      </c>
      <c r="F1423" s="16" t="inlineStr">
        <is>
          <t>Editor open.</t>
        </is>
      </c>
      <c r="G1423" s="16" t="inlineStr">
        <is>
          <t>1. New request; method PATCH; URL to an echo endpoint.
2. Auth type NTLM; configure minimum credentials.
3. Body type raw-text; provide minimum valid content.
4. Send and inspect outgoing wire request (DevTools/proxy).</t>
        </is>
      </c>
      <c r="H1423" s="16" t="inlineStr">
        <is>
          <t>method=PATCH auth=NTLM body=raw-text</t>
        </is>
      </c>
      <c r="I1423" s="16" t="inlineStr">
        <is>
          <t>NTLM auth applied correctly; raw-text body sent with right Content-Type; server returns expected status.</t>
        </is>
      </c>
      <c r="J1423" s="16" t="inlineStr"/>
      <c r="K1423" s="16" t="inlineStr">
        <is>
          <t>Not Run</t>
        </is>
      </c>
      <c r="L1423" s="16" t="inlineStr">
        <is>
          <t>Medium</t>
        </is>
      </c>
      <c r="M1423" s="16" t="inlineStr"/>
      <c r="N1423" s="16" t="inlineStr"/>
      <c r="O1423" s="16" t="inlineStr"/>
    </row>
    <row r="1424" ht="72" customHeight="1">
      <c r="A1424" s="16" t="inlineStr">
        <is>
          <t>TC-MM-0381</t>
        </is>
      </c>
      <c r="B1424" s="16" t="inlineStr">
        <is>
          <t>Method x Body Matrix</t>
        </is>
      </c>
      <c r="C1424" s="16" t="inlineStr">
        <is>
          <t>PATCH + NTLM + binary</t>
        </is>
      </c>
      <c r="D1424" s="16" t="inlineStr">
        <is>
          <t>Functional</t>
        </is>
      </c>
      <c r="E1424" s="16" t="inlineStr">
        <is>
          <t>PATCH with NTLM auth and binary body</t>
        </is>
      </c>
      <c r="F1424" s="16" t="inlineStr">
        <is>
          <t>Editor open.</t>
        </is>
      </c>
      <c r="G1424" s="16" t="inlineStr">
        <is>
          <t>1. New request; method PATCH; URL to an echo endpoint.
2. Auth type NTLM; configure minimum credentials.
3. Body type binary; provide minimum valid content.
4. Send and inspect outgoing wire request (DevTools/proxy).</t>
        </is>
      </c>
      <c r="H1424" s="16" t="inlineStr">
        <is>
          <t>method=PATCH auth=NTLM body=binary</t>
        </is>
      </c>
      <c r="I1424" s="16" t="inlineStr">
        <is>
          <t>NTLM auth applied correctly; binary body sent with right Content-Type; server returns expected status.</t>
        </is>
      </c>
      <c r="J1424" s="16" t="inlineStr"/>
      <c r="K1424" s="16" t="inlineStr">
        <is>
          <t>Not Run</t>
        </is>
      </c>
      <c r="L1424" s="16" t="inlineStr">
        <is>
          <t>Medium</t>
        </is>
      </c>
      <c r="M1424" s="16" t="inlineStr"/>
      <c r="N1424" s="16" t="inlineStr"/>
      <c r="O1424" s="16" t="inlineStr"/>
    </row>
    <row r="1425" ht="72" customHeight="1">
      <c r="A1425" s="16" t="inlineStr">
        <is>
          <t>TC-MM-0382</t>
        </is>
      </c>
      <c r="B1425" s="16" t="inlineStr">
        <is>
          <t>Method x Body Matrix</t>
        </is>
      </c>
      <c r="C1425" s="16" t="inlineStr">
        <is>
          <t>DELETE + None + none</t>
        </is>
      </c>
      <c r="D1425" s="16" t="inlineStr">
        <is>
          <t>Functional</t>
        </is>
      </c>
      <c r="E1425" s="16" t="inlineStr">
        <is>
          <t>DELETE with None auth and none body</t>
        </is>
      </c>
      <c r="F1425" s="16" t="inlineStr">
        <is>
          <t>Editor open.</t>
        </is>
      </c>
      <c r="G1425" s="16" t="inlineStr">
        <is>
          <t>1. New request; method DELETE; URL to an echo endpoint.
2. Auth type None; configure minimum credentials.
3. Body type none; provide minimum valid content.
4. Send and inspect outgoing wire request (DevTools/proxy).</t>
        </is>
      </c>
      <c r="H1425" s="16" t="inlineStr">
        <is>
          <t>method=DELETE auth=None body=none</t>
        </is>
      </c>
      <c r="I1425" s="16" t="inlineStr">
        <is>
          <t>No Authorization header on DELETE; none body sent if applicable.</t>
        </is>
      </c>
      <c r="J1425" s="16" t="inlineStr"/>
      <c r="K1425" s="16" t="inlineStr">
        <is>
          <t>Not Run</t>
        </is>
      </c>
      <c r="L1425" s="16" t="inlineStr">
        <is>
          <t>Low</t>
        </is>
      </c>
      <c r="M1425" s="16" t="inlineStr"/>
      <c r="N1425" s="16" t="inlineStr"/>
      <c r="O1425" s="16" t="inlineStr"/>
    </row>
    <row r="1426" ht="72" customHeight="1">
      <c r="A1426" s="16" t="inlineStr">
        <is>
          <t>TC-MM-0383</t>
        </is>
      </c>
      <c r="B1426" s="16" t="inlineStr">
        <is>
          <t>Method x Body Matrix</t>
        </is>
      </c>
      <c r="C1426" s="16" t="inlineStr">
        <is>
          <t>DELETE + None + form-data</t>
        </is>
      </c>
      <c r="D1426" s="16" t="inlineStr">
        <is>
          <t>Functional</t>
        </is>
      </c>
      <c r="E1426" s="16" t="inlineStr">
        <is>
          <t>DELETE with None auth and form-data body</t>
        </is>
      </c>
      <c r="F1426" s="16" t="inlineStr">
        <is>
          <t>Editor open.</t>
        </is>
      </c>
      <c r="G1426" s="16" t="inlineStr">
        <is>
          <t>1. New request; method DELETE; URL to an echo endpoint.
2. Auth type None; configure minimum credentials.
3. Body type form-data; provide minimum valid content.
4. Send and inspect outgoing wire request (DevTools/proxy).</t>
        </is>
      </c>
      <c r="H1426" s="16" t="inlineStr">
        <is>
          <t>method=DELETE auth=None body=form-data</t>
        </is>
      </c>
      <c r="I1426" s="16" t="inlineStr">
        <is>
          <t>No Authorization header on DELETE; form-data body sent if applicable.</t>
        </is>
      </c>
      <c r="J1426" s="16" t="inlineStr"/>
      <c r="K1426" s="16" t="inlineStr">
        <is>
          <t>Not Run</t>
        </is>
      </c>
      <c r="L1426" s="16" t="inlineStr">
        <is>
          <t>Low</t>
        </is>
      </c>
      <c r="M1426" s="16" t="inlineStr"/>
      <c r="N1426" s="16" t="inlineStr"/>
      <c r="O1426" s="16" t="inlineStr"/>
    </row>
    <row r="1427" ht="72" customHeight="1">
      <c r="A1427" s="16" t="inlineStr">
        <is>
          <t>TC-MM-0384</t>
        </is>
      </c>
      <c r="B1427" s="16" t="inlineStr">
        <is>
          <t>Method x Body Matrix</t>
        </is>
      </c>
      <c r="C1427" s="16" t="inlineStr">
        <is>
          <t>DELETE + None + x-www-form-urlencoded</t>
        </is>
      </c>
      <c r="D1427" s="16" t="inlineStr">
        <is>
          <t>Functional</t>
        </is>
      </c>
      <c r="E1427" s="16" t="inlineStr">
        <is>
          <t>DELETE with None auth and x-www-form-urlencoded body</t>
        </is>
      </c>
      <c r="F1427" s="16" t="inlineStr">
        <is>
          <t>Editor open.</t>
        </is>
      </c>
      <c r="G1427" s="16" t="inlineStr">
        <is>
          <t>1. New request; method DELETE; URL to an echo endpoint.
2. Auth type None; configure minimum credentials.
3. Body type x-www-form-urlencoded; provide minimum valid content.
4. Send and inspect outgoing wire request (DevTools/proxy).</t>
        </is>
      </c>
      <c r="H1427" s="16" t="inlineStr">
        <is>
          <t>method=DELETE auth=None body=x-www-form-urlencoded</t>
        </is>
      </c>
      <c r="I1427" s="16" t="inlineStr">
        <is>
          <t>No Authorization header on DELETE; x-www-form-urlencoded body sent if applicable.</t>
        </is>
      </c>
      <c r="J1427" s="16" t="inlineStr"/>
      <c r="K1427" s="16" t="inlineStr">
        <is>
          <t>Not Run</t>
        </is>
      </c>
      <c r="L1427" s="16" t="inlineStr">
        <is>
          <t>Low</t>
        </is>
      </c>
      <c r="M1427" s="16" t="inlineStr"/>
      <c r="N1427" s="16" t="inlineStr"/>
      <c r="O1427" s="16" t="inlineStr"/>
    </row>
    <row r="1428" ht="72" customHeight="1">
      <c r="A1428" s="16" t="inlineStr">
        <is>
          <t>TC-MM-0385</t>
        </is>
      </c>
      <c r="B1428" s="16" t="inlineStr">
        <is>
          <t>Method x Body Matrix</t>
        </is>
      </c>
      <c r="C1428" s="16" t="inlineStr">
        <is>
          <t>DELETE + None + raw-json</t>
        </is>
      </c>
      <c r="D1428" s="16" t="inlineStr">
        <is>
          <t>Functional</t>
        </is>
      </c>
      <c r="E1428" s="16" t="inlineStr">
        <is>
          <t>DELETE with None auth and raw-json body</t>
        </is>
      </c>
      <c r="F1428" s="16" t="inlineStr">
        <is>
          <t>Editor open.</t>
        </is>
      </c>
      <c r="G1428" s="16" t="inlineStr">
        <is>
          <t>1. New request; method DELETE; URL to an echo endpoint.
2. Auth type None; configure minimum credentials.
3. Body type raw-json; provide minimum valid content.
4. Send and inspect outgoing wire request (DevTools/proxy).</t>
        </is>
      </c>
      <c r="H1428" s="16" t="inlineStr">
        <is>
          <t>method=DELETE auth=None body=raw-json</t>
        </is>
      </c>
      <c r="I1428" s="16" t="inlineStr">
        <is>
          <t>No Authorization header on DELETE; raw-json body sent if applicable.</t>
        </is>
      </c>
      <c r="J1428" s="16" t="inlineStr"/>
      <c r="K1428" s="16" t="inlineStr">
        <is>
          <t>Not Run</t>
        </is>
      </c>
      <c r="L1428" s="16" t="inlineStr">
        <is>
          <t>Low</t>
        </is>
      </c>
      <c r="M1428" s="16" t="inlineStr"/>
      <c r="N1428" s="16" t="inlineStr"/>
      <c r="O1428" s="16" t="inlineStr"/>
    </row>
    <row r="1429" ht="72" customHeight="1">
      <c r="A1429" s="16" t="inlineStr">
        <is>
          <t>TC-MM-0386</t>
        </is>
      </c>
      <c r="B1429" s="16" t="inlineStr">
        <is>
          <t>Method x Body Matrix</t>
        </is>
      </c>
      <c r="C1429" s="16" t="inlineStr">
        <is>
          <t>DELETE + None + raw-xml</t>
        </is>
      </c>
      <c r="D1429" s="16" t="inlineStr">
        <is>
          <t>Functional</t>
        </is>
      </c>
      <c r="E1429" s="16" t="inlineStr">
        <is>
          <t>DELETE with None auth and raw-xml body</t>
        </is>
      </c>
      <c r="F1429" s="16" t="inlineStr">
        <is>
          <t>Editor open.</t>
        </is>
      </c>
      <c r="G1429" s="16" t="inlineStr">
        <is>
          <t>1. New request; method DELETE; URL to an echo endpoint.
2. Auth type None; configure minimum credentials.
3. Body type raw-xml; provide minimum valid content.
4. Send and inspect outgoing wire request (DevTools/proxy).</t>
        </is>
      </c>
      <c r="H1429" s="16" t="inlineStr">
        <is>
          <t>method=DELETE auth=None body=raw-xml</t>
        </is>
      </c>
      <c r="I1429" s="16" t="inlineStr">
        <is>
          <t>No Authorization header on DELETE; raw-xml body sent if applicable.</t>
        </is>
      </c>
      <c r="J1429" s="16" t="inlineStr"/>
      <c r="K1429" s="16" t="inlineStr">
        <is>
          <t>Not Run</t>
        </is>
      </c>
      <c r="L1429" s="16" t="inlineStr">
        <is>
          <t>Low</t>
        </is>
      </c>
      <c r="M1429" s="16" t="inlineStr"/>
      <c r="N1429" s="16" t="inlineStr"/>
      <c r="O1429" s="16" t="inlineStr"/>
    </row>
    <row r="1430" ht="72" customHeight="1">
      <c r="A1430" s="16" t="inlineStr">
        <is>
          <t>TC-MM-0387</t>
        </is>
      </c>
      <c r="B1430" s="16" t="inlineStr">
        <is>
          <t>Method x Body Matrix</t>
        </is>
      </c>
      <c r="C1430" s="16" t="inlineStr">
        <is>
          <t>DELETE + None + raw-text</t>
        </is>
      </c>
      <c r="D1430" s="16" t="inlineStr">
        <is>
          <t>Functional</t>
        </is>
      </c>
      <c r="E1430" s="16" t="inlineStr">
        <is>
          <t>DELETE with None auth and raw-text body</t>
        </is>
      </c>
      <c r="F1430" s="16" t="inlineStr">
        <is>
          <t>Editor open.</t>
        </is>
      </c>
      <c r="G1430" s="16" t="inlineStr">
        <is>
          <t>1. New request; method DELETE; URL to an echo endpoint.
2. Auth type None; configure minimum credentials.
3. Body type raw-text; provide minimum valid content.
4. Send and inspect outgoing wire request (DevTools/proxy).</t>
        </is>
      </c>
      <c r="H1430" s="16" t="inlineStr">
        <is>
          <t>method=DELETE auth=None body=raw-text</t>
        </is>
      </c>
      <c r="I1430" s="16" t="inlineStr">
        <is>
          <t>No Authorization header on DELETE; raw-text body sent if applicable.</t>
        </is>
      </c>
      <c r="J1430" s="16" t="inlineStr"/>
      <c r="K1430" s="16" t="inlineStr">
        <is>
          <t>Not Run</t>
        </is>
      </c>
      <c r="L1430" s="16" t="inlineStr">
        <is>
          <t>Low</t>
        </is>
      </c>
      <c r="M1430" s="16" t="inlineStr"/>
      <c r="N1430" s="16" t="inlineStr"/>
      <c r="O1430" s="16" t="inlineStr"/>
    </row>
    <row r="1431" ht="72" customHeight="1">
      <c r="A1431" s="16" t="inlineStr">
        <is>
          <t>TC-MM-0388</t>
        </is>
      </c>
      <c r="B1431" s="16" t="inlineStr">
        <is>
          <t>Method x Body Matrix</t>
        </is>
      </c>
      <c r="C1431" s="16" t="inlineStr">
        <is>
          <t>DELETE + None + binary</t>
        </is>
      </c>
      <c r="D1431" s="16" t="inlineStr">
        <is>
          <t>Functional</t>
        </is>
      </c>
      <c r="E1431" s="16" t="inlineStr">
        <is>
          <t>DELETE with None auth and binary body</t>
        </is>
      </c>
      <c r="F1431" s="16" t="inlineStr">
        <is>
          <t>Editor open.</t>
        </is>
      </c>
      <c r="G1431" s="16" t="inlineStr">
        <is>
          <t>1. New request; method DELETE; URL to an echo endpoint.
2. Auth type None; configure minimum credentials.
3. Body type binary; provide minimum valid content.
4. Send and inspect outgoing wire request (DevTools/proxy).</t>
        </is>
      </c>
      <c r="H1431" s="16" t="inlineStr">
        <is>
          <t>method=DELETE auth=None body=binary</t>
        </is>
      </c>
      <c r="I1431" s="16" t="inlineStr">
        <is>
          <t>No Authorization header on DELETE; binary body sent if applicable.</t>
        </is>
      </c>
      <c r="J1431" s="16" t="inlineStr"/>
      <c r="K1431" s="16" t="inlineStr">
        <is>
          <t>Not Run</t>
        </is>
      </c>
      <c r="L1431" s="16" t="inlineStr">
        <is>
          <t>Low</t>
        </is>
      </c>
      <c r="M1431" s="16" t="inlineStr"/>
      <c r="N1431" s="16" t="inlineStr"/>
      <c r="O1431" s="16" t="inlineStr"/>
    </row>
    <row r="1432" ht="72" customHeight="1">
      <c r="A1432" s="16" t="inlineStr">
        <is>
          <t>TC-MM-0389</t>
        </is>
      </c>
      <c r="B1432" s="16" t="inlineStr">
        <is>
          <t>Method x Body Matrix</t>
        </is>
      </c>
      <c r="C1432" s="16" t="inlineStr">
        <is>
          <t>DELETE + Bearer + none</t>
        </is>
      </c>
      <c r="D1432" s="16" t="inlineStr">
        <is>
          <t>Functional</t>
        </is>
      </c>
      <c r="E1432" s="16" t="inlineStr">
        <is>
          <t>DELETE with Bearer auth and none body</t>
        </is>
      </c>
      <c r="F1432" s="16" t="inlineStr">
        <is>
          <t>Editor open.</t>
        </is>
      </c>
      <c r="G1432" s="16" t="inlineStr">
        <is>
          <t>1. New request; method DELETE; URL to an echo endpoint.
2. Auth type Bearer; configure minimum credentials.
3. Body type none; provide minimum valid content.
4. Send and inspect outgoing wire request (DevTools/proxy).</t>
        </is>
      </c>
      <c r="H1432" s="16" t="inlineStr">
        <is>
          <t>method=DELETE auth=Bearer body=none</t>
        </is>
      </c>
      <c r="I1432" s="16" t="inlineStr">
        <is>
          <t>Bearer auth applied correctly; none body sent with right Content-Type; server returns expected status.</t>
        </is>
      </c>
      <c r="J1432" s="16" t="inlineStr"/>
      <c r="K1432" s="16" t="inlineStr">
        <is>
          <t>Not Run</t>
        </is>
      </c>
      <c r="L1432" s="16" t="inlineStr">
        <is>
          <t>Medium</t>
        </is>
      </c>
      <c r="M1432" s="16" t="inlineStr"/>
      <c r="N1432" s="16" t="inlineStr"/>
      <c r="O1432" s="16" t="inlineStr"/>
    </row>
    <row r="1433" ht="72" customHeight="1">
      <c r="A1433" s="16" t="inlineStr">
        <is>
          <t>TC-MM-0390</t>
        </is>
      </c>
      <c r="B1433" s="16" t="inlineStr">
        <is>
          <t>Method x Body Matrix</t>
        </is>
      </c>
      <c r="C1433" s="16" t="inlineStr">
        <is>
          <t>DELETE + Bearer + form-data</t>
        </is>
      </c>
      <c r="D1433" s="16" t="inlineStr">
        <is>
          <t>Functional</t>
        </is>
      </c>
      <c r="E1433" s="16" t="inlineStr">
        <is>
          <t>DELETE with Bearer auth and form-data body</t>
        </is>
      </c>
      <c r="F1433" s="16" t="inlineStr">
        <is>
          <t>Editor open.</t>
        </is>
      </c>
      <c r="G1433" s="16" t="inlineStr">
        <is>
          <t>1. New request; method DELETE; URL to an echo endpoint.
2. Auth type Bearer; configure minimum credentials.
3. Body type form-data; provide minimum valid content.
4. Send and inspect outgoing wire request (DevTools/proxy).</t>
        </is>
      </c>
      <c r="H1433" s="16" t="inlineStr">
        <is>
          <t>method=DELETE auth=Bearer body=form-data</t>
        </is>
      </c>
      <c r="I1433" s="16" t="inlineStr">
        <is>
          <t>Bearer auth applied correctly; form-data body sent with right Content-Type; server returns expected status.</t>
        </is>
      </c>
      <c r="J1433" s="16" t="inlineStr"/>
      <c r="K1433" s="16" t="inlineStr">
        <is>
          <t>Not Run</t>
        </is>
      </c>
      <c r="L1433" s="16" t="inlineStr">
        <is>
          <t>Medium</t>
        </is>
      </c>
      <c r="M1433" s="16" t="inlineStr"/>
      <c r="N1433" s="16" t="inlineStr"/>
      <c r="O1433" s="16" t="inlineStr"/>
    </row>
    <row r="1434" ht="72" customHeight="1">
      <c r="A1434" s="16" t="inlineStr">
        <is>
          <t>TC-MM-0391</t>
        </is>
      </c>
      <c r="B1434" s="16" t="inlineStr">
        <is>
          <t>Method x Body Matrix</t>
        </is>
      </c>
      <c r="C1434" s="16" t="inlineStr">
        <is>
          <t>DELETE + Bearer + x-www-form-urlencoded</t>
        </is>
      </c>
      <c r="D1434" s="16" t="inlineStr">
        <is>
          <t>Functional</t>
        </is>
      </c>
      <c r="E1434" s="16" t="inlineStr">
        <is>
          <t>DELETE with Bearer auth and x-www-form-urlencoded body</t>
        </is>
      </c>
      <c r="F1434" s="16" t="inlineStr">
        <is>
          <t>Editor open.</t>
        </is>
      </c>
      <c r="G1434" s="16" t="inlineStr">
        <is>
          <t>1. New request; method DELETE; URL to an echo endpoint.
2. Auth type Bearer; configure minimum credentials.
3. Body type x-www-form-urlencoded; provide minimum valid content.
4. Send and inspect outgoing wire request (DevTools/proxy).</t>
        </is>
      </c>
      <c r="H1434" s="16" t="inlineStr">
        <is>
          <t>method=DELETE auth=Bearer body=x-www-form-urlencoded</t>
        </is>
      </c>
      <c r="I1434" s="16" t="inlineStr">
        <is>
          <t>Bearer auth applied correctly; x-www-form-urlencoded body sent with right Content-Type; server returns expected status.</t>
        </is>
      </c>
      <c r="J1434" s="16" t="inlineStr"/>
      <c r="K1434" s="16" t="inlineStr">
        <is>
          <t>Not Run</t>
        </is>
      </c>
      <c r="L1434" s="16" t="inlineStr">
        <is>
          <t>Medium</t>
        </is>
      </c>
      <c r="M1434" s="16" t="inlineStr"/>
      <c r="N1434" s="16" t="inlineStr"/>
      <c r="O1434" s="16" t="inlineStr"/>
    </row>
    <row r="1435" ht="72" customHeight="1">
      <c r="A1435" s="16" t="inlineStr">
        <is>
          <t>TC-MM-0392</t>
        </is>
      </c>
      <c r="B1435" s="16" t="inlineStr">
        <is>
          <t>Method x Body Matrix</t>
        </is>
      </c>
      <c r="C1435" s="16" t="inlineStr">
        <is>
          <t>DELETE + Bearer + raw-json</t>
        </is>
      </c>
      <c r="D1435" s="16" t="inlineStr">
        <is>
          <t>Functional</t>
        </is>
      </c>
      <c r="E1435" s="16" t="inlineStr">
        <is>
          <t>DELETE with Bearer auth and raw-json body</t>
        </is>
      </c>
      <c r="F1435" s="16" t="inlineStr">
        <is>
          <t>Editor open.</t>
        </is>
      </c>
      <c r="G1435" s="16" t="inlineStr">
        <is>
          <t>1. New request; method DELETE; URL to an echo endpoint.
2. Auth type Bearer; configure minimum credentials.
3. Body type raw-json; provide minimum valid content.
4. Send and inspect outgoing wire request (DevTools/proxy).</t>
        </is>
      </c>
      <c r="H1435" s="16" t="inlineStr">
        <is>
          <t>method=DELETE auth=Bearer body=raw-json</t>
        </is>
      </c>
      <c r="I1435" s="16" t="inlineStr">
        <is>
          <t>Bearer auth applied correctly; raw-json body sent with right Content-Type; server returns expected status.</t>
        </is>
      </c>
      <c r="J1435" s="16" t="inlineStr"/>
      <c r="K1435" s="16" t="inlineStr">
        <is>
          <t>Not Run</t>
        </is>
      </c>
      <c r="L1435" s="16" t="inlineStr">
        <is>
          <t>Medium</t>
        </is>
      </c>
      <c r="M1435" s="16" t="inlineStr"/>
      <c r="N1435" s="16" t="inlineStr"/>
      <c r="O1435" s="16" t="inlineStr"/>
    </row>
    <row r="1436" ht="72" customHeight="1">
      <c r="A1436" s="16" t="inlineStr">
        <is>
          <t>TC-MM-0393</t>
        </is>
      </c>
      <c r="B1436" s="16" t="inlineStr">
        <is>
          <t>Method x Body Matrix</t>
        </is>
      </c>
      <c r="C1436" s="16" t="inlineStr">
        <is>
          <t>DELETE + Bearer + raw-xml</t>
        </is>
      </c>
      <c r="D1436" s="16" t="inlineStr">
        <is>
          <t>Functional</t>
        </is>
      </c>
      <c r="E1436" s="16" t="inlineStr">
        <is>
          <t>DELETE with Bearer auth and raw-xml body</t>
        </is>
      </c>
      <c r="F1436" s="16" t="inlineStr">
        <is>
          <t>Editor open.</t>
        </is>
      </c>
      <c r="G1436" s="16" t="inlineStr">
        <is>
          <t>1. New request; method DELETE; URL to an echo endpoint.
2. Auth type Bearer; configure minimum credentials.
3. Body type raw-xml; provide minimum valid content.
4. Send and inspect outgoing wire request (DevTools/proxy).</t>
        </is>
      </c>
      <c r="H1436" s="16" t="inlineStr">
        <is>
          <t>method=DELETE auth=Bearer body=raw-xml</t>
        </is>
      </c>
      <c r="I1436" s="16" t="inlineStr">
        <is>
          <t>Bearer auth applied correctly; raw-xml body sent with right Content-Type; server returns expected status.</t>
        </is>
      </c>
      <c r="J1436" s="16" t="inlineStr"/>
      <c r="K1436" s="16" t="inlineStr">
        <is>
          <t>Not Run</t>
        </is>
      </c>
      <c r="L1436" s="16" t="inlineStr">
        <is>
          <t>Medium</t>
        </is>
      </c>
      <c r="M1436" s="16" t="inlineStr"/>
      <c r="N1436" s="16" t="inlineStr"/>
      <c r="O1436" s="16" t="inlineStr"/>
    </row>
    <row r="1437" ht="72" customHeight="1">
      <c r="A1437" s="16" t="inlineStr">
        <is>
          <t>TC-MM-0394</t>
        </is>
      </c>
      <c r="B1437" s="16" t="inlineStr">
        <is>
          <t>Method x Body Matrix</t>
        </is>
      </c>
      <c r="C1437" s="16" t="inlineStr">
        <is>
          <t>DELETE + Bearer + raw-text</t>
        </is>
      </c>
      <c r="D1437" s="16" t="inlineStr">
        <is>
          <t>Functional</t>
        </is>
      </c>
      <c r="E1437" s="16" t="inlineStr">
        <is>
          <t>DELETE with Bearer auth and raw-text body</t>
        </is>
      </c>
      <c r="F1437" s="16" t="inlineStr">
        <is>
          <t>Editor open.</t>
        </is>
      </c>
      <c r="G1437" s="16" t="inlineStr">
        <is>
          <t>1. New request; method DELETE; URL to an echo endpoint.
2. Auth type Bearer; configure minimum credentials.
3. Body type raw-text; provide minimum valid content.
4. Send and inspect outgoing wire request (DevTools/proxy).</t>
        </is>
      </c>
      <c r="H1437" s="16" t="inlineStr">
        <is>
          <t>method=DELETE auth=Bearer body=raw-text</t>
        </is>
      </c>
      <c r="I1437" s="16" t="inlineStr">
        <is>
          <t>Bearer auth applied correctly; raw-text body sent with right Content-Type; server returns expected status.</t>
        </is>
      </c>
      <c r="J1437" s="16" t="inlineStr"/>
      <c r="K1437" s="16" t="inlineStr">
        <is>
          <t>Not Run</t>
        </is>
      </c>
      <c r="L1437" s="16" t="inlineStr">
        <is>
          <t>Medium</t>
        </is>
      </c>
      <c r="M1437" s="16" t="inlineStr"/>
      <c r="N1437" s="16" t="inlineStr"/>
      <c r="O1437" s="16" t="inlineStr"/>
    </row>
    <row r="1438" ht="72" customHeight="1">
      <c r="A1438" s="16" t="inlineStr">
        <is>
          <t>TC-MM-0395</t>
        </is>
      </c>
      <c r="B1438" s="16" t="inlineStr">
        <is>
          <t>Method x Body Matrix</t>
        </is>
      </c>
      <c r="C1438" s="16" t="inlineStr">
        <is>
          <t>DELETE + Bearer + binary</t>
        </is>
      </c>
      <c r="D1438" s="16" t="inlineStr">
        <is>
          <t>Functional</t>
        </is>
      </c>
      <c r="E1438" s="16" t="inlineStr">
        <is>
          <t>DELETE with Bearer auth and binary body</t>
        </is>
      </c>
      <c r="F1438" s="16" t="inlineStr">
        <is>
          <t>Editor open.</t>
        </is>
      </c>
      <c r="G1438" s="16" t="inlineStr">
        <is>
          <t>1. New request; method DELETE; URL to an echo endpoint.
2. Auth type Bearer; configure minimum credentials.
3. Body type binary; provide minimum valid content.
4. Send and inspect outgoing wire request (DevTools/proxy).</t>
        </is>
      </c>
      <c r="H1438" s="16" t="inlineStr">
        <is>
          <t>method=DELETE auth=Bearer body=binary</t>
        </is>
      </c>
      <c r="I1438" s="16" t="inlineStr">
        <is>
          <t>Bearer auth applied correctly; binary body sent with right Content-Type; server returns expected status.</t>
        </is>
      </c>
      <c r="J1438" s="16" t="inlineStr"/>
      <c r="K1438" s="16" t="inlineStr">
        <is>
          <t>Not Run</t>
        </is>
      </c>
      <c r="L1438" s="16" t="inlineStr">
        <is>
          <t>Medium</t>
        </is>
      </c>
      <c r="M1438" s="16" t="inlineStr"/>
      <c r="N1438" s="16" t="inlineStr"/>
      <c r="O1438" s="16" t="inlineStr"/>
    </row>
    <row r="1439" ht="72" customHeight="1">
      <c r="A1439" s="16" t="inlineStr">
        <is>
          <t>TC-MM-0396</t>
        </is>
      </c>
      <c r="B1439" s="16" t="inlineStr">
        <is>
          <t>Method x Body Matrix</t>
        </is>
      </c>
      <c r="C1439" s="16" t="inlineStr">
        <is>
          <t>DELETE + Basic + none</t>
        </is>
      </c>
      <c r="D1439" s="16" t="inlineStr">
        <is>
          <t>Functional</t>
        </is>
      </c>
      <c r="E1439" s="16" t="inlineStr">
        <is>
          <t>DELETE with Basic auth and none body</t>
        </is>
      </c>
      <c r="F1439" s="16" t="inlineStr">
        <is>
          <t>Editor open.</t>
        </is>
      </c>
      <c r="G1439" s="16" t="inlineStr">
        <is>
          <t>1. New request; method DELETE; URL to an echo endpoint.
2. Auth type Basic; configure minimum credentials.
3. Body type none; provide minimum valid content.
4. Send and inspect outgoing wire request (DevTools/proxy).</t>
        </is>
      </c>
      <c r="H1439" s="16" t="inlineStr">
        <is>
          <t>method=DELETE auth=Basic body=none</t>
        </is>
      </c>
      <c r="I1439" s="16" t="inlineStr">
        <is>
          <t>Basic auth applied correctly; none body sent with right Content-Type; server returns expected status.</t>
        </is>
      </c>
      <c r="J1439" s="16" t="inlineStr"/>
      <c r="K1439" s="16" t="inlineStr">
        <is>
          <t>Not Run</t>
        </is>
      </c>
      <c r="L1439" s="16" t="inlineStr">
        <is>
          <t>Medium</t>
        </is>
      </c>
      <c r="M1439" s="16" t="inlineStr"/>
      <c r="N1439" s="16" t="inlineStr"/>
      <c r="O1439" s="16" t="inlineStr"/>
    </row>
    <row r="1440" ht="72" customHeight="1">
      <c r="A1440" s="16" t="inlineStr">
        <is>
          <t>TC-MM-0397</t>
        </is>
      </c>
      <c r="B1440" s="16" t="inlineStr">
        <is>
          <t>Method x Body Matrix</t>
        </is>
      </c>
      <c r="C1440" s="16" t="inlineStr">
        <is>
          <t>DELETE + Basic + form-data</t>
        </is>
      </c>
      <c r="D1440" s="16" t="inlineStr">
        <is>
          <t>Functional</t>
        </is>
      </c>
      <c r="E1440" s="16" t="inlineStr">
        <is>
          <t>DELETE with Basic auth and form-data body</t>
        </is>
      </c>
      <c r="F1440" s="16" t="inlineStr">
        <is>
          <t>Editor open.</t>
        </is>
      </c>
      <c r="G1440" s="16" t="inlineStr">
        <is>
          <t>1. New request; method DELETE; URL to an echo endpoint.
2. Auth type Basic; configure minimum credentials.
3. Body type form-data; provide minimum valid content.
4. Send and inspect outgoing wire request (DevTools/proxy).</t>
        </is>
      </c>
      <c r="H1440" s="16" t="inlineStr">
        <is>
          <t>method=DELETE auth=Basic body=form-data</t>
        </is>
      </c>
      <c r="I1440" s="16" t="inlineStr">
        <is>
          <t>Basic auth applied correctly; form-data body sent with right Content-Type; server returns expected status.</t>
        </is>
      </c>
      <c r="J1440" s="16" t="inlineStr"/>
      <c r="K1440" s="16" t="inlineStr">
        <is>
          <t>Not Run</t>
        </is>
      </c>
      <c r="L1440" s="16" t="inlineStr">
        <is>
          <t>Medium</t>
        </is>
      </c>
      <c r="M1440" s="16" t="inlineStr"/>
      <c r="N1440" s="16" t="inlineStr"/>
      <c r="O1440" s="16" t="inlineStr"/>
    </row>
    <row r="1441" ht="72" customHeight="1">
      <c r="A1441" s="16" t="inlineStr">
        <is>
          <t>TC-MM-0398</t>
        </is>
      </c>
      <c r="B1441" s="16" t="inlineStr">
        <is>
          <t>Method x Body Matrix</t>
        </is>
      </c>
      <c r="C1441" s="16" t="inlineStr">
        <is>
          <t>DELETE + Basic + x-www-form-urlencoded</t>
        </is>
      </c>
      <c r="D1441" s="16" t="inlineStr">
        <is>
          <t>Functional</t>
        </is>
      </c>
      <c r="E1441" s="16" t="inlineStr">
        <is>
          <t>DELETE with Basic auth and x-www-form-urlencoded body</t>
        </is>
      </c>
      <c r="F1441" s="16" t="inlineStr">
        <is>
          <t>Editor open.</t>
        </is>
      </c>
      <c r="G1441" s="16" t="inlineStr">
        <is>
          <t>1. New request; method DELETE; URL to an echo endpoint.
2. Auth type Basic; configure minimum credentials.
3. Body type x-www-form-urlencoded; provide minimum valid content.
4. Send and inspect outgoing wire request (DevTools/proxy).</t>
        </is>
      </c>
      <c r="H1441" s="16" t="inlineStr">
        <is>
          <t>method=DELETE auth=Basic body=x-www-form-urlencoded</t>
        </is>
      </c>
      <c r="I1441" s="16" t="inlineStr">
        <is>
          <t>Basic auth applied correctly; x-www-form-urlencoded body sent with right Content-Type; server returns expected status.</t>
        </is>
      </c>
      <c r="J1441" s="16" t="inlineStr"/>
      <c r="K1441" s="16" t="inlineStr">
        <is>
          <t>Not Run</t>
        </is>
      </c>
      <c r="L1441" s="16" t="inlineStr">
        <is>
          <t>Medium</t>
        </is>
      </c>
      <c r="M1441" s="16" t="inlineStr"/>
      <c r="N1441" s="16" t="inlineStr"/>
      <c r="O1441" s="16" t="inlineStr"/>
    </row>
    <row r="1442" ht="72" customHeight="1">
      <c r="A1442" s="16" t="inlineStr">
        <is>
          <t>TC-MM-0399</t>
        </is>
      </c>
      <c r="B1442" s="16" t="inlineStr">
        <is>
          <t>Method x Body Matrix</t>
        </is>
      </c>
      <c r="C1442" s="16" t="inlineStr">
        <is>
          <t>DELETE + Basic + raw-json</t>
        </is>
      </c>
      <c r="D1442" s="16" t="inlineStr">
        <is>
          <t>Functional</t>
        </is>
      </c>
      <c r="E1442" s="16" t="inlineStr">
        <is>
          <t>DELETE with Basic auth and raw-json body</t>
        </is>
      </c>
      <c r="F1442" s="16" t="inlineStr">
        <is>
          <t>Editor open.</t>
        </is>
      </c>
      <c r="G1442" s="16" t="inlineStr">
        <is>
          <t>1. New request; method DELETE; URL to an echo endpoint.
2. Auth type Basic; configure minimum credentials.
3. Body type raw-json; provide minimum valid content.
4. Send and inspect outgoing wire request (DevTools/proxy).</t>
        </is>
      </c>
      <c r="H1442" s="16" t="inlineStr">
        <is>
          <t>method=DELETE auth=Basic body=raw-json</t>
        </is>
      </c>
      <c r="I1442" s="16" t="inlineStr">
        <is>
          <t>Basic auth applied correctly; raw-json body sent with right Content-Type; server returns expected status.</t>
        </is>
      </c>
      <c r="J1442" s="16" t="inlineStr"/>
      <c r="K1442" s="16" t="inlineStr">
        <is>
          <t>Not Run</t>
        </is>
      </c>
      <c r="L1442" s="16" t="inlineStr">
        <is>
          <t>Medium</t>
        </is>
      </c>
      <c r="M1442" s="16" t="inlineStr"/>
      <c r="N1442" s="16" t="inlineStr"/>
      <c r="O1442" s="16" t="inlineStr"/>
    </row>
    <row r="1443" ht="72" customHeight="1">
      <c r="A1443" s="16" t="inlineStr">
        <is>
          <t>TC-MM-0400</t>
        </is>
      </c>
      <c r="B1443" s="16" t="inlineStr">
        <is>
          <t>Method x Body Matrix</t>
        </is>
      </c>
      <c r="C1443" s="16" t="inlineStr">
        <is>
          <t>DELETE + Basic + raw-xml</t>
        </is>
      </c>
      <c r="D1443" s="16" t="inlineStr">
        <is>
          <t>Functional</t>
        </is>
      </c>
      <c r="E1443" s="16" t="inlineStr">
        <is>
          <t>DELETE with Basic auth and raw-xml body</t>
        </is>
      </c>
      <c r="F1443" s="16" t="inlineStr">
        <is>
          <t>Editor open.</t>
        </is>
      </c>
      <c r="G1443" s="16" t="inlineStr">
        <is>
          <t>1. New request; method DELETE; URL to an echo endpoint.
2. Auth type Basic; configure minimum credentials.
3. Body type raw-xml; provide minimum valid content.
4. Send and inspect outgoing wire request (DevTools/proxy).</t>
        </is>
      </c>
      <c r="H1443" s="16" t="inlineStr">
        <is>
          <t>method=DELETE auth=Basic body=raw-xml</t>
        </is>
      </c>
      <c r="I1443" s="16" t="inlineStr">
        <is>
          <t>Basic auth applied correctly; raw-xml body sent with right Content-Type; server returns expected status.</t>
        </is>
      </c>
      <c r="J1443" s="16" t="inlineStr"/>
      <c r="K1443" s="16" t="inlineStr">
        <is>
          <t>Not Run</t>
        </is>
      </c>
      <c r="L1443" s="16" t="inlineStr">
        <is>
          <t>Medium</t>
        </is>
      </c>
      <c r="M1443" s="16" t="inlineStr"/>
      <c r="N1443" s="16" t="inlineStr"/>
      <c r="O1443" s="16" t="inlineStr"/>
    </row>
    <row r="1444" ht="72" customHeight="1">
      <c r="A1444" s="16" t="inlineStr">
        <is>
          <t>TC-MM-0401</t>
        </is>
      </c>
      <c r="B1444" s="16" t="inlineStr">
        <is>
          <t>Method x Body Matrix</t>
        </is>
      </c>
      <c r="C1444" s="16" t="inlineStr">
        <is>
          <t>DELETE + Basic + raw-text</t>
        </is>
      </c>
      <c r="D1444" s="16" t="inlineStr">
        <is>
          <t>Functional</t>
        </is>
      </c>
      <c r="E1444" s="16" t="inlineStr">
        <is>
          <t>DELETE with Basic auth and raw-text body</t>
        </is>
      </c>
      <c r="F1444" s="16" t="inlineStr">
        <is>
          <t>Editor open.</t>
        </is>
      </c>
      <c r="G1444" s="16" t="inlineStr">
        <is>
          <t>1. New request; method DELETE; URL to an echo endpoint.
2. Auth type Basic; configure minimum credentials.
3. Body type raw-text; provide minimum valid content.
4. Send and inspect outgoing wire request (DevTools/proxy).</t>
        </is>
      </c>
      <c r="H1444" s="16" t="inlineStr">
        <is>
          <t>method=DELETE auth=Basic body=raw-text</t>
        </is>
      </c>
      <c r="I1444" s="16" t="inlineStr">
        <is>
          <t>Basic auth applied correctly; raw-text body sent with right Content-Type; server returns expected status.</t>
        </is>
      </c>
      <c r="J1444" s="16" t="inlineStr"/>
      <c r="K1444" s="16" t="inlineStr">
        <is>
          <t>Not Run</t>
        </is>
      </c>
      <c r="L1444" s="16" t="inlineStr">
        <is>
          <t>Medium</t>
        </is>
      </c>
      <c r="M1444" s="16" t="inlineStr"/>
      <c r="N1444" s="16" t="inlineStr"/>
      <c r="O1444" s="16" t="inlineStr"/>
    </row>
    <row r="1445" ht="72" customHeight="1">
      <c r="A1445" s="16" t="inlineStr">
        <is>
          <t>TC-MM-0402</t>
        </is>
      </c>
      <c r="B1445" s="16" t="inlineStr">
        <is>
          <t>Method x Body Matrix</t>
        </is>
      </c>
      <c r="C1445" s="16" t="inlineStr">
        <is>
          <t>DELETE + Basic + binary</t>
        </is>
      </c>
      <c r="D1445" s="16" t="inlineStr">
        <is>
          <t>Functional</t>
        </is>
      </c>
      <c r="E1445" s="16" t="inlineStr">
        <is>
          <t>DELETE with Basic auth and binary body</t>
        </is>
      </c>
      <c r="F1445" s="16" t="inlineStr">
        <is>
          <t>Editor open.</t>
        </is>
      </c>
      <c r="G1445" s="16" t="inlineStr">
        <is>
          <t>1. New request; method DELETE; URL to an echo endpoint.
2. Auth type Basic; configure minimum credentials.
3. Body type binary; provide minimum valid content.
4. Send and inspect outgoing wire request (DevTools/proxy).</t>
        </is>
      </c>
      <c r="H1445" s="16" t="inlineStr">
        <is>
          <t>method=DELETE auth=Basic body=binary</t>
        </is>
      </c>
      <c r="I1445" s="16" t="inlineStr">
        <is>
          <t>Basic auth applied correctly; binary body sent with right Content-Type; server returns expected status.</t>
        </is>
      </c>
      <c r="J1445" s="16" t="inlineStr"/>
      <c r="K1445" s="16" t="inlineStr">
        <is>
          <t>Not Run</t>
        </is>
      </c>
      <c r="L1445" s="16" t="inlineStr">
        <is>
          <t>Medium</t>
        </is>
      </c>
      <c r="M1445" s="16" t="inlineStr"/>
      <c r="N1445" s="16" t="inlineStr"/>
      <c r="O1445" s="16" t="inlineStr"/>
    </row>
    <row r="1446" ht="72" customHeight="1">
      <c r="A1446" s="16" t="inlineStr">
        <is>
          <t>TC-MM-0403</t>
        </is>
      </c>
      <c r="B1446" s="16" t="inlineStr">
        <is>
          <t>Method x Body Matrix</t>
        </is>
      </c>
      <c r="C1446" s="16" t="inlineStr">
        <is>
          <t>DELETE + ApiKeyHeader + none</t>
        </is>
      </c>
      <c r="D1446" s="16" t="inlineStr">
        <is>
          <t>Functional</t>
        </is>
      </c>
      <c r="E1446" s="16" t="inlineStr">
        <is>
          <t>DELETE with ApiKeyHeader auth and none body</t>
        </is>
      </c>
      <c r="F1446" s="16" t="inlineStr">
        <is>
          <t>Editor open.</t>
        </is>
      </c>
      <c r="G1446" s="16" t="inlineStr">
        <is>
          <t>1. New request; method DELETE; URL to an echo endpoint.
2. Auth type ApiKeyHeader; configure minimum credentials.
3. Body type none; provide minimum valid content.
4. Send and inspect outgoing wire request (DevTools/proxy).</t>
        </is>
      </c>
      <c r="H1446" s="16" t="inlineStr">
        <is>
          <t>method=DELETE auth=ApiKeyHeader body=none</t>
        </is>
      </c>
      <c r="I1446" s="16" t="inlineStr">
        <is>
          <t>ApiKeyHeader auth applied correctly; none body sent with right Content-Type; server returns expected status.</t>
        </is>
      </c>
      <c r="J1446" s="16" t="inlineStr"/>
      <c r="K1446" s="16" t="inlineStr">
        <is>
          <t>Not Run</t>
        </is>
      </c>
      <c r="L1446" s="16" t="inlineStr">
        <is>
          <t>Medium</t>
        </is>
      </c>
      <c r="M1446" s="16" t="inlineStr"/>
      <c r="N1446" s="16" t="inlineStr"/>
      <c r="O1446" s="16" t="inlineStr"/>
    </row>
    <row r="1447" ht="72" customHeight="1">
      <c r="A1447" s="16" t="inlineStr">
        <is>
          <t>TC-MM-0404</t>
        </is>
      </c>
      <c r="B1447" s="16" t="inlineStr">
        <is>
          <t>Method x Body Matrix</t>
        </is>
      </c>
      <c r="C1447" s="16" t="inlineStr">
        <is>
          <t>DELETE + ApiKeyHeader + form-data</t>
        </is>
      </c>
      <c r="D1447" s="16" t="inlineStr">
        <is>
          <t>Functional</t>
        </is>
      </c>
      <c r="E1447" s="16" t="inlineStr">
        <is>
          <t>DELETE with ApiKeyHeader auth and form-data body</t>
        </is>
      </c>
      <c r="F1447" s="16" t="inlineStr">
        <is>
          <t>Editor open.</t>
        </is>
      </c>
      <c r="G1447" s="16" t="inlineStr">
        <is>
          <t>1. New request; method DELETE; URL to an echo endpoint.
2. Auth type ApiKeyHeader; configure minimum credentials.
3. Body type form-data; provide minimum valid content.
4. Send and inspect outgoing wire request (DevTools/proxy).</t>
        </is>
      </c>
      <c r="H1447" s="16" t="inlineStr">
        <is>
          <t>method=DELETE auth=ApiKeyHeader body=form-data</t>
        </is>
      </c>
      <c r="I1447" s="16" t="inlineStr">
        <is>
          <t>ApiKeyHeader auth applied correctly; form-data body sent with right Content-Type; server returns expected status.</t>
        </is>
      </c>
      <c r="J1447" s="16" t="inlineStr"/>
      <c r="K1447" s="16" t="inlineStr">
        <is>
          <t>Not Run</t>
        </is>
      </c>
      <c r="L1447" s="16" t="inlineStr">
        <is>
          <t>Medium</t>
        </is>
      </c>
      <c r="M1447" s="16" t="inlineStr"/>
      <c r="N1447" s="16" t="inlineStr"/>
      <c r="O1447" s="16" t="inlineStr"/>
    </row>
    <row r="1448" ht="72" customHeight="1">
      <c r="A1448" s="16" t="inlineStr">
        <is>
          <t>TC-MM-0405</t>
        </is>
      </c>
      <c r="B1448" s="16" t="inlineStr">
        <is>
          <t>Method x Body Matrix</t>
        </is>
      </c>
      <c r="C1448" s="16" t="inlineStr">
        <is>
          <t>DELETE + ApiKeyHeader + x-www-form-urlencoded</t>
        </is>
      </c>
      <c r="D1448" s="16" t="inlineStr">
        <is>
          <t>Functional</t>
        </is>
      </c>
      <c r="E1448" s="16" t="inlineStr">
        <is>
          <t>DELETE with ApiKeyHeader auth and x-www-form-urlencoded body</t>
        </is>
      </c>
      <c r="F1448" s="16" t="inlineStr">
        <is>
          <t>Editor open.</t>
        </is>
      </c>
      <c r="G1448" s="16" t="inlineStr">
        <is>
          <t>1. New request; method DELETE; URL to an echo endpoint.
2. Auth type ApiKeyHeader; configure minimum credentials.
3. Body type x-www-form-urlencoded; provide minimum valid content.
4. Send and inspect outgoing wire request (DevTools/proxy).</t>
        </is>
      </c>
      <c r="H1448" s="16" t="inlineStr">
        <is>
          <t>method=DELETE auth=ApiKeyHeader body=x-www-form-urlencoded</t>
        </is>
      </c>
      <c r="I1448" s="16" t="inlineStr">
        <is>
          <t>ApiKeyHeader auth applied correctly; x-www-form-urlencoded body sent with right Content-Type; server returns expected status.</t>
        </is>
      </c>
      <c r="J1448" s="16" t="inlineStr"/>
      <c r="K1448" s="16" t="inlineStr">
        <is>
          <t>Not Run</t>
        </is>
      </c>
      <c r="L1448" s="16" t="inlineStr">
        <is>
          <t>Medium</t>
        </is>
      </c>
      <c r="M1448" s="16" t="inlineStr"/>
      <c r="N1448" s="16" t="inlineStr"/>
      <c r="O1448" s="16" t="inlineStr"/>
    </row>
    <row r="1449" ht="72" customHeight="1">
      <c r="A1449" s="16" t="inlineStr">
        <is>
          <t>TC-MM-0406</t>
        </is>
      </c>
      <c r="B1449" s="16" t="inlineStr">
        <is>
          <t>Method x Body Matrix</t>
        </is>
      </c>
      <c r="C1449" s="16" t="inlineStr">
        <is>
          <t>DELETE + ApiKeyHeader + raw-json</t>
        </is>
      </c>
      <c r="D1449" s="16" t="inlineStr">
        <is>
          <t>Functional</t>
        </is>
      </c>
      <c r="E1449" s="16" t="inlineStr">
        <is>
          <t>DELETE with ApiKeyHeader auth and raw-json body</t>
        </is>
      </c>
      <c r="F1449" s="16" t="inlineStr">
        <is>
          <t>Editor open.</t>
        </is>
      </c>
      <c r="G1449" s="16" t="inlineStr">
        <is>
          <t>1. New request; method DELETE; URL to an echo endpoint.
2. Auth type ApiKeyHeader; configure minimum credentials.
3. Body type raw-json; provide minimum valid content.
4. Send and inspect outgoing wire request (DevTools/proxy).</t>
        </is>
      </c>
      <c r="H1449" s="16" t="inlineStr">
        <is>
          <t>method=DELETE auth=ApiKeyHeader body=raw-json</t>
        </is>
      </c>
      <c r="I1449" s="16" t="inlineStr">
        <is>
          <t>ApiKeyHeader auth applied correctly; raw-json body sent with right Content-Type; server returns expected status.</t>
        </is>
      </c>
      <c r="J1449" s="16" t="inlineStr"/>
      <c r="K1449" s="16" t="inlineStr">
        <is>
          <t>Not Run</t>
        </is>
      </c>
      <c r="L1449" s="16" t="inlineStr">
        <is>
          <t>Medium</t>
        </is>
      </c>
      <c r="M1449" s="16" t="inlineStr"/>
      <c r="N1449" s="16" t="inlineStr"/>
      <c r="O1449" s="16" t="inlineStr"/>
    </row>
    <row r="1450" ht="72" customHeight="1">
      <c r="A1450" s="16" t="inlineStr">
        <is>
          <t>TC-MM-0407</t>
        </is>
      </c>
      <c r="B1450" s="16" t="inlineStr">
        <is>
          <t>Method x Body Matrix</t>
        </is>
      </c>
      <c r="C1450" s="16" t="inlineStr">
        <is>
          <t>DELETE + ApiKeyHeader + raw-xml</t>
        </is>
      </c>
      <c r="D1450" s="16" t="inlineStr">
        <is>
          <t>Functional</t>
        </is>
      </c>
      <c r="E1450" s="16" t="inlineStr">
        <is>
          <t>DELETE with ApiKeyHeader auth and raw-xml body</t>
        </is>
      </c>
      <c r="F1450" s="16" t="inlineStr">
        <is>
          <t>Editor open.</t>
        </is>
      </c>
      <c r="G1450" s="16" t="inlineStr">
        <is>
          <t>1. New request; method DELETE; URL to an echo endpoint.
2. Auth type ApiKeyHeader; configure minimum credentials.
3. Body type raw-xml; provide minimum valid content.
4. Send and inspect outgoing wire request (DevTools/proxy).</t>
        </is>
      </c>
      <c r="H1450" s="16" t="inlineStr">
        <is>
          <t>method=DELETE auth=ApiKeyHeader body=raw-xml</t>
        </is>
      </c>
      <c r="I1450" s="16" t="inlineStr">
        <is>
          <t>ApiKeyHeader auth applied correctly; raw-xml body sent with right Content-Type; server returns expected status.</t>
        </is>
      </c>
      <c r="J1450" s="16" t="inlineStr"/>
      <c r="K1450" s="16" t="inlineStr">
        <is>
          <t>Not Run</t>
        </is>
      </c>
      <c r="L1450" s="16" t="inlineStr">
        <is>
          <t>Medium</t>
        </is>
      </c>
      <c r="M1450" s="16" t="inlineStr"/>
      <c r="N1450" s="16" t="inlineStr"/>
      <c r="O1450" s="16" t="inlineStr"/>
    </row>
    <row r="1451" ht="72" customHeight="1">
      <c r="A1451" s="16" t="inlineStr">
        <is>
          <t>TC-MM-0408</t>
        </is>
      </c>
      <c r="B1451" s="16" t="inlineStr">
        <is>
          <t>Method x Body Matrix</t>
        </is>
      </c>
      <c r="C1451" s="16" t="inlineStr">
        <is>
          <t>DELETE + ApiKeyHeader + raw-text</t>
        </is>
      </c>
      <c r="D1451" s="16" t="inlineStr">
        <is>
          <t>Functional</t>
        </is>
      </c>
      <c r="E1451" s="16" t="inlineStr">
        <is>
          <t>DELETE with ApiKeyHeader auth and raw-text body</t>
        </is>
      </c>
      <c r="F1451" s="16" t="inlineStr">
        <is>
          <t>Editor open.</t>
        </is>
      </c>
      <c r="G1451" s="16" t="inlineStr">
        <is>
          <t>1. New request; method DELETE; URL to an echo endpoint.
2. Auth type ApiKeyHeader; configure minimum credentials.
3. Body type raw-text; provide minimum valid content.
4. Send and inspect outgoing wire request (DevTools/proxy).</t>
        </is>
      </c>
      <c r="H1451" s="16" t="inlineStr">
        <is>
          <t>method=DELETE auth=ApiKeyHeader body=raw-text</t>
        </is>
      </c>
      <c r="I1451" s="16" t="inlineStr">
        <is>
          <t>ApiKeyHeader auth applied correctly; raw-text body sent with right Content-Type; server returns expected status.</t>
        </is>
      </c>
      <c r="J1451" s="16" t="inlineStr"/>
      <c r="K1451" s="16" t="inlineStr">
        <is>
          <t>Not Run</t>
        </is>
      </c>
      <c r="L1451" s="16" t="inlineStr">
        <is>
          <t>Medium</t>
        </is>
      </c>
      <c r="M1451" s="16" t="inlineStr"/>
      <c r="N1451" s="16" t="inlineStr"/>
      <c r="O1451" s="16" t="inlineStr"/>
    </row>
    <row r="1452" ht="72" customHeight="1">
      <c r="A1452" s="16" t="inlineStr">
        <is>
          <t>TC-MM-0409</t>
        </is>
      </c>
      <c r="B1452" s="16" t="inlineStr">
        <is>
          <t>Method x Body Matrix</t>
        </is>
      </c>
      <c r="C1452" s="16" t="inlineStr">
        <is>
          <t>DELETE + ApiKeyHeader + binary</t>
        </is>
      </c>
      <c r="D1452" s="16" t="inlineStr">
        <is>
          <t>Functional</t>
        </is>
      </c>
      <c r="E1452" s="16" t="inlineStr">
        <is>
          <t>DELETE with ApiKeyHeader auth and binary body</t>
        </is>
      </c>
      <c r="F1452" s="16" t="inlineStr">
        <is>
          <t>Editor open.</t>
        </is>
      </c>
      <c r="G1452" s="16" t="inlineStr">
        <is>
          <t>1. New request; method DELETE; URL to an echo endpoint.
2. Auth type ApiKeyHeader; configure minimum credentials.
3. Body type binary; provide minimum valid content.
4. Send and inspect outgoing wire request (DevTools/proxy).</t>
        </is>
      </c>
      <c r="H1452" s="16" t="inlineStr">
        <is>
          <t>method=DELETE auth=ApiKeyHeader body=binary</t>
        </is>
      </c>
      <c r="I1452" s="16" t="inlineStr">
        <is>
          <t>ApiKeyHeader auth applied correctly; binary body sent with right Content-Type; server returns expected status.</t>
        </is>
      </c>
      <c r="J1452" s="16" t="inlineStr"/>
      <c r="K1452" s="16" t="inlineStr">
        <is>
          <t>Not Run</t>
        </is>
      </c>
      <c r="L1452" s="16" t="inlineStr">
        <is>
          <t>Medium</t>
        </is>
      </c>
      <c r="M1452" s="16" t="inlineStr"/>
      <c r="N1452" s="16" t="inlineStr"/>
      <c r="O1452" s="16" t="inlineStr"/>
    </row>
    <row r="1453" ht="72" customHeight="1">
      <c r="A1453" s="16" t="inlineStr">
        <is>
          <t>TC-MM-0410</t>
        </is>
      </c>
      <c r="B1453" s="16" t="inlineStr">
        <is>
          <t>Method x Body Matrix</t>
        </is>
      </c>
      <c r="C1453" s="16" t="inlineStr">
        <is>
          <t>DELETE + ApiKeyQuery + none</t>
        </is>
      </c>
      <c r="D1453" s="16" t="inlineStr">
        <is>
          <t>Functional</t>
        </is>
      </c>
      <c r="E1453" s="16" t="inlineStr">
        <is>
          <t>DELETE with ApiKeyQuery auth and none body</t>
        </is>
      </c>
      <c r="F1453" s="16" t="inlineStr">
        <is>
          <t>Editor open.</t>
        </is>
      </c>
      <c r="G1453" s="16" t="inlineStr">
        <is>
          <t>1. New request; method DELETE; URL to an echo endpoint.
2. Auth type ApiKeyQuery; configure minimum credentials.
3. Body type none; provide minimum valid content.
4. Send and inspect outgoing wire request (DevTools/proxy).</t>
        </is>
      </c>
      <c r="H1453" s="16" t="inlineStr">
        <is>
          <t>method=DELETE auth=ApiKeyQuery body=none</t>
        </is>
      </c>
      <c r="I1453" s="16" t="inlineStr">
        <is>
          <t>ApiKeyQuery auth applied correctly; none body sent with right Content-Type; server returns expected status.</t>
        </is>
      </c>
      <c r="J1453" s="16" t="inlineStr"/>
      <c r="K1453" s="16" t="inlineStr">
        <is>
          <t>Not Run</t>
        </is>
      </c>
      <c r="L1453" s="16" t="inlineStr">
        <is>
          <t>Medium</t>
        </is>
      </c>
      <c r="M1453" s="16" t="inlineStr"/>
      <c r="N1453" s="16" t="inlineStr"/>
      <c r="O1453" s="16" t="inlineStr"/>
    </row>
    <row r="1454" ht="72" customHeight="1">
      <c r="A1454" s="16" t="inlineStr">
        <is>
          <t>TC-MM-0411</t>
        </is>
      </c>
      <c r="B1454" s="16" t="inlineStr">
        <is>
          <t>Method x Body Matrix</t>
        </is>
      </c>
      <c r="C1454" s="16" t="inlineStr">
        <is>
          <t>DELETE + ApiKeyQuery + form-data</t>
        </is>
      </c>
      <c r="D1454" s="16" t="inlineStr">
        <is>
          <t>Functional</t>
        </is>
      </c>
      <c r="E1454" s="16" t="inlineStr">
        <is>
          <t>DELETE with ApiKeyQuery auth and form-data body</t>
        </is>
      </c>
      <c r="F1454" s="16" t="inlineStr">
        <is>
          <t>Editor open.</t>
        </is>
      </c>
      <c r="G1454" s="16" t="inlineStr">
        <is>
          <t>1. New request; method DELETE; URL to an echo endpoint.
2. Auth type ApiKeyQuery; configure minimum credentials.
3. Body type form-data; provide minimum valid content.
4. Send and inspect outgoing wire request (DevTools/proxy).</t>
        </is>
      </c>
      <c r="H1454" s="16" t="inlineStr">
        <is>
          <t>method=DELETE auth=ApiKeyQuery body=form-data</t>
        </is>
      </c>
      <c r="I1454" s="16" t="inlineStr">
        <is>
          <t>ApiKeyQuery auth applied correctly; form-data body sent with right Content-Type; server returns expected status.</t>
        </is>
      </c>
      <c r="J1454" s="16" t="inlineStr"/>
      <c r="K1454" s="16" t="inlineStr">
        <is>
          <t>Not Run</t>
        </is>
      </c>
      <c r="L1454" s="16" t="inlineStr">
        <is>
          <t>Medium</t>
        </is>
      </c>
      <c r="M1454" s="16" t="inlineStr"/>
      <c r="N1454" s="16" t="inlineStr"/>
      <c r="O1454" s="16" t="inlineStr"/>
    </row>
    <row r="1455" ht="72" customHeight="1">
      <c r="A1455" s="16" t="inlineStr">
        <is>
          <t>TC-MM-0412</t>
        </is>
      </c>
      <c r="B1455" s="16" t="inlineStr">
        <is>
          <t>Method x Body Matrix</t>
        </is>
      </c>
      <c r="C1455" s="16" t="inlineStr">
        <is>
          <t>DELETE + ApiKeyQuery + x-www-form-urlencoded</t>
        </is>
      </c>
      <c r="D1455" s="16" t="inlineStr">
        <is>
          <t>Functional</t>
        </is>
      </c>
      <c r="E1455" s="16" t="inlineStr">
        <is>
          <t>DELETE with ApiKeyQuery auth and x-www-form-urlencoded body</t>
        </is>
      </c>
      <c r="F1455" s="16" t="inlineStr">
        <is>
          <t>Editor open.</t>
        </is>
      </c>
      <c r="G1455" s="16" t="inlineStr">
        <is>
          <t>1. New request; method DELETE; URL to an echo endpoint.
2. Auth type ApiKeyQuery; configure minimum credentials.
3. Body type x-www-form-urlencoded; provide minimum valid content.
4. Send and inspect outgoing wire request (DevTools/proxy).</t>
        </is>
      </c>
      <c r="H1455" s="16" t="inlineStr">
        <is>
          <t>method=DELETE auth=ApiKeyQuery body=x-www-form-urlencoded</t>
        </is>
      </c>
      <c r="I1455" s="16" t="inlineStr">
        <is>
          <t>ApiKeyQuery auth applied correctly; x-www-form-urlencoded body sent with right Content-Type; server returns expected status.</t>
        </is>
      </c>
      <c r="J1455" s="16" t="inlineStr"/>
      <c r="K1455" s="16" t="inlineStr">
        <is>
          <t>Not Run</t>
        </is>
      </c>
      <c r="L1455" s="16" t="inlineStr">
        <is>
          <t>Medium</t>
        </is>
      </c>
      <c r="M1455" s="16" t="inlineStr"/>
      <c r="N1455" s="16" t="inlineStr"/>
      <c r="O1455" s="16" t="inlineStr"/>
    </row>
    <row r="1456" ht="72" customHeight="1">
      <c r="A1456" s="16" t="inlineStr">
        <is>
          <t>TC-MM-0413</t>
        </is>
      </c>
      <c r="B1456" s="16" t="inlineStr">
        <is>
          <t>Method x Body Matrix</t>
        </is>
      </c>
      <c r="C1456" s="16" t="inlineStr">
        <is>
          <t>DELETE + ApiKeyQuery + raw-json</t>
        </is>
      </c>
      <c r="D1456" s="16" t="inlineStr">
        <is>
          <t>Functional</t>
        </is>
      </c>
      <c r="E1456" s="16" t="inlineStr">
        <is>
          <t>DELETE with ApiKeyQuery auth and raw-json body</t>
        </is>
      </c>
      <c r="F1456" s="16" t="inlineStr">
        <is>
          <t>Editor open.</t>
        </is>
      </c>
      <c r="G1456" s="16" t="inlineStr">
        <is>
          <t>1. New request; method DELETE; URL to an echo endpoint.
2. Auth type ApiKeyQuery; configure minimum credentials.
3. Body type raw-json; provide minimum valid content.
4. Send and inspect outgoing wire request (DevTools/proxy).</t>
        </is>
      </c>
      <c r="H1456" s="16" t="inlineStr">
        <is>
          <t>method=DELETE auth=ApiKeyQuery body=raw-json</t>
        </is>
      </c>
      <c r="I1456" s="16" t="inlineStr">
        <is>
          <t>ApiKeyQuery auth applied correctly; raw-json body sent with right Content-Type; server returns expected status.</t>
        </is>
      </c>
      <c r="J1456" s="16" t="inlineStr"/>
      <c r="K1456" s="16" t="inlineStr">
        <is>
          <t>Not Run</t>
        </is>
      </c>
      <c r="L1456" s="16" t="inlineStr">
        <is>
          <t>Medium</t>
        </is>
      </c>
      <c r="M1456" s="16" t="inlineStr"/>
      <c r="N1456" s="16" t="inlineStr"/>
      <c r="O1456" s="16" t="inlineStr"/>
    </row>
    <row r="1457" ht="72" customHeight="1">
      <c r="A1457" s="16" t="inlineStr">
        <is>
          <t>TC-MM-0414</t>
        </is>
      </c>
      <c r="B1457" s="16" t="inlineStr">
        <is>
          <t>Method x Body Matrix</t>
        </is>
      </c>
      <c r="C1457" s="16" t="inlineStr">
        <is>
          <t>DELETE + ApiKeyQuery + raw-xml</t>
        </is>
      </c>
      <c r="D1457" s="16" t="inlineStr">
        <is>
          <t>Functional</t>
        </is>
      </c>
      <c r="E1457" s="16" t="inlineStr">
        <is>
          <t>DELETE with ApiKeyQuery auth and raw-xml body</t>
        </is>
      </c>
      <c r="F1457" s="16" t="inlineStr">
        <is>
          <t>Editor open.</t>
        </is>
      </c>
      <c r="G1457" s="16" t="inlineStr">
        <is>
          <t>1. New request; method DELETE; URL to an echo endpoint.
2. Auth type ApiKeyQuery; configure minimum credentials.
3. Body type raw-xml; provide minimum valid content.
4. Send and inspect outgoing wire request (DevTools/proxy).</t>
        </is>
      </c>
      <c r="H1457" s="16" t="inlineStr">
        <is>
          <t>method=DELETE auth=ApiKeyQuery body=raw-xml</t>
        </is>
      </c>
      <c r="I1457" s="16" t="inlineStr">
        <is>
          <t>ApiKeyQuery auth applied correctly; raw-xml body sent with right Content-Type; server returns expected status.</t>
        </is>
      </c>
      <c r="J1457" s="16" t="inlineStr"/>
      <c r="K1457" s="16" t="inlineStr">
        <is>
          <t>Not Run</t>
        </is>
      </c>
      <c r="L1457" s="16" t="inlineStr">
        <is>
          <t>Medium</t>
        </is>
      </c>
      <c r="M1457" s="16" t="inlineStr"/>
      <c r="N1457" s="16" t="inlineStr"/>
      <c r="O1457" s="16" t="inlineStr"/>
    </row>
    <row r="1458" ht="72" customHeight="1">
      <c r="A1458" s="16" t="inlineStr">
        <is>
          <t>TC-MM-0415</t>
        </is>
      </c>
      <c r="B1458" s="16" t="inlineStr">
        <is>
          <t>Method x Body Matrix</t>
        </is>
      </c>
      <c r="C1458" s="16" t="inlineStr">
        <is>
          <t>DELETE + ApiKeyQuery + raw-text</t>
        </is>
      </c>
      <c r="D1458" s="16" t="inlineStr">
        <is>
          <t>Functional</t>
        </is>
      </c>
      <c r="E1458" s="16" t="inlineStr">
        <is>
          <t>DELETE with ApiKeyQuery auth and raw-text body</t>
        </is>
      </c>
      <c r="F1458" s="16" t="inlineStr">
        <is>
          <t>Editor open.</t>
        </is>
      </c>
      <c r="G1458" s="16" t="inlineStr">
        <is>
          <t>1. New request; method DELETE; URL to an echo endpoint.
2. Auth type ApiKeyQuery; configure minimum credentials.
3. Body type raw-text; provide minimum valid content.
4. Send and inspect outgoing wire request (DevTools/proxy).</t>
        </is>
      </c>
      <c r="H1458" s="16" t="inlineStr">
        <is>
          <t>method=DELETE auth=ApiKeyQuery body=raw-text</t>
        </is>
      </c>
      <c r="I1458" s="16" t="inlineStr">
        <is>
          <t>ApiKeyQuery auth applied correctly; raw-text body sent with right Content-Type; server returns expected status.</t>
        </is>
      </c>
      <c r="J1458" s="16" t="inlineStr"/>
      <c r="K1458" s="16" t="inlineStr">
        <is>
          <t>Not Run</t>
        </is>
      </c>
      <c r="L1458" s="16" t="inlineStr">
        <is>
          <t>Medium</t>
        </is>
      </c>
      <c r="M1458" s="16" t="inlineStr"/>
      <c r="N1458" s="16" t="inlineStr"/>
      <c r="O1458" s="16" t="inlineStr"/>
    </row>
    <row r="1459" ht="72" customHeight="1">
      <c r="A1459" s="16" t="inlineStr">
        <is>
          <t>TC-MM-0416</t>
        </is>
      </c>
      <c r="B1459" s="16" t="inlineStr">
        <is>
          <t>Method x Body Matrix</t>
        </is>
      </c>
      <c r="C1459" s="16" t="inlineStr">
        <is>
          <t>DELETE + ApiKeyQuery + binary</t>
        </is>
      </c>
      <c r="D1459" s="16" t="inlineStr">
        <is>
          <t>Functional</t>
        </is>
      </c>
      <c r="E1459" s="16" t="inlineStr">
        <is>
          <t>DELETE with ApiKeyQuery auth and binary body</t>
        </is>
      </c>
      <c r="F1459" s="16" t="inlineStr">
        <is>
          <t>Editor open.</t>
        </is>
      </c>
      <c r="G1459" s="16" t="inlineStr">
        <is>
          <t>1. New request; method DELETE; URL to an echo endpoint.
2. Auth type ApiKeyQuery; configure minimum credentials.
3. Body type binary; provide minimum valid content.
4. Send and inspect outgoing wire request (DevTools/proxy).</t>
        </is>
      </c>
      <c r="H1459" s="16" t="inlineStr">
        <is>
          <t>method=DELETE auth=ApiKeyQuery body=binary</t>
        </is>
      </c>
      <c r="I1459" s="16" t="inlineStr">
        <is>
          <t>ApiKeyQuery auth applied correctly; binary body sent with right Content-Type; server returns expected status.</t>
        </is>
      </c>
      <c r="J1459" s="16" t="inlineStr"/>
      <c r="K1459" s="16" t="inlineStr">
        <is>
          <t>Not Run</t>
        </is>
      </c>
      <c r="L1459" s="16" t="inlineStr">
        <is>
          <t>Medium</t>
        </is>
      </c>
      <c r="M1459" s="16" t="inlineStr"/>
      <c r="N1459" s="16" t="inlineStr"/>
      <c r="O1459" s="16" t="inlineStr"/>
    </row>
    <row r="1460" ht="72" customHeight="1">
      <c r="A1460" s="16" t="inlineStr">
        <is>
          <t>TC-MM-0417</t>
        </is>
      </c>
      <c r="B1460" s="16" t="inlineStr">
        <is>
          <t>Method x Body Matrix</t>
        </is>
      </c>
      <c r="C1460" s="16" t="inlineStr">
        <is>
          <t>DELETE + AwsSigV4 + none</t>
        </is>
      </c>
      <c r="D1460" s="16" t="inlineStr">
        <is>
          <t>Functional</t>
        </is>
      </c>
      <c r="E1460" s="16" t="inlineStr">
        <is>
          <t>DELETE with AwsSigV4 auth and none body</t>
        </is>
      </c>
      <c r="F1460" s="16" t="inlineStr">
        <is>
          <t>Editor open.</t>
        </is>
      </c>
      <c r="G1460" s="16" t="inlineStr">
        <is>
          <t>1. New request; method DELETE; URL to an echo endpoint.
2. Auth type AwsSigV4; configure minimum credentials.
3. Body type none; provide minimum valid content.
4. Send and inspect outgoing wire request (DevTools/proxy).</t>
        </is>
      </c>
      <c r="H1460" s="16" t="inlineStr">
        <is>
          <t>method=DELETE auth=AwsSigV4 body=none</t>
        </is>
      </c>
      <c r="I1460" s="16" t="inlineStr">
        <is>
          <t>AwsSigV4 auth applied correctly; none body sent with right Content-Type; server returns expected status.</t>
        </is>
      </c>
      <c r="J1460" s="16" t="inlineStr"/>
      <c r="K1460" s="16" t="inlineStr">
        <is>
          <t>Not Run</t>
        </is>
      </c>
      <c r="L1460" s="16" t="inlineStr">
        <is>
          <t>Medium</t>
        </is>
      </c>
      <c r="M1460" s="16" t="inlineStr"/>
      <c r="N1460" s="16" t="inlineStr"/>
      <c r="O1460" s="16" t="inlineStr"/>
    </row>
    <row r="1461" ht="72" customHeight="1">
      <c r="A1461" s="16" t="inlineStr">
        <is>
          <t>TC-MM-0418</t>
        </is>
      </c>
      <c r="B1461" s="16" t="inlineStr">
        <is>
          <t>Method x Body Matrix</t>
        </is>
      </c>
      <c r="C1461" s="16" t="inlineStr">
        <is>
          <t>DELETE + AwsSigV4 + form-data</t>
        </is>
      </c>
      <c r="D1461" s="16" t="inlineStr">
        <is>
          <t>Functional</t>
        </is>
      </c>
      <c r="E1461" s="16" t="inlineStr">
        <is>
          <t>DELETE with AwsSigV4 auth and form-data body</t>
        </is>
      </c>
      <c r="F1461" s="16" t="inlineStr">
        <is>
          <t>Editor open.</t>
        </is>
      </c>
      <c r="G1461" s="16" t="inlineStr">
        <is>
          <t>1. New request; method DELETE; URL to an echo endpoint.
2. Auth type AwsSigV4; configure minimum credentials.
3. Body type form-data; provide minimum valid content.
4. Send and inspect outgoing wire request (DevTools/proxy).</t>
        </is>
      </c>
      <c r="H1461" s="16" t="inlineStr">
        <is>
          <t>method=DELETE auth=AwsSigV4 body=form-data</t>
        </is>
      </c>
      <c r="I1461" s="16" t="inlineStr">
        <is>
          <t>AWS SigV4 signs canonical request including body bytes; x-amz-content-sha256 reflects SHA256 of body. Server returns expected status.</t>
        </is>
      </c>
      <c r="J1461" s="16" t="inlineStr"/>
      <c r="K1461" s="16" t="inlineStr">
        <is>
          <t>Not Run</t>
        </is>
      </c>
      <c r="L1461" s="16" t="inlineStr">
        <is>
          <t>High</t>
        </is>
      </c>
      <c r="M1461" s="16" t="inlineStr"/>
      <c r="N1461" s="16" t="inlineStr"/>
      <c r="O1461" s="16" t="inlineStr"/>
    </row>
    <row r="1462" ht="72" customHeight="1">
      <c r="A1462" s="16" t="inlineStr">
        <is>
          <t>TC-MM-0419</t>
        </is>
      </c>
      <c r="B1462" s="16" t="inlineStr">
        <is>
          <t>Method x Body Matrix</t>
        </is>
      </c>
      <c r="C1462" s="16" t="inlineStr">
        <is>
          <t>DELETE + AwsSigV4 + x-www-form-urlencoded</t>
        </is>
      </c>
      <c r="D1462" s="16" t="inlineStr">
        <is>
          <t>Functional</t>
        </is>
      </c>
      <c r="E1462" s="16" t="inlineStr">
        <is>
          <t>DELETE with AwsSigV4 auth and x-www-form-urlencoded body</t>
        </is>
      </c>
      <c r="F1462" s="16" t="inlineStr">
        <is>
          <t>Editor open.</t>
        </is>
      </c>
      <c r="G1462" s="16" t="inlineStr">
        <is>
          <t>1. New request; method DELETE; URL to an echo endpoint.
2. Auth type AwsSigV4; configure minimum credentials.
3. Body type x-www-form-urlencoded; provide minimum valid content.
4. Send and inspect outgoing wire request (DevTools/proxy).</t>
        </is>
      </c>
      <c r="H1462" s="16" t="inlineStr">
        <is>
          <t>method=DELETE auth=AwsSigV4 body=x-www-form-urlencoded</t>
        </is>
      </c>
      <c r="I1462" s="16" t="inlineStr">
        <is>
          <t>AWS SigV4 signs canonical request including body bytes; x-amz-content-sha256 reflects SHA256 of body. Server returns expected status.</t>
        </is>
      </c>
      <c r="J1462" s="16" t="inlineStr"/>
      <c r="K1462" s="16" t="inlineStr">
        <is>
          <t>Not Run</t>
        </is>
      </c>
      <c r="L1462" s="16" t="inlineStr">
        <is>
          <t>High</t>
        </is>
      </c>
      <c r="M1462" s="16" t="inlineStr"/>
      <c r="N1462" s="16" t="inlineStr"/>
      <c r="O1462" s="16" t="inlineStr"/>
    </row>
    <row r="1463" ht="72" customHeight="1">
      <c r="A1463" s="16" t="inlineStr">
        <is>
          <t>TC-MM-0420</t>
        </is>
      </c>
      <c r="B1463" s="16" t="inlineStr">
        <is>
          <t>Method x Body Matrix</t>
        </is>
      </c>
      <c r="C1463" s="16" t="inlineStr">
        <is>
          <t>DELETE + AwsSigV4 + raw-json</t>
        </is>
      </c>
      <c r="D1463" s="16" t="inlineStr">
        <is>
          <t>Functional</t>
        </is>
      </c>
      <c r="E1463" s="16" t="inlineStr">
        <is>
          <t>DELETE with AwsSigV4 auth and raw-json body</t>
        </is>
      </c>
      <c r="F1463" s="16" t="inlineStr">
        <is>
          <t>Editor open.</t>
        </is>
      </c>
      <c r="G1463" s="16" t="inlineStr">
        <is>
          <t>1. New request; method DELETE; URL to an echo endpoint.
2. Auth type AwsSigV4; configure minimum credentials.
3. Body type raw-json; provide minimum valid content.
4. Send and inspect outgoing wire request (DevTools/proxy).</t>
        </is>
      </c>
      <c r="H1463" s="16" t="inlineStr">
        <is>
          <t>method=DELETE auth=AwsSigV4 body=raw-json</t>
        </is>
      </c>
      <c r="I1463" s="16" t="inlineStr">
        <is>
          <t>AWS SigV4 signs canonical request including body bytes; x-amz-content-sha256 reflects SHA256 of body. Server returns expected status.</t>
        </is>
      </c>
      <c r="J1463" s="16" t="inlineStr"/>
      <c r="K1463" s="16" t="inlineStr">
        <is>
          <t>Not Run</t>
        </is>
      </c>
      <c r="L1463" s="16" t="inlineStr">
        <is>
          <t>High</t>
        </is>
      </c>
      <c r="M1463" s="16" t="inlineStr"/>
      <c r="N1463" s="16" t="inlineStr"/>
      <c r="O1463" s="16" t="inlineStr"/>
    </row>
    <row r="1464" ht="72" customHeight="1">
      <c r="A1464" s="16" t="inlineStr">
        <is>
          <t>TC-MM-0421</t>
        </is>
      </c>
      <c r="B1464" s="16" t="inlineStr">
        <is>
          <t>Method x Body Matrix</t>
        </is>
      </c>
      <c r="C1464" s="16" t="inlineStr">
        <is>
          <t>DELETE + AwsSigV4 + raw-xml</t>
        </is>
      </c>
      <c r="D1464" s="16" t="inlineStr">
        <is>
          <t>Functional</t>
        </is>
      </c>
      <c r="E1464" s="16" t="inlineStr">
        <is>
          <t>DELETE with AwsSigV4 auth and raw-xml body</t>
        </is>
      </c>
      <c r="F1464" s="16" t="inlineStr">
        <is>
          <t>Editor open.</t>
        </is>
      </c>
      <c r="G1464" s="16" t="inlineStr">
        <is>
          <t>1. New request; method DELETE; URL to an echo endpoint.
2. Auth type AwsSigV4; configure minimum credentials.
3. Body type raw-xml; provide minimum valid content.
4. Send and inspect outgoing wire request (DevTools/proxy).</t>
        </is>
      </c>
      <c r="H1464" s="16" t="inlineStr">
        <is>
          <t>method=DELETE auth=AwsSigV4 body=raw-xml</t>
        </is>
      </c>
      <c r="I1464" s="16" t="inlineStr">
        <is>
          <t>AWS SigV4 signs canonical request including body bytes; x-amz-content-sha256 reflects SHA256 of body. Server returns expected status.</t>
        </is>
      </c>
      <c r="J1464" s="16" t="inlineStr"/>
      <c r="K1464" s="16" t="inlineStr">
        <is>
          <t>Not Run</t>
        </is>
      </c>
      <c r="L1464" s="16" t="inlineStr">
        <is>
          <t>High</t>
        </is>
      </c>
      <c r="M1464" s="16" t="inlineStr"/>
      <c r="N1464" s="16" t="inlineStr"/>
      <c r="O1464" s="16" t="inlineStr"/>
    </row>
    <row r="1465" ht="72" customHeight="1">
      <c r="A1465" s="16" t="inlineStr">
        <is>
          <t>TC-MM-0422</t>
        </is>
      </c>
      <c r="B1465" s="16" t="inlineStr">
        <is>
          <t>Method x Body Matrix</t>
        </is>
      </c>
      <c r="C1465" s="16" t="inlineStr">
        <is>
          <t>DELETE + AwsSigV4 + raw-text</t>
        </is>
      </c>
      <c r="D1465" s="16" t="inlineStr">
        <is>
          <t>Functional</t>
        </is>
      </c>
      <c r="E1465" s="16" t="inlineStr">
        <is>
          <t>DELETE with AwsSigV4 auth and raw-text body</t>
        </is>
      </c>
      <c r="F1465" s="16" t="inlineStr">
        <is>
          <t>Editor open.</t>
        </is>
      </c>
      <c r="G1465" s="16" t="inlineStr">
        <is>
          <t>1. New request; method DELETE; URL to an echo endpoint.
2. Auth type AwsSigV4; configure minimum credentials.
3. Body type raw-text; provide minimum valid content.
4. Send and inspect outgoing wire request (DevTools/proxy).</t>
        </is>
      </c>
      <c r="H1465" s="16" t="inlineStr">
        <is>
          <t>method=DELETE auth=AwsSigV4 body=raw-text</t>
        </is>
      </c>
      <c r="I1465" s="16" t="inlineStr">
        <is>
          <t>AWS SigV4 signs canonical request including body bytes; x-amz-content-sha256 reflects SHA256 of body. Server returns expected status.</t>
        </is>
      </c>
      <c r="J1465" s="16" t="inlineStr"/>
      <c r="K1465" s="16" t="inlineStr">
        <is>
          <t>Not Run</t>
        </is>
      </c>
      <c r="L1465" s="16" t="inlineStr">
        <is>
          <t>High</t>
        </is>
      </c>
      <c r="M1465" s="16" t="inlineStr"/>
      <c r="N1465" s="16" t="inlineStr"/>
      <c r="O1465" s="16" t="inlineStr"/>
    </row>
    <row r="1466" ht="72" customHeight="1">
      <c r="A1466" s="16" t="inlineStr">
        <is>
          <t>TC-MM-0423</t>
        </is>
      </c>
      <c r="B1466" s="16" t="inlineStr">
        <is>
          <t>Method x Body Matrix</t>
        </is>
      </c>
      <c r="C1466" s="16" t="inlineStr">
        <is>
          <t>DELETE + AwsSigV4 + binary</t>
        </is>
      </c>
      <c r="D1466" s="16" t="inlineStr">
        <is>
          <t>Functional</t>
        </is>
      </c>
      <c r="E1466" s="16" t="inlineStr">
        <is>
          <t>DELETE with AwsSigV4 auth and binary body</t>
        </is>
      </c>
      <c r="F1466" s="16" t="inlineStr">
        <is>
          <t>Editor open.</t>
        </is>
      </c>
      <c r="G1466" s="16" t="inlineStr">
        <is>
          <t>1. New request; method DELETE; URL to an echo endpoint.
2. Auth type AwsSigV4; configure minimum credentials.
3. Body type binary; provide minimum valid content.
4. Send and inspect outgoing wire request (DevTools/proxy).</t>
        </is>
      </c>
      <c r="H1466" s="16" t="inlineStr">
        <is>
          <t>method=DELETE auth=AwsSigV4 body=binary</t>
        </is>
      </c>
      <c r="I1466" s="16" t="inlineStr">
        <is>
          <t>AWS SigV4 signs canonical request including body bytes; x-amz-content-sha256 reflects SHA256 of body. Server returns expected status.</t>
        </is>
      </c>
      <c r="J1466" s="16" t="inlineStr"/>
      <c r="K1466" s="16" t="inlineStr">
        <is>
          <t>Not Run</t>
        </is>
      </c>
      <c r="L1466" s="16" t="inlineStr">
        <is>
          <t>High</t>
        </is>
      </c>
      <c r="M1466" s="16" t="inlineStr"/>
      <c r="N1466" s="16" t="inlineStr"/>
      <c r="O1466" s="16" t="inlineStr"/>
    </row>
    <row r="1467" ht="72" customHeight="1">
      <c r="A1467" s="16" t="inlineStr">
        <is>
          <t>TC-MM-0424</t>
        </is>
      </c>
      <c r="B1467" s="16" t="inlineStr">
        <is>
          <t>Method x Body Matrix</t>
        </is>
      </c>
      <c r="C1467" s="16" t="inlineStr">
        <is>
          <t>DELETE + JwtHS256 + none</t>
        </is>
      </c>
      <c r="D1467" s="16" t="inlineStr">
        <is>
          <t>Functional</t>
        </is>
      </c>
      <c r="E1467" s="16" t="inlineStr">
        <is>
          <t>DELETE with JwtHS256 auth and none body</t>
        </is>
      </c>
      <c r="F1467" s="16" t="inlineStr">
        <is>
          <t>Editor open.</t>
        </is>
      </c>
      <c r="G1467" s="16" t="inlineStr">
        <is>
          <t>1. New request; method DELETE; URL to an echo endpoint.
2. Auth type JwtHS256; configure minimum credentials.
3. Body type none; provide minimum valid content.
4. Send and inspect outgoing wire request (DevTools/proxy).</t>
        </is>
      </c>
      <c r="H1467" s="16" t="inlineStr">
        <is>
          <t>method=DELETE auth=JwtHS256 body=none</t>
        </is>
      </c>
      <c r="I1467" s="16" t="inlineStr">
        <is>
          <t>JwtHS256 auth applied correctly; none body sent with right Content-Type; server returns expected status.</t>
        </is>
      </c>
      <c r="J1467" s="16" t="inlineStr"/>
      <c r="K1467" s="16" t="inlineStr">
        <is>
          <t>Not Run</t>
        </is>
      </c>
      <c r="L1467" s="16" t="inlineStr">
        <is>
          <t>Medium</t>
        </is>
      </c>
      <c r="M1467" s="16" t="inlineStr"/>
      <c r="N1467" s="16" t="inlineStr"/>
      <c r="O1467" s="16" t="inlineStr"/>
    </row>
    <row r="1468" ht="72" customHeight="1">
      <c r="A1468" s="16" t="inlineStr">
        <is>
          <t>TC-MM-0425</t>
        </is>
      </c>
      <c r="B1468" s="16" t="inlineStr">
        <is>
          <t>Method x Body Matrix</t>
        </is>
      </c>
      <c r="C1468" s="16" t="inlineStr">
        <is>
          <t>DELETE + JwtHS256 + form-data</t>
        </is>
      </c>
      <c r="D1468" s="16" t="inlineStr">
        <is>
          <t>Functional</t>
        </is>
      </c>
      <c r="E1468" s="16" t="inlineStr">
        <is>
          <t>DELETE with JwtHS256 auth and form-data body</t>
        </is>
      </c>
      <c r="F1468" s="16" t="inlineStr">
        <is>
          <t>Editor open.</t>
        </is>
      </c>
      <c r="G1468" s="16" t="inlineStr">
        <is>
          <t>1. New request; method DELETE; URL to an echo endpoint.
2. Auth type JwtHS256; configure minimum credentials.
3. Body type form-data; provide minimum valid content.
4. Send and inspect outgoing wire request (DevTools/proxy).</t>
        </is>
      </c>
      <c r="H1468" s="16" t="inlineStr">
        <is>
          <t>method=DELETE auth=JwtHS256 body=form-data</t>
        </is>
      </c>
      <c r="I1468" s="16" t="inlineStr">
        <is>
          <t>JwtHS256 auth applied correctly; form-data body sent with right Content-Type; server returns expected status.</t>
        </is>
      </c>
      <c r="J1468" s="16" t="inlineStr"/>
      <c r="K1468" s="16" t="inlineStr">
        <is>
          <t>Not Run</t>
        </is>
      </c>
      <c r="L1468" s="16" t="inlineStr">
        <is>
          <t>Medium</t>
        </is>
      </c>
      <c r="M1468" s="16" t="inlineStr"/>
      <c r="N1468" s="16" t="inlineStr"/>
      <c r="O1468" s="16" t="inlineStr"/>
    </row>
    <row r="1469" ht="72" customHeight="1">
      <c r="A1469" s="16" t="inlineStr">
        <is>
          <t>TC-MM-0426</t>
        </is>
      </c>
      <c r="B1469" s="16" t="inlineStr">
        <is>
          <t>Method x Body Matrix</t>
        </is>
      </c>
      <c r="C1469" s="16" t="inlineStr">
        <is>
          <t>DELETE + JwtHS256 + x-www-form-urlencoded</t>
        </is>
      </c>
      <c r="D1469" s="16" t="inlineStr">
        <is>
          <t>Functional</t>
        </is>
      </c>
      <c r="E1469" s="16" t="inlineStr">
        <is>
          <t>DELETE with JwtHS256 auth and x-www-form-urlencoded body</t>
        </is>
      </c>
      <c r="F1469" s="16" t="inlineStr">
        <is>
          <t>Editor open.</t>
        </is>
      </c>
      <c r="G1469" s="16" t="inlineStr">
        <is>
          <t>1. New request; method DELETE; URL to an echo endpoint.
2. Auth type JwtHS256; configure minimum credentials.
3. Body type x-www-form-urlencoded; provide minimum valid content.
4. Send and inspect outgoing wire request (DevTools/proxy).</t>
        </is>
      </c>
      <c r="H1469" s="16" t="inlineStr">
        <is>
          <t>method=DELETE auth=JwtHS256 body=x-www-form-urlencoded</t>
        </is>
      </c>
      <c r="I1469" s="16" t="inlineStr">
        <is>
          <t>JwtHS256 auth applied correctly; x-www-form-urlencoded body sent with right Content-Type; server returns expected status.</t>
        </is>
      </c>
      <c r="J1469" s="16" t="inlineStr"/>
      <c r="K1469" s="16" t="inlineStr">
        <is>
          <t>Not Run</t>
        </is>
      </c>
      <c r="L1469" s="16" t="inlineStr">
        <is>
          <t>Medium</t>
        </is>
      </c>
      <c r="M1469" s="16" t="inlineStr"/>
      <c r="N1469" s="16" t="inlineStr"/>
      <c r="O1469" s="16" t="inlineStr"/>
    </row>
    <row r="1470" ht="72" customHeight="1">
      <c r="A1470" s="16" t="inlineStr">
        <is>
          <t>TC-MM-0427</t>
        </is>
      </c>
      <c r="B1470" s="16" t="inlineStr">
        <is>
          <t>Method x Body Matrix</t>
        </is>
      </c>
      <c r="C1470" s="16" t="inlineStr">
        <is>
          <t>DELETE + JwtHS256 + raw-json</t>
        </is>
      </c>
      <c r="D1470" s="16" t="inlineStr">
        <is>
          <t>Functional</t>
        </is>
      </c>
      <c r="E1470" s="16" t="inlineStr">
        <is>
          <t>DELETE with JwtHS256 auth and raw-json body</t>
        </is>
      </c>
      <c r="F1470" s="16" t="inlineStr">
        <is>
          <t>Editor open.</t>
        </is>
      </c>
      <c r="G1470" s="16" t="inlineStr">
        <is>
          <t>1. New request; method DELETE; URL to an echo endpoint.
2. Auth type JwtHS256; configure minimum credentials.
3. Body type raw-json; provide minimum valid content.
4. Send and inspect outgoing wire request (DevTools/proxy).</t>
        </is>
      </c>
      <c r="H1470" s="16" t="inlineStr">
        <is>
          <t>method=DELETE auth=JwtHS256 body=raw-json</t>
        </is>
      </c>
      <c r="I1470" s="16" t="inlineStr">
        <is>
          <t>JwtHS256 auth applied correctly; raw-json body sent with right Content-Type; server returns expected status.</t>
        </is>
      </c>
      <c r="J1470" s="16" t="inlineStr"/>
      <c r="K1470" s="16" t="inlineStr">
        <is>
          <t>Not Run</t>
        </is>
      </c>
      <c r="L1470" s="16" t="inlineStr">
        <is>
          <t>Medium</t>
        </is>
      </c>
      <c r="M1470" s="16" t="inlineStr"/>
      <c r="N1470" s="16" t="inlineStr"/>
      <c r="O1470" s="16" t="inlineStr"/>
    </row>
    <row r="1471" ht="72" customHeight="1">
      <c r="A1471" s="16" t="inlineStr">
        <is>
          <t>TC-MM-0428</t>
        </is>
      </c>
      <c r="B1471" s="16" t="inlineStr">
        <is>
          <t>Method x Body Matrix</t>
        </is>
      </c>
      <c r="C1471" s="16" t="inlineStr">
        <is>
          <t>DELETE + JwtHS256 + raw-xml</t>
        </is>
      </c>
      <c r="D1471" s="16" t="inlineStr">
        <is>
          <t>Functional</t>
        </is>
      </c>
      <c r="E1471" s="16" t="inlineStr">
        <is>
          <t>DELETE with JwtHS256 auth and raw-xml body</t>
        </is>
      </c>
      <c r="F1471" s="16" t="inlineStr">
        <is>
          <t>Editor open.</t>
        </is>
      </c>
      <c r="G1471" s="16" t="inlineStr">
        <is>
          <t>1. New request; method DELETE; URL to an echo endpoint.
2. Auth type JwtHS256; configure minimum credentials.
3. Body type raw-xml; provide minimum valid content.
4. Send and inspect outgoing wire request (DevTools/proxy).</t>
        </is>
      </c>
      <c r="H1471" s="16" t="inlineStr">
        <is>
          <t>method=DELETE auth=JwtHS256 body=raw-xml</t>
        </is>
      </c>
      <c r="I1471" s="16" t="inlineStr">
        <is>
          <t>JwtHS256 auth applied correctly; raw-xml body sent with right Content-Type; server returns expected status.</t>
        </is>
      </c>
      <c r="J1471" s="16" t="inlineStr"/>
      <c r="K1471" s="16" t="inlineStr">
        <is>
          <t>Not Run</t>
        </is>
      </c>
      <c r="L1471" s="16" t="inlineStr">
        <is>
          <t>Medium</t>
        </is>
      </c>
      <c r="M1471" s="16" t="inlineStr"/>
      <c r="N1471" s="16" t="inlineStr"/>
      <c r="O1471" s="16" t="inlineStr"/>
    </row>
    <row r="1472" ht="72" customHeight="1">
      <c r="A1472" s="16" t="inlineStr">
        <is>
          <t>TC-MM-0429</t>
        </is>
      </c>
      <c r="B1472" s="16" t="inlineStr">
        <is>
          <t>Method x Body Matrix</t>
        </is>
      </c>
      <c r="C1472" s="16" t="inlineStr">
        <is>
          <t>DELETE + JwtHS256 + raw-text</t>
        </is>
      </c>
      <c r="D1472" s="16" t="inlineStr">
        <is>
          <t>Functional</t>
        </is>
      </c>
      <c r="E1472" s="16" t="inlineStr">
        <is>
          <t>DELETE with JwtHS256 auth and raw-text body</t>
        </is>
      </c>
      <c r="F1472" s="16" t="inlineStr">
        <is>
          <t>Editor open.</t>
        </is>
      </c>
      <c r="G1472" s="16" t="inlineStr">
        <is>
          <t>1. New request; method DELETE; URL to an echo endpoint.
2. Auth type JwtHS256; configure minimum credentials.
3. Body type raw-text; provide minimum valid content.
4. Send and inspect outgoing wire request (DevTools/proxy).</t>
        </is>
      </c>
      <c r="H1472" s="16" t="inlineStr">
        <is>
          <t>method=DELETE auth=JwtHS256 body=raw-text</t>
        </is>
      </c>
      <c r="I1472" s="16" t="inlineStr">
        <is>
          <t>JwtHS256 auth applied correctly; raw-text body sent with right Content-Type; server returns expected status.</t>
        </is>
      </c>
      <c r="J1472" s="16" t="inlineStr"/>
      <c r="K1472" s="16" t="inlineStr">
        <is>
          <t>Not Run</t>
        </is>
      </c>
      <c r="L1472" s="16" t="inlineStr">
        <is>
          <t>Medium</t>
        </is>
      </c>
      <c r="M1472" s="16" t="inlineStr"/>
      <c r="N1472" s="16" t="inlineStr"/>
      <c r="O1472" s="16" t="inlineStr"/>
    </row>
    <row r="1473" ht="72" customHeight="1">
      <c r="A1473" s="16" t="inlineStr">
        <is>
          <t>TC-MM-0430</t>
        </is>
      </c>
      <c r="B1473" s="16" t="inlineStr">
        <is>
          <t>Method x Body Matrix</t>
        </is>
      </c>
      <c r="C1473" s="16" t="inlineStr">
        <is>
          <t>DELETE + JwtHS256 + binary</t>
        </is>
      </c>
      <c r="D1473" s="16" t="inlineStr">
        <is>
          <t>Functional</t>
        </is>
      </c>
      <c r="E1473" s="16" t="inlineStr">
        <is>
          <t>DELETE with JwtHS256 auth and binary body</t>
        </is>
      </c>
      <c r="F1473" s="16" t="inlineStr">
        <is>
          <t>Editor open.</t>
        </is>
      </c>
      <c r="G1473" s="16" t="inlineStr">
        <is>
          <t>1. New request; method DELETE; URL to an echo endpoint.
2. Auth type JwtHS256; configure minimum credentials.
3. Body type binary; provide minimum valid content.
4. Send and inspect outgoing wire request (DevTools/proxy).</t>
        </is>
      </c>
      <c r="H1473" s="16" t="inlineStr">
        <is>
          <t>method=DELETE auth=JwtHS256 body=binary</t>
        </is>
      </c>
      <c r="I1473" s="16" t="inlineStr">
        <is>
          <t>JwtHS256 auth applied correctly; binary body sent with right Content-Type; server returns expected status.</t>
        </is>
      </c>
      <c r="J1473" s="16" t="inlineStr"/>
      <c r="K1473" s="16" t="inlineStr">
        <is>
          <t>Not Run</t>
        </is>
      </c>
      <c r="L1473" s="16" t="inlineStr">
        <is>
          <t>Medium</t>
        </is>
      </c>
      <c r="M1473" s="16" t="inlineStr"/>
      <c r="N1473" s="16" t="inlineStr"/>
      <c r="O1473" s="16" t="inlineStr"/>
    </row>
    <row r="1474" ht="72" customHeight="1">
      <c r="A1474" s="16" t="inlineStr">
        <is>
          <t>TC-MM-0431</t>
        </is>
      </c>
      <c r="B1474" s="16" t="inlineStr">
        <is>
          <t>Method x Body Matrix</t>
        </is>
      </c>
      <c r="C1474" s="16" t="inlineStr">
        <is>
          <t>DELETE + OAuth2ClientCreds + none</t>
        </is>
      </c>
      <c r="D1474" s="16" t="inlineStr">
        <is>
          <t>Functional</t>
        </is>
      </c>
      <c r="E1474" s="16" t="inlineStr">
        <is>
          <t>DELETE with OAuth2ClientCreds auth and none body</t>
        </is>
      </c>
      <c r="F1474" s="16" t="inlineStr">
        <is>
          <t>Editor open.</t>
        </is>
      </c>
      <c r="G1474" s="16" t="inlineStr">
        <is>
          <t>1. New request; method DELETE; URL to an echo endpoint.
2. Auth type OAuth2ClientCreds; configure minimum credentials.
3. Body type none; provide minimum valid content.
4. Send and inspect outgoing wire request (DevTools/proxy).</t>
        </is>
      </c>
      <c r="H1474" s="16" t="inlineStr">
        <is>
          <t>method=DELETE auth=OAuth2ClientCreds body=none</t>
        </is>
      </c>
      <c r="I1474" s="16" t="inlineStr">
        <is>
          <t>Access token acquired (or refreshed); attached as Bearer; DELETE sent with none body; server returns expected status.</t>
        </is>
      </c>
      <c r="J1474" s="16" t="inlineStr"/>
      <c r="K1474" s="16" t="inlineStr">
        <is>
          <t>Not Run</t>
        </is>
      </c>
      <c r="L1474" s="16" t="inlineStr">
        <is>
          <t>Medium</t>
        </is>
      </c>
      <c r="M1474" s="16" t="inlineStr"/>
      <c r="N1474" s="16" t="inlineStr"/>
      <c r="O1474" s="16" t="inlineStr"/>
    </row>
    <row r="1475" ht="72" customHeight="1">
      <c r="A1475" s="16" t="inlineStr">
        <is>
          <t>TC-MM-0432</t>
        </is>
      </c>
      <c r="B1475" s="16" t="inlineStr">
        <is>
          <t>Method x Body Matrix</t>
        </is>
      </c>
      <c r="C1475" s="16" t="inlineStr">
        <is>
          <t>DELETE + OAuth2ClientCreds + form-data</t>
        </is>
      </c>
      <c r="D1475" s="16" t="inlineStr">
        <is>
          <t>Functional</t>
        </is>
      </c>
      <c r="E1475" s="16" t="inlineStr">
        <is>
          <t>DELETE with OAuth2ClientCreds auth and form-data body</t>
        </is>
      </c>
      <c r="F1475" s="16" t="inlineStr">
        <is>
          <t>Editor open.</t>
        </is>
      </c>
      <c r="G1475" s="16" t="inlineStr">
        <is>
          <t>1. New request; method DELETE; URL to an echo endpoint.
2. Auth type OAuth2ClientCreds; configure minimum credentials.
3. Body type form-data; provide minimum valid content.
4. Send and inspect outgoing wire request (DevTools/proxy).</t>
        </is>
      </c>
      <c r="H1475" s="16" t="inlineStr">
        <is>
          <t>method=DELETE auth=OAuth2ClientCreds body=form-data</t>
        </is>
      </c>
      <c r="I1475" s="16" t="inlineStr">
        <is>
          <t>Access token acquired (or refreshed); attached as Bearer; DELETE sent with form-data body; server returns expected status.</t>
        </is>
      </c>
      <c r="J1475" s="16" t="inlineStr"/>
      <c r="K1475" s="16" t="inlineStr">
        <is>
          <t>Not Run</t>
        </is>
      </c>
      <c r="L1475" s="16" t="inlineStr">
        <is>
          <t>Medium</t>
        </is>
      </c>
      <c r="M1475" s="16" t="inlineStr"/>
      <c r="N1475" s="16" t="inlineStr"/>
      <c r="O1475" s="16" t="inlineStr"/>
    </row>
    <row r="1476" ht="72" customHeight="1">
      <c r="A1476" s="16" t="inlineStr">
        <is>
          <t>TC-MM-0433</t>
        </is>
      </c>
      <c r="B1476" s="16" t="inlineStr">
        <is>
          <t>Method x Body Matrix</t>
        </is>
      </c>
      <c r="C1476" s="16" t="inlineStr">
        <is>
          <t>DELETE + OAuth2ClientCreds + x-www-form-urlencoded</t>
        </is>
      </c>
      <c r="D1476" s="16" t="inlineStr">
        <is>
          <t>Functional</t>
        </is>
      </c>
      <c r="E1476" s="16" t="inlineStr">
        <is>
          <t>DELETE with OAuth2ClientCreds auth and x-www-form-urlencoded body</t>
        </is>
      </c>
      <c r="F1476" s="16" t="inlineStr">
        <is>
          <t>Editor open.</t>
        </is>
      </c>
      <c r="G1476" s="16" t="inlineStr">
        <is>
          <t>1. New request; method DELETE; URL to an echo endpoint.
2. Auth type OAuth2ClientCreds; configure minimum credentials.
3. Body type x-www-form-urlencoded; provide minimum valid content.
4. Send and inspect outgoing wire request (DevTools/proxy).</t>
        </is>
      </c>
      <c r="H1476" s="16" t="inlineStr">
        <is>
          <t>method=DELETE auth=OAuth2ClientCreds body=x-www-form-urlencoded</t>
        </is>
      </c>
      <c r="I1476" s="16" t="inlineStr">
        <is>
          <t>Access token acquired (or refreshed); attached as Bearer; DELETE sent with x-www-form-urlencoded body; server returns expected status.</t>
        </is>
      </c>
      <c r="J1476" s="16" t="inlineStr"/>
      <c r="K1476" s="16" t="inlineStr">
        <is>
          <t>Not Run</t>
        </is>
      </c>
      <c r="L1476" s="16" t="inlineStr">
        <is>
          <t>Medium</t>
        </is>
      </c>
      <c r="M1476" s="16" t="inlineStr"/>
      <c r="N1476" s="16" t="inlineStr"/>
      <c r="O1476" s="16" t="inlineStr"/>
    </row>
    <row r="1477" ht="72" customHeight="1">
      <c r="A1477" s="16" t="inlineStr">
        <is>
          <t>TC-MM-0434</t>
        </is>
      </c>
      <c r="B1477" s="16" t="inlineStr">
        <is>
          <t>Method x Body Matrix</t>
        </is>
      </c>
      <c r="C1477" s="16" t="inlineStr">
        <is>
          <t>DELETE + OAuth2ClientCreds + raw-json</t>
        </is>
      </c>
      <c r="D1477" s="16" t="inlineStr">
        <is>
          <t>Functional</t>
        </is>
      </c>
      <c r="E1477" s="16" t="inlineStr">
        <is>
          <t>DELETE with OAuth2ClientCreds auth and raw-json body</t>
        </is>
      </c>
      <c r="F1477" s="16" t="inlineStr">
        <is>
          <t>Editor open.</t>
        </is>
      </c>
      <c r="G1477" s="16" t="inlineStr">
        <is>
          <t>1. New request; method DELETE; URL to an echo endpoint.
2. Auth type OAuth2ClientCreds; configure minimum credentials.
3. Body type raw-json; provide minimum valid content.
4. Send and inspect outgoing wire request (DevTools/proxy).</t>
        </is>
      </c>
      <c r="H1477" s="16" t="inlineStr">
        <is>
          <t>method=DELETE auth=OAuth2ClientCreds body=raw-json</t>
        </is>
      </c>
      <c r="I1477" s="16" t="inlineStr">
        <is>
          <t>Access token acquired (or refreshed); attached as Bearer; DELETE sent with raw-json body; server returns expected status.</t>
        </is>
      </c>
      <c r="J1477" s="16" t="inlineStr"/>
      <c r="K1477" s="16" t="inlineStr">
        <is>
          <t>Not Run</t>
        </is>
      </c>
      <c r="L1477" s="16" t="inlineStr">
        <is>
          <t>Medium</t>
        </is>
      </c>
      <c r="M1477" s="16" t="inlineStr"/>
      <c r="N1477" s="16" t="inlineStr"/>
      <c r="O1477" s="16" t="inlineStr"/>
    </row>
    <row r="1478" ht="72" customHeight="1">
      <c r="A1478" s="16" t="inlineStr">
        <is>
          <t>TC-MM-0435</t>
        </is>
      </c>
      <c r="B1478" s="16" t="inlineStr">
        <is>
          <t>Method x Body Matrix</t>
        </is>
      </c>
      <c r="C1478" s="16" t="inlineStr">
        <is>
          <t>DELETE + OAuth2ClientCreds + raw-xml</t>
        </is>
      </c>
      <c r="D1478" s="16" t="inlineStr">
        <is>
          <t>Functional</t>
        </is>
      </c>
      <c r="E1478" s="16" t="inlineStr">
        <is>
          <t>DELETE with OAuth2ClientCreds auth and raw-xml body</t>
        </is>
      </c>
      <c r="F1478" s="16" t="inlineStr">
        <is>
          <t>Editor open.</t>
        </is>
      </c>
      <c r="G1478" s="16" t="inlineStr">
        <is>
          <t>1. New request; method DELETE; URL to an echo endpoint.
2. Auth type OAuth2ClientCreds; configure minimum credentials.
3. Body type raw-xml; provide minimum valid content.
4. Send and inspect outgoing wire request (DevTools/proxy).</t>
        </is>
      </c>
      <c r="H1478" s="16" t="inlineStr">
        <is>
          <t>method=DELETE auth=OAuth2ClientCreds body=raw-xml</t>
        </is>
      </c>
      <c r="I1478" s="16" t="inlineStr">
        <is>
          <t>Access token acquired (or refreshed); attached as Bearer; DELETE sent with raw-xml body; server returns expected status.</t>
        </is>
      </c>
      <c r="J1478" s="16" t="inlineStr"/>
      <c r="K1478" s="16" t="inlineStr">
        <is>
          <t>Not Run</t>
        </is>
      </c>
      <c r="L1478" s="16" t="inlineStr">
        <is>
          <t>Medium</t>
        </is>
      </c>
      <c r="M1478" s="16" t="inlineStr"/>
      <c r="N1478" s="16" t="inlineStr"/>
      <c r="O1478" s="16" t="inlineStr"/>
    </row>
    <row r="1479" ht="72" customHeight="1">
      <c r="A1479" s="16" t="inlineStr">
        <is>
          <t>TC-MM-0436</t>
        </is>
      </c>
      <c r="B1479" s="16" t="inlineStr">
        <is>
          <t>Method x Body Matrix</t>
        </is>
      </c>
      <c r="C1479" s="16" t="inlineStr">
        <is>
          <t>DELETE + OAuth2ClientCreds + raw-text</t>
        </is>
      </c>
      <c r="D1479" s="16" t="inlineStr">
        <is>
          <t>Functional</t>
        </is>
      </c>
      <c r="E1479" s="16" t="inlineStr">
        <is>
          <t>DELETE with OAuth2ClientCreds auth and raw-text body</t>
        </is>
      </c>
      <c r="F1479" s="16" t="inlineStr">
        <is>
          <t>Editor open.</t>
        </is>
      </c>
      <c r="G1479" s="16" t="inlineStr">
        <is>
          <t>1. New request; method DELETE; URL to an echo endpoint.
2. Auth type OAuth2ClientCreds; configure minimum credentials.
3. Body type raw-text; provide minimum valid content.
4. Send and inspect outgoing wire request (DevTools/proxy).</t>
        </is>
      </c>
      <c r="H1479" s="16" t="inlineStr">
        <is>
          <t>method=DELETE auth=OAuth2ClientCreds body=raw-text</t>
        </is>
      </c>
      <c r="I1479" s="16" t="inlineStr">
        <is>
          <t>Access token acquired (or refreshed); attached as Bearer; DELETE sent with raw-text body; server returns expected status.</t>
        </is>
      </c>
      <c r="J1479" s="16" t="inlineStr"/>
      <c r="K1479" s="16" t="inlineStr">
        <is>
          <t>Not Run</t>
        </is>
      </c>
      <c r="L1479" s="16" t="inlineStr">
        <is>
          <t>Medium</t>
        </is>
      </c>
      <c r="M1479" s="16" t="inlineStr"/>
      <c r="N1479" s="16" t="inlineStr"/>
      <c r="O1479" s="16" t="inlineStr"/>
    </row>
    <row r="1480" ht="72" customHeight="1">
      <c r="A1480" s="16" t="inlineStr">
        <is>
          <t>TC-MM-0437</t>
        </is>
      </c>
      <c r="B1480" s="16" t="inlineStr">
        <is>
          <t>Method x Body Matrix</t>
        </is>
      </c>
      <c r="C1480" s="16" t="inlineStr">
        <is>
          <t>DELETE + OAuth2ClientCreds + binary</t>
        </is>
      </c>
      <c r="D1480" s="16" t="inlineStr">
        <is>
          <t>Functional</t>
        </is>
      </c>
      <c r="E1480" s="16" t="inlineStr">
        <is>
          <t>DELETE with OAuth2ClientCreds auth and binary body</t>
        </is>
      </c>
      <c r="F1480" s="16" t="inlineStr">
        <is>
          <t>Editor open.</t>
        </is>
      </c>
      <c r="G1480" s="16" t="inlineStr">
        <is>
          <t>1. New request; method DELETE; URL to an echo endpoint.
2. Auth type OAuth2ClientCreds; configure minimum credentials.
3. Body type binary; provide minimum valid content.
4. Send and inspect outgoing wire request (DevTools/proxy).</t>
        </is>
      </c>
      <c r="H1480" s="16" t="inlineStr">
        <is>
          <t>method=DELETE auth=OAuth2ClientCreds body=binary</t>
        </is>
      </c>
      <c r="I1480" s="16" t="inlineStr">
        <is>
          <t>Access token acquired (or refreshed); attached as Bearer; DELETE sent with binary body; server returns expected status.</t>
        </is>
      </c>
      <c r="J1480" s="16" t="inlineStr"/>
      <c r="K1480" s="16" t="inlineStr">
        <is>
          <t>Not Run</t>
        </is>
      </c>
      <c r="L1480" s="16" t="inlineStr">
        <is>
          <t>Medium</t>
        </is>
      </c>
      <c r="M1480" s="16" t="inlineStr"/>
      <c r="N1480" s="16" t="inlineStr"/>
      <c r="O1480" s="16" t="inlineStr"/>
    </row>
    <row r="1481" ht="72" customHeight="1">
      <c r="A1481" s="16" t="inlineStr">
        <is>
          <t>TC-MM-0438</t>
        </is>
      </c>
      <c r="B1481" s="16" t="inlineStr">
        <is>
          <t>Method x Body Matrix</t>
        </is>
      </c>
      <c r="C1481" s="16" t="inlineStr">
        <is>
          <t>DELETE + OAuth2PKCE + none</t>
        </is>
      </c>
      <c r="D1481" s="16" t="inlineStr">
        <is>
          <t>Functional</t>
        </is>
      </c>
      <c r="E1481" s="16" t="inlineStr">
        <is>
          <t>DELETE with OAuth2PKCE auth and none body</t>
        </is>
      </c>
      <c r="F1481" s="16" t="inlineStr">
        <is>
          <t>Editor open.</t>
        </is>
      </c>
      <c r="G1481" s="16" t="inlineStr">
        <is>
          <t>1. New request; method DELETE; URL to an echo endpoint.
2. Auth type OAuth2PKCE; configure minimum credentials.
3. Body type none; provide minimum valid content.
4. Send and inspect outgoing wire request (DevTools/proxy).</t>
        </is>
      </c>
      <c r="H1481" s="16" t="inlineStr">
        <is>
          <t>method=DELETE auth=OAuth2PKCE body=none</t>
        </is>
      </c>
      <c r="I1481" s="16" t="inlineStr">
        <is>
          <t>Access token acquired (or refreshed); attached as Bearer; DELETE sent with none body; server returns expected status.</t>
        </is>
      </c>
      <c r="J1481" s="16" t="inlineStr"/>
      <c r="K1481" s="16" t="inlineStr">
        <is>
          <t>Not Run</t>
        </is>
      </c>
      <c r="L1481" s="16" t="inlineStr">
        <is>
          <t>Medium</t>
        </is>
      </c>
      <c r="M1481" s="16" t="inlineStr"/>
      <c r="N1481" s="16" t="inlineStr"/>
      <c r="O1481" s="16" t="inlineStr"/>
    </row>
    <row r="1482" ht="72" customHeight="1">
      <c r="A1482" s="16" t="inlineStr">
        <is>
          <t>TC-MM-0439</t>
        </is>
      </c>
      <c r="B1482" s="16" t="inlineStr">
        <is>
          <t>Method x Body Matrix</t>
        </is>
      </c>
      <c r="C1482" s="16" t="inlineStr">
        <is>
          <t>DELETE + OAuth2PKCE + form-data</t>
        </is>
      </c>
      <c r="D1482" s="16" t="inlineStr">
        <is>
          <t>Functional</t>
        </is>
      </c>
      <c r="E1482" s="16" t="inlineStr">
        <is>
          <t>DELETE with OAuth2PKCE auth and form-data body</t>
        </is>
      </c>
      <c r="F1482" s="16" t="inlineStr">
        <is>
          <t>Editor open.</t>
        </is>
      </c>
      <c r="G1482" s="16" t="inlineStr">
        <is>
          <t>1. New request; method DELETE; URL to an echo endpoint.
2. Auth type OAuth2PKCE; configure minimum credentials.
3. Body type form-data; provide minimum valid content.
4. Send and inspect outgoing wire request (DevTools/proxy).</t>
        </is>
      </c>
      <c r="H1482" s="16" t="inlineStr">
        <is>
          <t>method=DELETE auth=OAuth2PKCE body=form-data</t>
        </is>
      </c>
      <c r="I1482" s="16" t="inlineStr">
        <is>
          <t>Access token acquired (or refreshed); attached as Bearer; DELETE sent with form-data body; server returns expected status.</t>
        </is>
      </c>
      <c r="J1482" s="16" t="inlineStr"/>
      <c r="K1482" s="16" t="inlineStr">
        <is>
          <t>Not Run</t>
        </is>
      </c>
      <c r="L1482" s="16" t="inlineStr">
        <is>
          <t>Medium</t>
        </is>
      </c>
      <c r="M1482" s="16" t="inlineStr"/>
      <c r="N1482" s="16" t="inlineStr"/>
      <c r="O1482" s="16" t="inlineStr"/>
    </row>
    <row r="1483" ht="72" customHeight="1">
      <c r="A1483" s="16" t="inlineStr">
        <is>
          <t>TC-MM-0440</t>
        </is>
      </c>
      <c r="B1483" s="16" t="inlineStr">
        <is>
          <t>Method x Body Matrix</t>
        </is>
      </c>
      <c r="C1483" s="16" t="inlineStr">
        <is>
          <t>DELETE + OAuth2PKCE + x-www-form-urlencoded</t>
        </is>
      </c>
      <c r="D1483" s="16" t="inlineStr">
        <is>
          <t>Functional</t>
        </is>
      </c>
      <c r="E1483" s="16" t="inlineStr">
        <is>
          <t>DELETE with OAuth2PKCE auth and x-www-form-urlencoded body</t>
        </is>
      </c>
      <c r="F1483" s="16" t="inlineStr">
        <is>
          <t>Editor open.</t>
        </is>
      </c>
      <c r="G1483" s="16" t="inlineStr">
        <is>
          <t>1. New request; method DELETE; URL to an echo endpoint.
2. Auth type OAuth2PKCE; configure minimum credentials.
3. Body type x-www-form-urlencoded; provide minimum valid content.
4. Send and inspect outgoing wire request (DevTools/proxy).</t>
        </is>
      </c>
      <c r="H1483" s="16" t="inlineStr">
        <is>
          <t>method=DELETE auth=OAuth2PKCE body=x-www-form-urlencoded</t>
        </is>
      </c>
      <c r="I1483" s="16" t="inlineStr">
        <is>
          <t>Access token acquired (or refreshed); attached as Bearer; DELETE sent with x-www-form-urlencoded body; server returns expected status.</t>
        </is>
      </c>
      <c r="J1483" s="16" t="inlineStr"/>
      <c r="K1483" s="16" t="inlineStr">
        <is>
          <t>Not Run</t>
        </is>
      </c>
      <c r="L1483" s="16" t="inlineStr">
        <is>
          <t>Medium</t>
        </is>
      </c>
      <c r="M1483" s="16" t="inlineStr"/>
      <c r="N1483" s="16" t="inlineStr"/>
      <c r="O1483" s="16" t="inlineStr"/>
    </row>
    <row r="1484" ht="72" customHeight="1">
      <c r="A1484" s="16" t="inlineStr">
        <is>
          <t>TC-MM-0441</t>
        </is>
      </c>
      <c r="B1484" s="16" t="inlineStr">
        <is>
          <t>Method x Body Matrix</t>
        </is>
      </c>
      <c r="C1484" s="16" t="inlineStr">
        <is>
          <t>DELETE + OAuth2PKCE + raw-json</t>
        </is>
      </c>
      <c r="D1484" s="16" t="inlineStr">
        <is>
          <t>Functional</t>
        </is>
      </c>
      <c r="E1484" s="16" t="inlineStr">
        <is>
          <t>DELETE with OAuth2PKCE auth and raw-json body</t>
        </is>
      </c>
      <c r="F1484" s="16" t="inlineStr">
        <is>
          <t>Editor open.</t>
        </is>
      </c>
      <c r="G1484" s="16" t="inlineStr">
        <is>
          <t>1. New request; method DELETE; URL to an echo endpoint.
2. Auth type OAuth2PKCE; configure minimum credentials.
3. Body type raw-json; provide minimum valid content.
4. Send and inspect outgoing wire request (DevTools/proxy).</t>
        </is>
      </c>
      <c r="H1484" s="16" t="inlineStr">
        <is>
          <t>method=DELETE auth=OAuth2PKCE body=raw-json</t>
        </is>
      </c>
      <c r="I1484" s="16" t="inlineStr">
        <is>
          <t>Access token acquired (or refreshed); attached as Bearer; DELETE sent with raw-json body; server returns expected status.</t>
        </is>
      </c>
      <c r="J1484" s="16" t="inlineStr"/>
      <c r="K1484" s="16" t="inlineStr">
        <is>
          <t>Not Run</t>
        </is>
      </c>
      <c r="L1484" s="16" t="inlineStr">
        <is>
          <t>Medium</t>
        </is>
      </c>
      <c r="M1484" s="16" t="inlineStr"/>
      <c r="N1484" s="16" t="inlineStr"/>
      <c r="O1484" s="16" t="inlineStr"/>
    </row>
    <row r="1485" ht="72" customHeight="1">
      <c r="A1485" s="16" t="inlineStr">
        <is>
          <t>TC-MM-0442</t>
        </is>
      </c>
      <c r="B1485" s="16" t="inlineStr">
        <is>
          <t>Method x Body Matrix</t>
        </is>
      </c>
      <c r="C1485" s="16" t="inlineStr">
        <is>
          <t>DELETE + OAuth2PKCE + raw-xml</t>
        </is>
      </c>
      <c r="D1485" s="16" t="inlineStr">
        <is>
          <t>Functional</t>
        </is>
      </c>
      <c r="E1485" s="16" t="inlineStr">
        <is>
          <t>DELETE with OAuth2PKCE auth and raw-xml body</t>
        </is>
      </c>
      <c r="F1485" s="16" t="inlineStr">
        <is>
          <t>Editor open.</t>
        </is>
      </c>
      <c r="G1485" s="16" t="inlineStr">
        <is>
          <t>1. New request; method DELETE; URL to an echo endpoint.
2. Auth type OAuth2PKCE; configure minimum credentials.
3. Body type raw-xml; provide minimum valid content.
4. Send and inspect outgoing wire request (DevTools/proxy).</t>
        </is>
      </c>
      <c r="H1485" s="16" t="inlineStr">
        <is>
          <t>method=DELETE auth=OAuth2PKCE body=raw-xml</t>
        </is>
      </c>
      <c r="I1485" s="16" t="inlineStr">
        <is>
          <t>Access token acquired (or refreshed); attached as Bearer; DELETE sent with raw-xml body; server returns expected status.</t>
        </is>
      </c>
      <c r="J1485" s="16" t="inlineStr"/>
      <c r="K1485" s="16" t="inlineStr">
        <is>
          <t>Not Run</t>
        </is>
      </c>
      <c r="L1485" s="16" t="inlineStr">
        <is>
          <t>Medium</t>
        </is>
      </c>
      <c r="M1485" s="16" t="inlineStr"/>
      <c r="N1485" s="16" t="inlineStr"/>
      <c r="O1485" s="16" t="inlineStr"/>
    </row>
    <row r="1486" ht="72" customHeight="1">
      <c r="A1486" s="16" t="inlineStr">
        <is>
          <t>TC-MM-0443</t>
        </is>
      </c>
      <c r="B1486" s="16" t="inlineStr">
        <is>
          <t>Method x Body Matrix</t>
        </is>
      </c>
      <c r="C1486" s="16" t="inlineStr">
        <is>
          <t>DELETE + OAuth2PKCE + raw-text</t>
        </is>
      </c>
      <c r="D1486" s="16" t="inlineStr">
        <is>
          <t>Functional</t>
        </is>
      </c>
      <c r="E1486" s="16" t="inlineStr">
        <is>
          <t>DELETE with OAuth2PKCE auth and raw-text body</t>
        </is>
      </c>
      <c r="F1486" s="16" t="inlineStr">
        <is>
          <t>Editor open.</t>
        </is>
      </c>
      <c r="G1486" s="16" t="inlineStr">
        <is>
          <t>1. New request; method DELETE; URL to an echo endpoint.
2. Auth type OAuth2PKCE; configure minimum credentials.
3. Body type raw-text; provide minimum valid content.
4. Send and inspect outgoing wire request (DevTools/proxy).</t>
        </is>
      </c>
      <c r="H1486" s="16" t="inlineStr">
        <is>
          <t>method=DELETE auth=OAuth2PKCE body=raw-text</t>
        </is>
      </c>
      <c r="I1486" s="16" t="inlineStr">
        <is>
          <t>Access token acquired (or refreshed); attached as Bearer; DELETE sent with raw-text body; server returns expected status.</t>
        </is>
      </c>
      <c r="J1486" s="16" t="inlineStr"/>
      <c r="K1486" s="16" t="inlineStr">
        <is>
          <t>Not Run</t>
        </is>
      </c>
      <c r="L1486" s="16" t="inlineStr">
        <is>
          <t>Medium</t>
        </is>
      </c>
      <c r="M1486" s="16" t="inlineStr"/>
      <c r="N1486" s="16" t="inlineStr"/>
      <c r="O1486" s="16" t="inlineStr"/>
    </row>
    <row r="1487" ht="72" customHeight="1">
      <c r="A1487" s="16" t="inlineStr">
        <is>
          <t>TC-MM-0444</t>
        </is>
      </c>
      <c r="B1487" s="16" t="inlineStr">
        <is>
          <t>Method x Body Matrix</t>
        </is>
      </c>
      <c r="C1487" s="16" t="inlineStr">
        <is>
          <t>DELETE + OAuth2PKCE + binary</t>
        </is>
      </c>
      <c r="D1487" s="16" t="inlineStr">
        <is>
          <t>Functional</t>
        </is>
      </c>
      <c r="E1487" s="16" t="inlineStr">
        <is>
          <t>DELETE with OAuth2PKCE auth and binary body</t>
        </is>
      </c>
      <c r="F1487" s="16" t="inlineStr">
        <is>
          <t>Editor open.</t>
        </is>
      </c>
      <c r="G1487" s="16" t="inlineStr">
        <is>
          <t>1. New request; method DELETE; URL to an echo endpoint.
2. Auth type OAuth2PKCE; configure minimum credentials.
3. Body type binary; provide minimum valid content.
4. Send and inspect outgoing wire request (DevTools/proxy).</t>
        </is>
      </c>
      <c r="H1487" s="16" t="inlineStr">
        <is>
          <t>method=DELETE auth=OAuth2PKCE body=binary</t>
        </is>
      </c>
      <c r="I1487" s="16" t="inlineStr">
        <is>
          <t>Access token acquired (or refreshed); attached as Bearer; DELETE sent with binary body; server returns expected status.</t>
        </is>
      </c>
      <c r="J1487" s="16" t="inlineStr"/>
      <c r="K1487" s="16" t="inlineStr">
        <is>
          <t>Not Run</t>
        </is>
      </c>
      <c r="L1487" s="16" t="inlineStr">
        <is>
          <t>Medium</t>
        </is>
      </c>
      <c r="M1487" s="16" t="inlineStr"/>
      <c r="N1487" s="16" t="inlineStr"/>
      <c r="O1487" s="16" t="inlineStr"/>
    </row>
    <row r="1488" ht="72" customHeight="1">
      <c r="A1488" s="16" t="inlineStr">
        <is>
          <t>TC-MM-0445</t>
        </is>
      </c>
      <c r="B1488" s="16" t="inlineStr">
        <is>
          <t>Method x Body Matrix</t>
        </is>
      </c>
      <c r="C1488" s="16" t="inlineStr">
        <is>
          <t>DELETE + Digest + none</t>
        </is>
      </c>
      <c r="D1488" s="16" t="inlineStr">
        <is>
          <t>Functional</t>
        </is>
      </c>
      <c r="E1488" s="16" t="inlineStr">
        <is>
          <t>DELETE with Digest auth and none body</t>
        </is>
      </c>
      <c r="F1488" s="16" t="inlineStr">
        <is>
          <t>Editor open.</t>
        </is>
      </c>
      <c r="G1488" s="16" t="inlineStr">
        <is>
          <t>1. New request; method DELETE; URL to an echo endpoint.
2. Auth type Digest; configure minimum credentials.
3. Body type none; provide minimum valid content.
4. Send and inspect outgoing wire request (DevTools/proxy).</t>
        </is>
      </c>
      <c r="H1488" s="16" t="inlineStr">
        <is>
          <t>method=DELETE auth=Digest body=none</t>
        </is>
      </c>
      <c r="I1488" s="16" t="inlineStr">
        <is>
          <t>Digest auth applied correctly; none body sent with right Content-Type; server returns expected status.</t>
        </is>
      </c>
      <c r="J1488" s="16" t="inlineStr"/>
      <c r="K1488" s="16" t="inlineStr">
        <is>
          <t>Not Run</t>
        </is>
      </c>
      <c r="L1488" s="16" t="inlineStr">
        <is>
          <t>Medium</t>
        </is>
      </c>
      <c r="M1488" s="16" t="inlineStr"/>
      <c r="N1488" s="16" t="inlineStr"/>
      <c r="O1488" s="16" t="inlineStr"/>
    </row>
    <row r="1489" ht="72" customHeight="1">
      <c r="A1489" s="16" t="inlineStr">
        <is>
          <t>TC-MM-0446</t>
        </is>
      </c>
      <c r="B1489" s="16" t="inlineStr">
        <is>
          <t>Method x Body Matrix</t>
        </is>
      </c>
      <c r="C1489" s="16" t="inlineStr">
        <is>
          <t>DELETE + Digest + form-data</t>
        </is>
      </c>
      <c r="D1489" s="16" t="inlineStr">
        <is>
          <t>Functional</t>
        </is>
      </c>
      <c r="E1489" s="16" t="inlineStr">
        <is>
          <t>DELETE with Digest auth and form-data body</t>
        </is>
      </c>
      <c r="F1489" s="16" t="inlineStr">
        <is>
          <t>Editor open.</t>
        </is>
      </c>
      <c r="G1489" s="16" t="inlineStr">
        <is>
          <t>1. New request; method DELETE; URL to an echo endpoint.
2. Auth type Digest; configure minimum credentials.
3. Body type form-data; provide minimum valid content.
4. Send and inspect outgoing wire request (DevTools/proxy).</t>
        </is>
      </c>
      <c r="H1489" s="16" t="inlineStr">
        <is>
          <t>method=DELETE auth=Digest body=form-data</t>
        </is>
      </c>
      <c r="I1489" s="16" t="inlineStr">
        <is>
          <t>Digest auth applied correctly; form-data body sent with right Content-Type; server returns expected status.</t>
        </is>
      </c>
      <c r="J1489" s="16" t="inlineStr"/>
      <c r="K1489" s="16" t="inlineStr">
        <is>
          <t>Not Run</t>
        </is>
      </c>
      <c r="L1489" s="16" t="inlineStr">
        <is>
          <t>Medium</t>
        </is>
      </c>
      <c r="M1489" s="16" t="inlineStr"/>
      <c r="N1489" s="16" t="inlineStr"/>
      <c r="O1489" s="16" t="inlineStr"/>
    </row>
    <row r="1490" ht="72" customHeight="1">
      <c r="A1490" s="16" t="inlineStr">
        <is>
          <t>TC-MM-0447</t>
        </is>
      </c>
      <c r="B1490" s="16" t="inlineStr">
        <is>
          <t>Method x Body Matrix</t>
        </is>
      </c>
      <c r="C1490" s="16" t="inlineStr">
        <is>
          <t>DELETE + Digest + x-www-form-urlencoded</t>
        </is>
      </c>
      <c r="D1490" s="16" t="inlineStr">
        <is>
          <t>Functional</t>
        </is>
      </c>
      <c r="E1490" s="16" t="inlineStr">
        <is>
          <t>DELETE with Digest auth and x-www-form-urlencoded body</t>
        </is>
      </c>
      <c r="F1490" s="16" t="inlineStr">
        <is>
          <t>Editor open.</t>
        </is>
      </c>
      <c r="G1490" s="16" t="inlineStr">
        <is>
          <t>1. New request; method DELETE; URL to an echo endpoint.
2. Auth type Digest; configure minimum credentials.
3. Body type x-www-form-urlencoded; provide minimum valid content.
4. Send and inspect outgoing wire request (DevTools/proxy).</t>
        </is>
      </c>
      <c r="H1490" s="16" t="inlineStr">
        <is>
          <t>method=DELETE auth=Digest body=x-www-form-urlencoded</t>
        </is>
      </c>
      <c r="I1490" s="16" t="inlineStr">
        <is>
          <t>Digest auth applied correctly; x-www-form-urlencoded body sent with right Content-Type; server returns expected status.</t>
        </is>
      </c>
      <c r="J1490" s="16" t="inlineStr"/>
      <c r="K1490" s="16" t="inlineStr">
        <is>
          <t>Not Run</t>
        </is>
      </c>
      <c r="L1490" s="16" t="inlineStr">
        <is>
          <t>Medium</t>
        </is>
      </c>
      <c r="M1490" s="16" t="inlineStr"/>
      <c r="N1490" s="16" t="inlineStr"/>
      <c r="O1490" s="16" t="inlineStr"/>
    </row>
    <row r="1491" ht="72" customHeight="1">
      <c r="A1491" s="16" t="inlineStr">
        <is>
          <t>TC-MM-0448</t>
        </is>
      </c>
      <c r="B1491" s="16" t="inlineStr">
        <is>
          <t>Method x Body Matrix</t>
        </is>
      </c>
      <c r="C1491" s="16" t="inlineStr">
        <is>
          <t>DELETE + Digest + raw-json</t>
        </is>
      </c>
      <c r="D1491" s="16" t="inlineStr">
        <is>
          <t>Functional</t>
        </is>
      </c>
      <c r="E1491" s="16" t="inlineStr">
        <is>
          <t>DELETE with Digest auth and raw-json body</t>
        </is>
      </c>
      <c r="F1491" s="16" t="inlineStr">
        <is>
          <t>Editor open.</t>
        </is>
      </c>
      <c r="G1491" s="16" t="inlineStr">
        <is>
          <t>1. New request; method DELETE; URL to an echo endpoint.
2. Auth type Digest; configure minimum credentials.
3. Body type raw-json; provide minimum valid content.
4. Send and inspect outgoing wire request (DevTools/proxy).</t>
        </is>
      </c>
      <c r="H1491" s="16" t="inlineStr">
        <is>
          <t>method=DELETE auth=Digest body=raw-json</t>
        </is>
      </c>
      <c r="I1491" s="16" t="inlineStr">
        <is>
          <t>Digest auth applied correctly; raw-json body sent with right Content-Type; server returns expected status.</t>
        </is>
      </c>
      <c r="J1491" s="16" t="inlineStr"/>
      <c r="K1491" s="16" t="inlineStr">
        <is>
          <t>Not Run</t>
        </is>
      </c>
      <c r="L1491" s="16" t="inlineStr">
        <is>
          <t>Medium</t>
        </is>
      </c>
      <c r="M1491" s="16" t="inlineStr"/>
      <c r="N1491" s="16" t="inlineStr"/>
      <c r="O1491" s="16" t="inlineStr"/>
    </row>
    <row r="1492" ht="72" customHeight="1">
      <c r="A1492" s="16" t="inlineStr">
        <is>
          <t>TC-MM-0449</t>
        </is>
      </c>
      <c r="B1492" s="16" t="inlineStr">
        <is>
          <t>Method x Body Matrix</t>
        </is>
      </c>
      <c r="C1492" s="16" t="inlineStr">
        <is>
          <t>DELETE + Digest + raw-xml</t>
        </is>
      </c>
      <c r="D1492" s="16" t="inlineStr">
        <is>
          <t>Functional</t>
        </is>
      </c>
      <c r="E1492" s="16" t="inlineStr">
        <is>
          <t>DELETE with Digest auth and raw-xml body</t>
        </is>
      </c>
      <c r="F1492" s="16" t="inlineStr">
        <is>
          <t>Editor open.</t>
        </is>
      </c>
      <c r="G1492" s="16" t="inlineStr">
        <is>
          <t>1. New request; method DELETE; URL to an echo endpoint.
2. Auth type Digest; configure minimum credentials.
3. Body type raw-xml; provide minimum valid content.
4. Send and inspect outgoing wire request (DevTools/proxy).</t>
        </is>
      </c>
      <c r="H1492" s="16" t="inlineStr">
        <is>
          <t>method=DELETE auth=Digest body=raw-xml</t>
        </is>
      </c>
      <c r="I1492" s="16" t="inlineStr">
        <is>
          <t>Digest auth applied correctly; raw-xml body sent with right Content-Type; server returns expected status.</t>
        </is>
      </c>
      <c r="J1492" s="16" t="inlineStr"/>
      <c r="K1492" s="16" t="inlineStr">
        <is>
          <t>Not Run</t>
        </is>
      </c>
      <c r="L1492" s="16" t="inlineStr">
        <is>
          <t>Medium</t>
        </is>
      </c>
      <c r="M1492" s="16" t="inlineStr"/>
      <c r="N1492" s="16" t="inlineStr"/>
      <c r="O1492" s="16" t="inlineStr"/>
    </row>
    <row r="1493" ht="72" customHeight="1">
      <c r="A1493" s="16" t="inlineStr">
        <is>
          <t>TC-MM-0450</t>
        </is>
      </c>
      <c r="B1493" s="16" t="inlineStr">
        <is>
          <t>Method x Body Matrix</t>
        </is>
      </c>
      <c r="C1493" s="16" t="inlineStr">
        <is>
          <t>DELETE + Digest + raw-text</t>
        </is>
      </c>
      <c r="D1493" s="16" t="inlineStr">
        <is>
          <t>Functional</t>
        </is>
      </c>
      <c r="E1493" s="16" t="inlineStr">
        <is>
          <t>DELETE with Digest auth and raw-text body</t>
        </is>
      </c>
      <c r="F1493" s="16" t="inlineStr">
        <is>
          <t>Editor open.</t>
        </is>
      </c>
      <c r="G1493" s="16" t="inlineStr">
        <is>
          <t>1. New request; method DELETE; URL to an echo endpoint.
2. Auth type Digest; configure minimum credentials.
3. Body type raw-text; provide minimum valid content.
4. Send and inspect outgoing wire request (DevTools/proxy).</t>
        </is>
      </c>
      <c r="H1493" s="16" t="inlineStr">
        <is>
          <t>method=DELETE auth=Digest body=raw-text</t>
        </is>
      </c>
      <c r="I1493" s="16" t="inlineStr">
        <is>
          <t>Digest auth applied correctly; raw-text body sent with right Content-Type; server returns expected status.</t>
        </is>
      </c>
      <c r="J1493" s="16" t="inlineStr"/>
      <c r="K1493" s="16" t="inlineStr">
        <is>
          <t>Not Run</t>
        </is>
      </c>
      <c r="L1493" s="16" t="inlineStr">
        <is>
          <t>Medium</t>
        </is>
      </c>
      <c r="M1493" s="16" t="inlineStr"/>
      <c r="N1493" s="16" t="inlineStr"/>
      <c r="O1493" s="16" t="inlineStr"/>
    </row>
    <row r="1494" ht="72" customHeight="1">
      <c r="A1494" s="16" t="inlineStr">
        <is>
          <t>TC-MM-0451</t>
        </is>
      </c>
      <c r="B1494" s="16" t="inlineStr">
        <is>
          <t>Method x Body Matrix</t>
        </is>
      </c>
      <c r="C1494" s="16" t="inlineStr">
        <is>
          <t>DELETE + Digest + binary</t>
        </is>
      </c>
      <c r="D1494" s="16" t="inlineStr">
        <is>
          <t>Functional</t>
        </is>
      </c>
      <c r="E1494" s="16" t="inlineStr">
        <is>
          <t>DELETE with Digest auth and binary body</t>
        </is>
      </c>
      <c r="F1494" s="16" t="inlineStr">
        <is>
          <t>Editor open.</t>
        </is>
      </c>
      <c r="G1494" s="16" t="inlineStr">
        <is>
          <t>1. New request; method DELETE; URL to an echo endpoint.
2. Auth type Digest; configure minimum credentials.
3. Body type binary; provide minimum valid content.
4. Send and inspect outgoing wire request (DevTools/proxy).</t>
        </is>
      </c>
      <c r="H1494" s="16" t="inlineStr">
        <is>
          <t>method=DELETE auth=Digest body=binary</t>
        </is>
      </c>
      <c r="I1494" s="16" t="inlineStr">
        <is>
          <t>Digest auth applied correctly; binary body sent with right Content-Type; server returns expected status.</t>
        </is>
      </c>
      <c r="J1494" s="16" t="inlineStr"/>
      <c r="K1494" s="16" t="inlineStr">
        <is>
          <t>Not Run</t>
        </is>
      </c>
      <c r="L1494" s="16" t="inlineStr">
        <is>
          <t>Medium</t>
        </is>
      </c>
      <c r="M1494" s="16" t="inlineStr"/>
      <c r="N1494" s="16" t="inlineStr"/>
      <c r="O1494" s="16" t="inlineStr"/>
    </row>
    <row r="1495" ht="72" customHeight="1">
      <c r="A1495" s="16" t="inlineStr">
        <is>
          <t>TC-MM-0452</t>
        </is>
      </c>
      <c r="B1495" s="16" t="inlineStr">
        <is>
          <t>Method x Body Matrix</t>
        </is>
      </c>
      <c r="C1495" s="16" t="inlineStr">
        <is>
          <t>DELETE + NTLM + none</t>
        </is>
      </c>
      <c r="D1495" s="16" t="inlineStr">
        <is>
          <t>Functional</t>
        </is>
      </c>
      <c r="E1495" s="16" t="inlineStr">
        <is>
          <t>DELETE with NTLM auth and none body</t>
        </is>
      </c>
      <c r="F1495" s="16" t="inlineStr">
        <is>
          <t>Editor open.</t>
        </is>
      </c>
      <c r="G1495" s="16" t="inlineStr">
        <is>
          <t>1. New request; method DELETE; URL to an echo endpoint.
2. Auth type NTLM; configure minimum credentials.
3. Body type none; provide minimum valid content.
4. Send and inspect outgoing wire request (DevTools/proxy).</t>
        </is>
      </c>
      <c r="H1495" s="16" t="inlineStr">
        <is>
          <t>method=DELETE auth=NTLM body=none</t>
        </is>
      </c>
      <c r="I1495" s="16" t="inlineStr">
        <is>
          <t>NTLM auth applied correctly; none body sent with right Content-Type; server returns expected status.</t>
        </is>
      </c>
      <c r="J1495" s="16" t="inlineStr"/>
      <c r="K1495" s="16" t="inlineStr">
        <is>
          <t>Not Run</t>
        </is>
      </c>
      <c r="L1495" s="16" t="inlineStr">
        <is>
          <t>Medium</t>
        </is>
      </c>
      <c r="M1495" s="16" t="inlineStr"/>
      <c r="N1495" s="16" t="inlineStr"/>
      <c r="O1495" s="16" t="inlineStr"/>
    </row>
    <row r="1496" ht="72" customHeight="1">
      <c r="A1496" s="16" t="inlineStr">
        <is>
          <t>TC-MM-0453</t>
        </is>
      </c>
      <c r="B1496" s="16" t="inlineStr">
        <is>
          <t>Method x Body Matrix</t>
        </is>
      </c>
      <c r="C1496" s="16" t="inlineStr">
        <is>
          <t>DELETE + NTLM + form-data</t>
        </is>
      </c>
      <c r="D1496" s="16" t="inlineStr">
        <is>
          <t>Functional</t>
        </is>
      </c>
      <c r="E1496" s="16" t="inlineStr">
        <is>
          <t>DELETE with NTLM auth and form-data body</t>
        </is>
      </c>
      <c r="F1496" s="16" t="inlineStr">
        <is>
          <t>Editor open.</t>
        </is>
      </c>
      <c r="G1496" s="16" t="inlineStr">
        <is>
          <t>1. New request; method DELETE; URL to an echo endpoint.
2. Auth type NTLM; configure minimum credentials.
3. Body type form-data; provide minimum valid content.
4. Send and inspect outgoing wire request (DevTools/proxy).</t>
        </is>
      </c>
      <c r="H1496" s="16" t="inlineStr">
        <is>
          <t>method=DELETE auth=NTLM body=form-data</t>
        </is>
      </c>
      <c r="I1496" s="16" t="inlineStr">
        <is>
          <t>NTLM auth applied correctly; form-data body sent with right Content-Type; server returns expected status.</t>
        </is>
      </c>
      <c r="J1496" s="16" t="inlineStr"/>
      <c r="K1496" s="16" t="inlineStr">
        <is>
          <t>Not Run</t>
        </is>
      </c>
      <c r="L1496" s="16" t="inlineStr">
        <is>
          <t>Medium</t>
        </is>
      </c>
      <c r="M1496" s="16" t="inlineStr"/>
      <c r="N1496" s="16" t="inlineStr"/>
      <c r="O1496" s="16" t="inlineStr"/>
    </row>
    <row r="1497" ht="72" customHeight="1">
      <c r="A1497" s="16" t="inlineStr">
        <is>
          <t>TC-MM-0454</t>
        </is>
      </c>
      <c r="B1497" s="16" t="inlineStr">
        <is>
          <t>Method x Body Matrix</t>
        </is>
      </c>
      <c r="C1497" s="16" t="inlineStr">
        <is>
          <t>DELETE + NTLM + x-www-form-urlencoded</t>
        </is>
      </c>
      <c r="D1497" s="16" t="inlineStr">
        <is>
          <t>Functional</t>
        </is>
      </c>
      <c r="E1497" s="16" t="inlineStr">
        <is>
          <t>DELETE with NTLM auth and x-www-form-urlencoded body</t>
        </is>
      </c>
      <c r="F1497" s="16" t="inlineStr">
        <is>
          <t>Editor open.</t>
        </is>
      </c>
      <c r="G1497" s="16" t="inlineStr">
        <is>
          <t>1. New request; method DELETE; URL to an echo endpoint.
2. Auth type NTLM; configure minimum credentials.
3. Body type x-www-form-urlencoded; provide minimum valid content.
4. Send and inspect outgoing wire request (DevTools/proxy).</t>
        </is>
      </c>
      <c r="H1497" s="16" t="inlineStr">
        <is>
          <t>method=DELETE auth=NTLM body=x-www-form-urlencoded</t>
        </is>
      </c>
      <c r="I1497" s="16" t="inlineStr">
        <is>
          <t>NTLM auth applied correctly; x-www-form-urlencoded body sent with right Content-Type; server returns expected status.</t>
        </is>
      </c>
      <c r="J1497" s="16" t="inlineStr"/>
      <c r="K1497" s="16" t="inlineStr">
        <is>
          <t>Not Run</t>
        </is>
      </c>
      <c r="L1497" s="16" t="inlineStr">
        <is>
          <t>Medium</t>
        </is>
      </c>
      <c r="M1497" s="16" t="inlineStr"/>
      <c r="N1497" s="16" t="inlineStr"/>
      <c r="O1497" s="16" t="inlineStr"/>
    </row>
    <row r="1498" ht="72" customHeight="1">
      <c r="A1498" s="16" t="inlineStr">
        <is>
          <t>TC-MM-0455</t>
        </is>
      </c>
      <c r="B1498" s="16" t="inlineStr">
        <is>
          <t>Method x Body Matrix</t>
        </is>
      </c>
      <c r="C1498" s="16" t="inlineStr">
        <is>
          <t>DELETE + NTLM + raw-json</t>
        </is>
      </c>
      <c r="D1498" s="16" t="inlineStr">
        <is>
          <t>Functional</t>
        </is>
      </c>
      <c r="E1498" s="16" t="inlineStr">
        <is>
          <t>DELETE with NTLM auth and raw-json body</t>
        </is>
      </c>
      <c r="F1498" s="16" t="inlineStr">
        <is>
          <t>Editor open.</t>
        </is>
      </c>
      <c r="G1498" s="16" t="inlineStr">
        <is>
          <t>1. New request; method DELETE; URL to an echo endpoint.
2. Auth type NTLM; configure minimum credentials.
3. Body type raw-json; provide minimum valid content.
4. Send and inspect outgoing wire request (DevTools/proxy).</t>
        </is>
      </c>
      <c r="H1498" s="16" t="inlineStr">
        <is>
          <t>method=DELETE auth=NTLM body=raw-json</t>
        </is>
      </c>
      <c r="I1498" s="16" t="inlineStr">
        <is>
          <t>NTLM auth applied correctly; raw-json body sent with right Content-Type; server returns expected status.</t>
        </is>
      </c>
      <c r="J1498" s="16" t="inlineStr"/>
      <c r="K1498" s="16" t="inlineStr">
        <is>
          <t>Not Run</t>
        </is>
      </c>
      <c r="L1498" s="16" t="inlineStr">
        <is>
          <t>Medium</t>
        </is>
      </c>
      <c r="M1498" s="16" t="inlineStr"/>
      <c r="N1498" s="16" t="inlineStr"/>
      <c r="O1498" s="16" t="inlineStr"/>
    </row>
    <row r="1499" ht="72" customHeight="1">
      <c r="A1499" s="16" t="inlineStr">
        <is>
          <t>TC-MM-0456</t>
        </is>
      </c>
      <c r="B1499" s="16" t="inlineStr">
        <is>
          <t>Method x Body Matrix</t>
        </is>
      </c>
      <c r="C1499" s="16" t="inlineStr">
        <is>
          <t>DELETE + NTLM + raw-xml</t>
        </is>
      </c>
      <c r="D1499" s="16" t="inlineStr">
        <is>
          <t>Functional</t>
        </is>
      </c>
      <c r="E1499" s="16" t="inlineStr">
        <is>
          <t>DELETE with NTLM auth and raw-xml body</t>
        </is>
      </c>
      <c r="F1499" s="16" t="inlineStr">
        <is>
          <t>Editor open.</t>
        </is>
      </c>
      <c r="G1499" s="16" t="inlineStr">
        <is>
          <t>1. New request; method DELETE; URL to an echo endpoint.
2. Auth type NTLM; configure minimum credentials.
3. Body type raw-xml; provide minimum valid content.
4. Send and inspect outgoing wire request (DevTools/proxy).</t>
        </is>
      </c>
      <c r="H1499" s="16" t="inlineStr">
        <is>
          <t>method=DELETE auth=NTLM body=raw-xml</t>
        </is>
      </c>
      <c r="I1499" s="16" t="inlineStr">
        <is>
          <t>NTLM auth applied correctly; raw-xml body sent with right Content-Type; server returns expected status.</t>
        </is>
      </c>
      <c r="J1499" s="16" t="inlineStr"/>
      <c r="K1499" s="16" t="inlineStr">
        <is>
          <t>Not Run</t>
        </is>
      </c>
      <c r="L1499" s="16" t="inlineStr">
        <is>
          <t>Medium</t>
        </is>
      </c>
      <c r="M1499" s="16" t="inlineStr"/>
      <c r="N1499" s="16" t="inlineStr"/>
      <c r="O1499" s="16" t="inlineStr"/>
    </row>
    <row r="1500" ht="72" customHeight="1">
      <c r="A1500" s="16" t="inlineStr">
        <is>
          <t>TC-MM-0457</t>
        </is>
      </c>
      <c r="B1500" s="16" t="inlineStr">
        <is>
          <t>Method x Body Matrix</t>
        </is>
      </c>
      <c r="C1500" s="16" t="inlineStr">
        <is>
          <t>DELETE + NTLM + raw-text</t>
        </is>
      </c>
      <c r="D1500" s="16" t="inlineStr">
        <is>
          <t>Functional</t>
        </is>
      </c>
      <c r="E1500" s="16" t="inlineStr">
        <is>
          <t>DELETE with NTLM auth and raw-text body</t>
        </is>
      </c>
      <c r="F1500" s="16" t="inlineStr">
        <is>
          <t>Editor open.</t>
        </is>
      </c>
      <c r="G1500" s="16" t="inlineStr">
        <is>
          <t>1. New request; method DELETE; URL to an echo endpoint.
2. Auth type NTLM; configure minimum credentials.
3. Body type raw-text; provide minimum valid content.
4. Send and inspect outgoing wire request (DevTools/proxy).</t>
        </is>
      </c>
      <c r="H1500" s="16" t="inlineStr">
        <is>
          <t>method=DELETE auth=NTLM body=raw-text</t>
        </is>
      </c>
      <c r="I1500" s="16" t="inlineStr">
        <is>
          <t>NTLM auth applied correctly; raw-text body sent with right Content-Type; server returns expected status.</t>
        </is>
      </c>
      <c r="J1500" s="16" t="inlineStr"/>
      <c r="K1500" s="16" t="inlineStr">
        <is>
          <t>Not Run</t>
        </is>
      </c>
      <c r="L1500" s="16" t="inlineStr">
        <is>
          <t>Medium</t>
        </is>
      </c>
      <c r="M1500" s="16" t="inlineStr"/>
      <c r="N1500" s="16" t="inlineStr"/>
      <c r="O1500" s="16" t="inlineStr"/>
    </row>
    <row r="1501" ht="72" customHeight="1">
      <c r="A1501" s="16" t="inlineStr">
        <is>
          <t>TC-MM-0458</t>
        </is>
      </c>
      <c r="B1501" s="16" t="inlineStr">
        <is>
          <t>Method x Body Matrix</t>
        </is>
      </c>
      <c r="C1501" s="16" t="inlineStr">
        <is>
          <t>DELETE + NTLM + binary</t>
        </is>
      </c>
      <c r="D1501" s="16" t="inlineStr">
        <is>
          <t>Functional</t>
        </is>
      </c>
      <c r="E1501" s="16" t="inlineStr">
        <is>
          <t>DELETE with NTLM auth and binary body</t>
        </is>
      </c>
      <c r="F1501" s="16" t="inlineStr">
        <is>
          <t>Editor open.</t>
        </is>
      </c>
      <c r="G1501" s="16" t="inlineStr">
        <is>
          <t>1. New request; method DELETE; URL to an echo endpoint.
2. Auth type NTLM; configure minimum credentials.
3. Body type binary; provide minimum valid content.
4. Send and inspect outgoing wire request (DevTools/proxy).</t>
        </is>
      </c>
      <c r="H1501" s="16" t="inlineStr">
        <is>
          <t>method=DELETE auth=NTLM body=binary</t>
        </is>
      </c>
      <c r="I1501" s="16" t="inlineStr">
        <is>
          <t>NTLM auth applied correctly; binary body sent with right Content-Type; server returns expected status.</t>
        </is>
      </c>
      <c r="J1501" s="16" t="inlineStr"/>
      <c r="K1501" s="16" t="inlineStr">
        <is>
          <t>Not Run</t>
        </is>
      </c>
      <c r="L1501" s="16" t="inlineStr">
        <is>
          <t>Medium</t>
        </is>
      </c>
      <c r="M1501" s="16" t="inlineStr"/>
      <c r="N1501" s="16" t="inlineStr"/>
      <c r="O1501" s="16" t="inlineStr"/>
    </row>
    <row r="1502" ht="72" customHeight="1">
      <c r="A1502" s="16" t="inlineStr">
        <is>
          <t>TC-MM-0459</t>
        </is>
      </c>
      <c r="B1502" s="16" t="inlineStr">
        <is>
          <t>Method x Body Matrix</t>
        </is>
      </c>
      <c r="C1502" s="16" t="inlineStr">
        <is>
          <t>HEAD + None + form-data</t>
        </is>
      </c>
      <c r="D1502" s="16" t="inlineStr">
        <is>
          <t>Edge Case</t>
        </is>
      </c>
      <c r="E1502" s="16" t="inlineStr">
        <is>
          <t>HEAD with None auth and form-data body</t>
        </is>
      </c>
      <c r="F1502" s="16" t="inlineStr">
        <is>
          <t>Editor open.</t>
        </is>
      </c>
      <c r="G1502" s="16" t="inlineStr">
        <is>
          <t>1. New request; method HEAD; URL to an echo endpoint.
2. Auth type None; configure minimum credentials.
3. Body type form-data; provide minimum valid content.
4. Send and inspect outgoing wire request (DevTools/proxy).</t>
        </is>
      </c>
      <c r="H1502" s="16" t="inlineStr">
        <is>
          <t>method=HEAD auth=None body=form-data</t>
        </is>
      </c>
      <c r="I1502" s="16" t="inlineStr">
        <is>
          <t>App allows configuring form-data body for HEAD; verifies wire behavior (sent or stripped) is consistent. Auth header sent regardless.</t>
        </is>
      </c>
      <c r="J1502" s="16" t="inlineStr"/>
      <c r="K1502" s="16" t="inlineStr">
        <is>
          <t>Not Run</t>
        </is>
      </c>
      <c r="L1502" s="16" t="inlineStr">
        <is>
          <t>Low</t>
        </is>
      </c>
      <c r="M1502" s="16" t="inlineStr"/>
      <c r="N1502" s="16" t="inlineStr"/>
      <c r="O1502" s="16" t="inlineStr"/>
    </row>
    <row r="1503" ht="72" customHeight="1">
      <c r="A1503" s="16" t="inlineStr">
        <is>
          <t>TC-MM-0460</t>
        </is>
      </c>
      <c r="B1503" s="16" t="inlineStr">
        <is>
          <t>Method x Body Matrix</t>
        </is>
      </c>
      <c r="C1503" s="16" t="inlineStr">
        <is>
          <t>HEAD + None + x-www-form-urlencoded</t>
        </is>
      </c>
      <c r="D1503" s="16" t="inlineStr">
        <is>
          <t>Edge Case</t>
        </is>
      </c>
      <c r="E1503" s="16" t="inlineStr">
        <is>
          <t>HEAD with None auth and x-www-form-urlencoded body</t>
        </is>
      </c>
      <c r="F1503" s="16" t="inlineStr">
        <is>
          <t>Editor open.</t>
        </is>
      </c>
      <c r="G1503" s="16" t="inlineStr">
        <is>
          <t>1. New request; method HEAD; URL to an echo endpoint.
2. Auth type None; configure minimum credentials.
3. Body type x-www-form-urlencoded; provide minimum valid content.
4. Send and inspect outgoing wire request (DevTools/proxy).</t>
        </is>
      </c>
      <c r="H1503" s="16" t="inlineStr">
        <is>
          <t>method=HEAD auth=None body=x-www-form-urlencoded</t>
        </is>
      </c>
      <c r="I1503" s="16" t="inlineStr">
        <is>
          <t>App allows configuring x-www-form-urlencoded body for HEAD; verifies wire behavior (sent or stripped) is consistent. Auth header sent regardless.</t>
        </is>
      </c>
      <c r="J1503" s="16" t="inlineStr"/>
      <c r="K1503" s="16" t="inlineStr">
        <is>
          <t>Not Run</t>
        </is>
      </c>
      <c r="L1503" s="16" t="inlineStr">
        <is>
          <t>Low</t>
        </is>
      </c>
      <c r="M1503" s="16" t="inlineStr"/>
      <c r="N1503" s="16" t="inlineStr"/>
      <c r="O1503" s="16" t="inlineStr"/>
    </row>
    <row r="1504" ht="72" customHeight="1">
      <c r="A1504" s="16" t="inlineStr">
        <is>
          <t>TC-MM-0461</t>
        </is>
      </c>
      <c r="B1504" s="16" t="inlineStr">
        <is>
          <t>Method x Body Matrix</t>
        </is>
      </c>
      <c r="C1504" s="16" t="inlineStr">
        <is>
          <t>HEAD + None + raw-json</t>
        </is>
      </c>
      <c r="D1504" s="16" t="inlineStr">
        <is>
          <t>Edge Case</t>
        </is>
      </c>
      <c r="E1504" s="16" t="inlineStr">
        <is>
          <t>HEAD with None auth and raw-json body</t>
        </is>
      </c>
      <c r="F1504" s="16" t="inlineStr">
        <is>
          <t>Editor open.</t>
        </is>
      </c>
      <c r="G1504" s="16" t="inlineStr">
        <is>
          <t>1. New request; method HEAD; URL to an echo endpoint.
2. Auth type None; configure minimum credentials.
3. Body type raw-json; provide minimum valid content.
4. Send and inspect outgoing wire request (DevTools/proxy).</t>
        </is>
      </c>
      <c r="H1504" s="16" t="inlineStr">
        <is>
          <t>method=HEAD auth=None body=raw-json</t>
        </is>
      </c>
      <c r="I1504" s="16" t="inlineStr">
        <is>
          <t>App allows configuring raw-json body for HEAD; verifies wire behavior (sent or stripped) is consistent. Auth header sent regardless.</t>
        </is>
      </c>
      <c r="J1504" s="16" t="inlineStr"/>
      <c r="K1504" s="16" t="inlineStr">
        <is>
          <t>Not Run</t>
        </is>
      </c>
      <c r="L1504" s="16" t="inlineStr">
        <is>
          <t>Low</t>
        </is>
      </c>
      <c r="M1504" s="16" t="inlineStr"/>
      <c r="N1504" s="16" t="inlineStr"/>
      <c r="O1504" s="16" t="inlineStr"/>
    </row>
    <row r="1505" ht="72" customHeight="1">
      <c r="A1505" s="16" t="inlineStr">
        <is>
          <t>TC-MM-0462</t>
        </is>
      </c>
      <c r="B1505" s="16" t="inlineStr">
        <is>
          <t>Method x Body Matrix</t>
        </is>
      </c>
      <c r="C1505" s="16" t="inlineStr">
        <is>
          <t>HEAD + None + raw-xml</t>
        </is>
      </c>
      <c r="D1505" s="16" t="inlineStr">
        <is>
          <t>Edge Case</t>
        </is>
      </c>
      <c r="E1505" s="16" t="inlineStr">
        <is>
          <t>HEAD with None auth and raw-xml body</t>
        </is>
      </c>
      <c r="F1505" s="16" t="inlineStr">
        <is>
          <t>Editor open.</t>
        </is>
      </c>
      <c r="G1505" s="16" t="inlineStr">
        <is>
          <t>1. New request; method HEAD; URL to an echo endpoint.
2. Auth type None; configure minimum credentials.
3. Body type raw-xml; provide minimum valid content.
4. Send and inspect outgoing wire request (DevTools/proxy).</t>
        </is>
      </c>
      <c r="H1505" s="16" t="inlineStr">
        <is>
          <t>method=HEAD auth=None body=raw-xml</t>
        </is>
      </c>
      <c r="I1505" s="16" t="inlineStr">
        <is>
          <t>App allows configuring raw-xml body for HEAD; verifies wire behavior (sent or stripped) is consistent. Auth header sent regardless.</t>
        </is>
      </c>
      <c r="J1505" s="16" t="inlineStr"/>
      <c r="K1505" s="16" t="inlineStr">
        <is>
          <t>Not Run</t>
        </is>
      </c>
      <c r="L1505" s="16" t="inlineStr">
        <is>
          <t>Low</t>
        </is>
      </c>
      <c r="M1505" s="16" t="inlineStr"/>
      <c r="N1505" s="16" t="inlineStr"/>
      <c r="O1505" s="16" t="inlineStr"/>
    </row>
    <row r="1506" ht="72" customHeight="1">
      <c r="A1506" s="16" t="inlineStr">
        <is>
          <t>TC-MM-0463</t>
        </is>
      </c>
      <c r="B1506" s="16" t="inlineStr">
        <is>
          <t>Method x Body Matrix</t>
        </is>
      </c>
      <c r="C1506" s="16" t="inlineStr">
        <is>
          <t>HEAD + None + raw-text</t>
        </is>
      </c>
      <c r="D1506" s="16" t="inlineStr">
        <is>
          <t>Edge Case</t>
        </is>
      </c>
      <c r="E1506" s="16" t="inlineStr">
        <is>
          <t>HEAD with None auth and raw-text body</t>
        </is>
      </c>
      <c r="F1506" s="16" t="inlineStr">
        <is>
          <t>Editor open.</t>
        </is>
      </c>
      <c r="G1506" s="16" t="inlineStr">
        <is>
          <t>1. New request; method HEAD; URL to an echo endpoint.
2. Auth type None; configure minimum credentials.
3. Body type raw-text; provide minimum valid content.
4. Send and inspect outgoing wire request (DevTools/proxy).</t>
        </is>
      </c>
      <c r="H1506" s="16" t="inlineStr">
        <is>
          <t>method=HEAD auth=None body=raw-text</t>
        </is>
      </c>
      <c r="I1506" s="16" t="inlineStr">
        <is>
          <t>App allows configuring raw-text body for HEAD; verifies wire behavior (sent or stripped) is consistent. Auth header sent regardless.</t>
        </is>
      </c>
      <c r="J1506" s="16" t="inlineStr"/>
      <c r="K1506" s="16" t="inlineStr">
        <is>
          <t>Not Run</t>
        </is>
      </c>
      <c r="L1506" s="16" t="inlineStr">
        <is>
          <t>Low</t>
        </is>
      </c>
      <c r="M1506" s="16" t="inlineStr"/>
      <c r="N1506" s="16" t="inlineStr"/>
      <c r="O1506" s="16" t="inlineStr"/>
    </row>
    <row r="1507" ht="72" customHeight="1">
      <c r="A1507" s="16" t="inlineStr">
        <is>
          <t>TC-MM-0464</t>
        </is>
      </c>
      <c r="B1507" s="16" t="inlineStr">
        <is>
          <t>Method x Body Matrix</t>
        </is>
      </c>
      <c r="C1507" s="16" t="inlineStr">
        <is>
          <t>HEAD + None + binary</t>
        </is>
      </c>
      <c r="D1507" s="16" t="inlineStr">
        <is>
          <t>Edge Case</t>
        </is>
      </c>
      <c r="E1507" s="16" t="inlineStr">
        <is>
          <t>HEAD with None auth and binary body</t>
        </is>
      </c>
      <c r="F1507" s="16" t="inlineStr">
        <is>
          <t>Editor open.</t>
        </is>
      </c>
      <c r="G1507" s="16" t="inlineStr">
        <is>
          <t>1. New request; method HEAD; URL to an echo endpoint.
2. Auth type None; configure minimum credentials.
3. Body type binary; provide minimum valid content.
4. Send and inspect outgoing wire request (DevTools/proxy).</t>
        </is>
      </c>
      <c r="H1507" s="16" t="inlineStr">
        <is>
          <t>method=HEAD auth=None body=binary</t>
        </is>
      </c>
      <c r="I1507" s="16" t="inlineStr">
        <is>
          <t>App allows configuring binary body for HEAD; verifies wire behavior (sent or stripped) is consistent. Auth header sent regardless.</t>
        </is>
      </c>
      <c r="J1507" s="16" t="inlineStr"/>
      <c r="K1507" s="16" t="inlineStr">
        <is>
          <t>Not Run</t>
        </is>
      </c>
      <c r="L1507" s="16" t="inlineStr">
        <is>
          <t>Low</t>
        </is>
      </c>
      <c r="M1507" s="16" t="inlineStr"/>
      <c r="N1507" s="16" t="inlineStr"/>
      <c r="O1507" s="16" t="inlineStr"/>
    </row>
    <row r="1508" ht="72" customHeight="1">
      <c r="A1508" s="16" t="inlineStr">
        <is>
          <t>TC-MM-0465</t>
        </is>
      </c>
      <c r="B1508" s="16" t="inlineStr">
        <is>
          <t>Method x Body Matrix</t>
        </is>
      </c>
      <c r="C1508" s="16" t="inlineStr">
        <is>
          <t>HEAD + Bearer + none</t>
        </is>
      </c>
      <c r="D1508" s="16" t="inlineStr">
        <is>
          <t>Functional</t>
        </is>
      </c>
      <c r="E1508" s="16" t="inlineStr">
        <is>
          <t>HEAD with Bearer auth and none body</t>
        </is>
      </c>
      <c r="F1508" s="16" t="inlineStr">
        <is>
          <t>Editor open.</t>
        </is>
      </c>
      <c r="G1508" s="16" t="inlineStr">
        <is>
          <t>1. New request; method HEAD; URL to an echo endpoint.
2. Auth type Bearer; configure minimum credentials.
3. Body type none; provide minimum valid content.
4. Send and inspect outgoing wire request (DevTools/proxy).</t>
        </is>
      </c>
      <c r="H1508" s="16" t="inlineStr">
        <is>
          <t>method=HEAD auth=Bearer body=none</t>
        </is>
      </c>
      <c r="I1508" s="16" t="inlineStr">
        <is>
          <t>Bearer auth applied correctly; none body sent with right Content-Type; server returns expected status.</t>
        </is>
      </c>
      <c r="J1508" s="16" t="inlineStr"/>
      <c r="K1508" s="16" t="inlineStr">
        <is>
          <t>Not Run</t>
        </is>
      </c>
      <c r="L1508" s="16" t="inlineStr">
        <is>
          <t>Medium</t>
        </is>
      </c>
      <c r="M1508" s="16" t="inlineStr"/>
      <c r="N1508" s="16" t="inlineStr"/>
      <c r="O1508" s="16" t="inlineStr"/>
    </row>
    <row r="1509" ht="72" customHeight="1">
      <c r="A1509" s="16" t="inlineStr">
        <is>
          <t>TC-MM-0466</t>
        </is>
      </c>
      <c r="B1509" s="16" t="inlineStr">
        <is>
          <t>Method x Body Matrix</t>
        </is>
      </c>
      <c r="C1509" s="16" t="inlineStr">
        <is>
          <t>HEAD + Bearer + form-data</t>
        </is>
      </c>
      <c r="D1509" s="16" t="inlineStr">
        <is>
          <t>Edge Case</t>
        </is>
      </c>
      <c r="E1509" s="16" t="inlineStr">
        <is>
          <t>HEAD with Bearer auth and form-data body</t>
        </is>
      </c>
      <c r="F1509" s="16" t="inlineStr">
        <is>
          <t>Editor open.</t>
        </is>
      </c>
      <c r="G1509" s="16" t="inlineStr">
        <is>
          <t>1. New request; method HEAD; URL to an echo endpoint.
2. Auth type Bearer; configure minimum credentials.
3. Body type form-data; provide minimum valid content.
4. Send and inspect outgoing wire request (DevTools/proxy).</t>
        </is>
      </c>
      <c r="H1509" s="16" t="inlineStr">
        <is>
          <t>method=HEAD auth=Bearer body=form-data</t>
        </is>
      </c>
      <c r="I1509" s="16" t="inlineStr">
        <is>
          <t>App allows configuring form-data body for HEAD; verifies wire behavior (sent or stripped) is consistent. Auth header sent regardless.</t>
        </is>
      </c>
      <c r="J1509" s="16" t="inlineStr"/>
      <c r="K1509" s="16" t="inlineStr">
        <is>
          <t>Not Run</t>
        </is>
      </c>
      <c r="L1509" s="16" t="inlineStr">
        <is>
          <t>Low</t>
        </is>
      </c>
      <c r="M1509" s="16" t="inlineStr"/>
      <c r="N1509" s="16" t="inlineStr"/>
      <c r="O1509" s="16" t="inlineStr"/>
    </row>
    <row r="1510" ht="72" customHeight="1">
      <c r="A1510" s="16" t="inlineStr">
        <is>
          <t>TC-MM-0467</t>
        </is>
      </c>
      <c r="B1510" s="16" t="inlineStr">
        <is>
          <t>Method x Body Matrix</t>
        </is>
      </c>
      <c r="C1510" s="16" t="inlineStr">
        <is>
          <t>HEAD + Bearer + x-www-form-urlencoded</t>
        </is>
      </c>
      <c r="D1510" s="16" t="inlineStr">
        <is>
          <t>Edge Case</t>
        </is>
      </c>
      <c r="E1510" s="16" t="inlineStr">
        <is>
          <t>HEAD with Bearer auth and x-www-form-urlencoded body</t>
        </is>
      </c>
      <c r="F1510" s="16" t="inlineStr">
        <is>
          <t>Editor open.</t>
        </is>
      </c>
      <c r="G1510" s="16" t="inlineStr">
        <is>
          <t>1. New request; method HEAD; URL to an echo endpoint.
2. Auth type Bearer; configure minimum credentials.
3. Body type x-www-form-urlencoded; provide minimum valid content.
4. Send and inspect outgoing wire request (DevTools/proxy).</t>
        </is>
      </c>
      <c r="H1510" s="16" t="inlineStr">
        <is>
          <t>method=HEAD auth=Bearer body=x-www-form-urlencoded</t>
        </is>
      </c>
      <c r="I1510" s="16" t="inlineStr">
        <is>
          <t>App allows configuring x-www-form-urlencoded body for HEAD; verifies wire behavior (sent or stripped) is consistent. Auth header sent regardless.</t>
        </is>
      </c>
      <c r="J1510" s="16" t="inlineStr"/>
      <c r="K1510" s="16" t="inlineStr">
        <is>
          <t>Not Run</t>
        </is>
      </c>
      <c r="L1510" s="16" t="inlineStr">
        <is>
          <t>Low</t>
        </is>
      </c>
      <c r="M1510" s="16" t="inlineStr"/>
      <c r="N1510" s="16" t="inlineStr"/>
      <c r="O1510" s="16" t="inlineStr"/>
    </row>
    <row r="1511" ht="72" customHeight="1">
      <c r="A1511" s="16" t="inlineStr">
        <is>
          <t>TC-MM-0468</t>
        </is>
      </c>
      <c r="B1511" s="16" t="inlineStr">
        <is>
          <t>Method x Body Matrix</t>
        </is>
      </c>
      <c r="C1511" s="16" t="inlineStr">
        <is>
          <t>HEAD + Bearer + raw-json</t>
        </is>
      </c>
      <c r="D1511" s="16" t="inlineStr">
        <is>
          <t>Edge Case</t>
        </is>
      </c>
      <c r="E1511" s="16" t="inlineStr">
        <is>
          <t>HEAD with Bearer auth and raw-json body</t>
        </is>
      </c>
      <c r="F1511" s="16" t="inlineStr">
        <is>
          <t>Editor open.</t>
        </is>
      </c>
      <c r="G1511" s="16" t="inlineStr">
        <is>
          <t>1. New request; method HEAD; URL to an echo endpoint.
2. Auth type Bearer; configure minimum credentials.
3. Body type raw-json; provide minimum valid content.
4. Send and inspect outgoing wire request (DevTools/proxy).</t>
        </is>
      </c>
      <c r="H1511" s="16" t="inlineStr">
        <is>
          <t>method=HEAD auth=Bearer body=raw-json</t>
        </is>
      </c>
      <c r="I1511" s="16" t="inlineStr">
        <is>
          <t>App allows configuring raw-json body for HEAD; verifies wire behavior (sent or stripped) is consistent. Auth header sent regardless.</t>
        </is>
      </c>
      <c r="J1511" s="16" t="inlineStr"/>
      <c r="K1511" s="16" t="inlineStr">
        <is>
          <t>Not Run</t>
        </is>
      </c>
      <c r="L1511" s="16" t="inlineStr">
        <is>
          <t>Low</t>
        </is>
      </c>
      <c r="M1511" s="16" t="inlineStr"/>
      <c r="N1511" s="16" t="inlineStr"/>
      <c r="O1511" s="16" t="inlineStr"/>
    </row>
    <row r="1512" ht="72" customHeight="1">
      <c r="A1512" s="16" t="inlineStr">
        <is>
          <t>TC-MM-0469</t>
        </is>
      </c>
      <c r="B1512" s="16" t="inlineStr">
        <is>
          <t>Method x Body Matrix</t>
        </is>
      </c>
      <c r="C1512" s="16" t="inlineStr">
        <is>
          <t>HEAD + Bearer + raw-xml</t>
        </is>
      </c>
      <c r="D1512" s="16" t="inlineStr">
        <is>
          <t>Edge Case</t>
        </is>
      </c>
      <c r="E1512" s="16" t="inlineStr">
        <is>
          <t>HEAD with Bearer auth and raw-xml body</t>
        </is>
      </c>
      <c r="F1512" s="16" t="inlineStr">
        <is>
          <t>Editor open.</t>
        </is>
      </c>
      <c r="G1512" s="16" t="inlineStr">
        <is>
          <t>1. New request; method HEAD; URL to an echo endpoint.
2. Auth type Bearer; configure minimum credentials.
3. Body type raw-xml; provide minimum valid content.
4. Send and inspect outgoing wire request (DevTools/proxy).</t>
        </is>
      </c>
      <c r="H1512" s="16" t="inlineStr">
        <is>
          <t>method=HEAD auth=Bearer body=raw-xml</t>
        </is>
      </c>
      <c r="I1512" s="16" t="inlineStr">
        <is>
          <t>App allows configuring raw-xml body for HEAD; verifies wire behavior (sent or stripped) is consistent. Auth header sent regardless.</t>
        </is>
      </c>
      <c r="J1512" s="16" t="inlineStr"/>
      <c r="K1512" s="16" t="inlineStr">
        <is>
          <t>Not Run</t>
        </is>
      </c>
      <c r="L1512" s="16" t="inlineStr">
        <is>
          <t>Low</t>
        </is>
      </c>
      <c r="M1512" s="16" t="inlineStr"/>
      <c r="N1512" s="16" t="inlineStr"/>
      <c r="O1512" s="16" t="inlineStr"/>
    </row>
    <row r="1513" ht="72" customHeight="1">
      <c r="A1513" s="16" t="inlineStr">
        <is>
          <t>TC-MM-0470</t>
        </is>
      </c>
      <c r="B1513" s="16" t="inlineStr">
        <is>
          <t>Method x Body Matrix</t>
        </is>
      </c>
      <c r="C1513" s="16" t="inlineStr">
        <is>
          <t>HEAD + Bearer + raw-text</t>
        </is>
      </c>
      <c r="D1513" s="16" t="inlineStr">
        <is>
          <t>Edge Case</t>
        </is>
      </c>
      <c r="E1513" s="16" t="inlineStr">
        <is>
          <t>HEAD with Bearer auth and raw-text body</t>
        </is>
      </c>
      <c r="F1513" s="16" t="inlineStr">
        <is>
          <t>Editor open.</t>
        </is>
      </c>
      <c r="G1513" s="16" t="inlineStr">
        <is>
          <t>1. New request; method HEAD; URL to an echo endpoint.
2. Auth type Bearer; configure minimum credentials.
3. Body type raw-text; provide minimum valid content.
4. Send and inspect outgoing wire request (DevTools/proxy).</t>
        </is>
      </c>
      <c r="H1513" s="16" t="inlineStr">
        <is>
          <t>method=HEAD auth=Bearer body=raw-text</t>
        </is>
      </c>
      <c r="I1513" s="16" t="inlineStr">
        <is>
          <t>App allows configuring raw-text body for HEAD; verifies wire behavior (sent or stripped) is consistent. Auth header sent regardless.</t>
        </is>
      </c>
      <c r="J1513" s="16" t="inlineStr"/>
      <c r="K1513" s="16" t="inlineStr">
        <is>
          <t>Not Run</t>
        </is>
      </c>
      <c r="L1513" s="16" t="inlineStr">
        <is>
          <t>Low</t>
        </is>
      </c>
      <c r="M1513" s="16" t="inlineStr"/>
      <c r="N1513" s="16" t="inlineStr"/>
      <c r="O1513" s="16" t="inlineStr"/>
    </row>
    <row r="1514" ht="72" customHeight="1">
      <c r="A1514" s="16" t="inlineStr">
        <is>
          <t>TC-MM-0471</t>
        </is>
      </c>
      <c r="B1514" s="16" t="inlineStr">
        <is>
          <t>Method x Body Matrix</t>
        </is>
      </c>
      <c r="C1514" s="16" t="inlineStr">
        <is>
          <t>HEAD + Bearer + binary</t>
        </is>
      </c>
      <c r="D1514" s="16" t="inlineStr">
        <is>
          <t>Edge Case</t>
        </is>
      </c>
      <c r="E1514" s="16" t="inlineStr">
        <is>
          <t>HEAD with Bearer auth and binary body</t>
        </is>
      </c>
      <c r="F1514" s="16" t="inlineStr">
        <is>
          <t>Editor open.</t>
        </is>
      </c>
      <c r="G1514" s="16" t="inlineStr">
        <is>
          <t>1. New request; method HEAD; URL to an echo endpoint.
2. Auth type Bearer; configure minimum credentials.
3. Body type binary; provide minimum valid content.
4. Send and inspect outgoing wire request (DevTools/proxy).</t>
        </is>
      </c>
      <c r="H1514" s="16" t="inlineStr">
        <is>
          <t>method=HEAD auth=Bearer body=binary</t>
        </is>
      </c>
      <c r="I1514" s="16" t="inlineStr">
        <is>
          <t>App allows configuring binary body for HEAD; verifies wire behavior (sent or stripped) is consistent. Auth header sent regardless.</t>
        </is>
      </c>
      <c r="J1514" s="16" t="inlineStr"/>
      <c r="K1514" s="16" t="inlineStr">
        <is>
          <t>Not Run</t>
        </is>
      </c>
      <c r="L1514" s="16" t="inlineStr">
        <is>
          <t>Low</t>
        </is>
      </c>
      <c r="M1514" s="16" t="inlineStr"/>
      <c r="N1514" s="16" t="inlineStr"/>
      <c r="O1514" s="16" t="inlineStr"/>
    </row>
    <row r="1515" ht="72" customHeight="1">
      <c r="A1515" s="16" t="inlineStr">
        <is>
          <t>TC-MM-0472</t>
        </is>
      </c>
      <c r="B1515" s="16" t="inlineStr">
        <is>
          <t>Method x Body Matrix</t>
        </is>
      </c>
      <c r="C1515" s="16" t="inlineStr">
        <is>
          <t>HEAD + Basic + none</t>
        </is>
      </c>
      <c r="D1515" s="16" t="inlineStr">
        <is>
          <t>Functional</t>
        </is>
      </c>
      <c r="E1515" s="16" t="inlineStr">
        <is>
          <t>HEAD with Basic auth and none body</t>
        </is>
      </c>
      <c r="F1515" s="16" t="inlineStr">
        <is>
          <t>Editor open.</t>
        </is>
      </c>
      <c r="G1515" s="16" t="inlineStr">
        <is>
          <t>1. New request; method HEAD; URL to an echo endpoint.
2. Auth type Basic; configure minimum credentials.
3. Body type none; provide minimum valid content.
4. Send and inspect outgoing wire request (DevTools/proxy).</t>
        </is>
      </c>
      <c r="H1515" s="16" t="inlineStr">
        <is>
          <t>method=HEAD auth=Basic body=none</t>
        </is>
      </c>
      <c r="I1515" s="16" t="inlineStr">
        <is>
          <t>Basic auth applied correctly; none body sent with right Content-Type; server returns expected status.</t>
        </is>
      </c>
      <c r="J1515" s="16" t="inlineStr"/>
      <c r="K1515" s="16" t="inlineStr">
        <is>
          <t>Not Run</t>
        </is>
      </c>
      <c r="L1515" s="16" t="inlineStr">
        <is>
          <t>Medium</t>
        </is>
      </c>
      <c r="M1515" s="16" t="inlineStr"/>
      <c r="N1515" s="16" t="inlineStr"/>
      <c r="O1515" s="16" t="inlineStr"/>
    </row>
    <row r="1516" ht="72" customHeight="1">
      <c r="A1516" s="16" t="inlineStr">
        <is>
          <t>TC-MM-0473</t>
        </is>
      </c>
      <c r="B1516" s="16" t="inlineStr">
        <is>
          <t>Method x Body Matrix</t>
        </is>
      </c>
      <c r="C1516" s="16" t="inlineStr">
        <is>
          <t>HEAD + Basic + form-data</t>
        </is>
      </c>
      <c r="D1516" s="16" t="inlineStr">
        <is>
          <t>Edge Case</t>
        </is>
      </c>
      <c r="E1516" s="16" t="inlineStr">
        <is>
          <t>HEAD with Basic auth and form-data body</t>
        </is>
      </c>
      <c r="F1516" s="16" t="inlineStr">
        <is>
          <t>Editor open.</t>
        </is>
      </c>
      <c r="G1516" s="16" t="inlineStr">
        <is>
          <t>1. New request; method HEAD; URL to an echo endpoint.
2. Auth type Basic; configure minimum credentials.
3. Body type form-data; provide minimum valid content.
4. Send and inspect outgoing wire request (DevTools/proxy).</t>
        </is>
      </c>
      <c r="H1516" s="16" t="inlineStr">
        <is>
          <t>method=HEAD auth=Basic body=form-data</t>
        </is>
      </c>
      <c r="I1516" s="16" t="inlineStr">
        <is>
          <t>App allows configuring form-data body for HEAD; verifies wire behavior (sent or stripped) is consistent. Auth header sent regardless.</t>
        </is>
      </c>
      <c r="J1516" s="16" t="inlineStr"/>
      <c r="K1516" s="16" t="inlineStr">
        <is>
          <t>Not Run</t>
        </is>
      </c>
      <c r="L1516" s="16" t="inlineStr">
        <is>
          <t>Low</t>
        </is>
      </c>
      <c r="M1516" s="16" t="inlineStr"/>
      <c r="N1516" s="16" t="inlineStr"/>
      <c r="O1516" s="16" t="inlineStr"/>
    </row>
    <row r="1517" ht="72" customHeight="1">
      <c r="A1517" s="16" t="inlineStr">
        <is>
          <t>TC-MM-0474</t>
        </is>
      </c>
      <c r="B1517" s="16" t="inlineStr">
        <is>
          <t>Method x Body Matrix</t>
        </is>
      </c>
      <c r="C1517" s="16" t="inlineStr">
        <is>
          <t>HEAD + Basic + x-www-form-urlencoded</t>
        </is>
      </c>
      <c r="D1517" s="16" t="inlineStr">
        <is>
          <t>Edge Case</t>
        </is>
      </c>
      <c r="E1517" s="16" t="inlineStr">
        <is>
          <t>HEAD with Basic auth and x-www-form-urlencoded body</t>
        </is>
      </c>
      <c r="F1517" s="16" t="inlineStr">
        <is>
          <t>Editor open.</t>
        </is>
      </c>
      <c r="G1517" s="16" t="inlineStr">
        <is>
          <t>1. New request; method HEAD; URL to an echo endpoint.
2. Auth type Basic; configure minimum credentials.
3. Body type x-www-form-urlencoded; provide minimum valid content.
4. Send and inspect outgoing wire request (DevTools/proxy).</t>
        </is>
      </c>
      <c r="H1517" s="16" t="inlineStr">
        <is>
          <t>method=HEAD auth=Basic body=x-www-form-urlencoded</t>
        </is>
      </c>
      <c r="I1517" s="16" t="inlineStr">
        <is>
          <t>App allows configuring x-www-form-urlencoded body for HEAD; verifies wire behavior (sent or stripped) is consistent. Auth header sent regardless.</t>
        </is>
      </c>
      <c r="J1517" s="16" t="inlineStr"/>
      <c r="K1517" s="16" t="inlineStr">
        <is>
          <t>Not Run</t>
        </is>
      </c>
      <c r="L1517" s="16" t="inlineStr">
        <is>
          <t>Low</t>
        </is>
      </c>
      <c r="M1517" s="16" t="inlineStr"/>
      <c r="N1517" s="16" t="inlineStr"/>
      <c r="O1517" s="16" t="inlineStr"/>
    </row>
    <row r="1518" ht="72" customHeight="1">
      <c r="A1518" s="16" t="inlineStr">
        <is>
          <t>TC-MM-0475</t>
        </is>
      </c>
      <c r="B1518" s="16" t="inlineStr">
        <is>
          <t>Method x Body Matrix</t>
        </is>
      </c>
      <c r="C1518" s="16" t="inlineStr">
        <is>
          <t>HEAD + Basic + raw-json</t>
        </is>
      </c>
      <c r="D1518" s="16" t="inlineStr">
        <is>
          <t>Edge Case</t>
        </is>
      </c>
      <c r="E1518" s="16" t="inlineStr">
        <is>
          <t>HEAD with Basic auth and raw-json body</t>
        </is>
      </c>
      <c r="F1518" s="16" t="inlineStr">
        <is>
          <t>Editor open.</t>
        </is>
      </c>
      <c r="G1518" s="16" t="inlineStr">
        <is>
          <t>1. New request; method HEAD; URL to an echo endpoint.
2. Auth type Basic; configure minimum credentials.
3. Body type raw-json; provide minimum valid content.
4. Send and inspect outgoing wire request (DevTools/proxy).</t>
        </is>
      </c>
      <c r="H1518" s="16" t="inlineStr">
        <is>
          <t>method=HEAD auth=Basic body=raw-json</t>
        </is>
      </c>
      <c r="I1518" s="16" t="inlineStr">
        <is>
          <t>App allows configuring raw-json body for HEAD; verifies wire behavior (sent or stripped) is consistent. Auth header sent regardless.</t>
        </is>
      </c>
      <c r="J1518" s="16" t="inlineStr"/>
      <c r="K1518" s="16" t="inlineStr">
        <is>
          <t>Not Run</t>
        </is>
      </c>
      <c r="L1518" s="16" t="inlineStr">
        <is>
          <t>Low</t>
        </is>
      </c>
      <c r="M1518" s="16" t="inlineStr"/>
      <c r="N1518" s="16" t="inlineStr"/>
      <c r="O1518" s="16" t="inlineStr"/>
    </row>
    <row r="1519" ht="72" customHeight="1">
      <c r="A1519" s="16" t="inlineStr">
        <is>
          <t>TC-MM-0476</t>
        </is>
      </c>
      <c r="B1519" s="16" t="inlineStr">
        <is>
          <t>Method x Body Matrix</t>
        </is>
      </c>
      <c r="C1519" s="16" t="inlineStr">
        <is>
          <t>HEAD + Basic + raw-xml</t>
        </is>
      </c>
      <c r="D1519" s="16" t="inlineStr">
        <is>
          <t>Edge Case</t>
        </is>
      </c>
      <c r="E1519" s="16" t="inlineStr">
        <is>
          <t>HEAD with Basic auth and raw-xml body</t>
        </is>
      </c>
      <c r="F1519" s="16" t="inlineStr">
        <is>
          <t>Editor open.</t>
        </is>
      </c>
      <c r="G1519" s="16" t="inlineStr">
        <is>
          <t>1. New request; method HEAD; URL to an echo endpoint.
2. Auth type Basic; configure minimum credentials.
3. Body type raw-xml; provide minimum valid content.
4. Send and inspect outgoing wire request (DevTools/proxy).</t>
        </is>
      </c>
      <c r="H1519" s="16" t="inlineStr">
        <is>
          <t>method=HEAD auth=Basic body=raw-xml</t>
        </is>
      </c>
      <c r="I1519" s="16" t="inlineStr">
        <is>
          <t>App allows configuring raw-xml body for HEAD; verifies wire behavior (sent or stripped) is consistent. Auth header sent regardless.</t>
        </is>
      </c>
      <c r="J1519" s="16" t="inlineStr"/>
      <c r="K1519" s="16" t="inlineStr">
        <is>
          <t>Not Run</t>
        </is>
      </c>
      <c r="L1519" s="16" t="inlineStr">
        <is>
          <t>Low</t>
        </is>
      </c>
      <c r="M1519" s="16" t="inlineStr"/>
      <c r="N1519" s="16" t="inlineStr"/>
      <c r="O1519" s="16" t="inlineStr"/>
    </row>
    <row r="1520" ht="72" customHeight="1">
      <c r="A1520" s="16" t="inlineStr">
        <is>
          <t>TC-MM-0477</t>
        </is>
      </c>
      <c r="B1520" s="16" t="inlineStr">
        <is>
          <t>Method x Body Matrix</t>
        </is>
      </c>
      <c r="C1520" s="16" t="inlineStr">
        <is>
          <t>HEAD + Basic + raw-text</t>
        </is>
      </c>
      <c r="D1520" s="16" t="inlineStr">
        <is>
          <t>Edge Case</t>
        </is>
      </c>
      <c r="E1520" s="16" t="inlineStr">
        <is>
          <t>HEAD with Basic auth and raw-text body</t>
        </is>
      </c>
      <c r="F1520" s="16" t="inlineStr">
        <is>
          <t>Editor open.</t>
        </is>
      </c>
      <c r="G1520" s="16" t="inlineStr">
        <is>
          <t>1. New request; method HEAD; URL to an echo endpoint.
2. Auth type Basic; configure minimum credentials.
3. Body type raw-text; provide minimum valid content.
4. Send and inspect outgoing wire request (DevTools/proxy).</t>
        </is>
      </c>
      <c r="H1520" s="16" t="inlineStr">
        <is>
          <t>method=HEAD auth=Basic body=raw-text</t>
        </is>
      </c>
      <c r="I1520" s="16" t="inlineStr">
        <is>
          <t>App allows configuring raw-text body for HEAD; verifies wire behavior (sent or stripped) is consistent. Auth header sent regardless.</t>
        </is>
      </c>
      <c r="J1520" s="16" t="inlineStr"/>
      <c r="K1520" s="16" t="inlineStr">
        <is>
          <t>Not Run</t>
        </is>
      </c>
      <c r="L1520" s="16" t="inlineStr">
        <is>
          <t>Low</t>
        </is>
      </c>
      <c r="M1520" s="16" t="inlineStr"/>
      <c r="N1520" s="16" t="inlineStr"/>
      <c r="O1520" s="16" t="inlineStr"/>
    </row>
    <row r="1521" ht="72" customHeight="1">
      <c r="A1521" s="16" t="inlineStr">
        <is>
          <t>TC-MM-0478</t>
        </is>
      </c>
      <c r="B1521" s="16" t="inlineStr">
        <is>
          <t>Method x Body Matrix</t>
        </is>
      </c>
      <c r="C1521" s="16" t="inlineStr">
        <is>
          <t>HEAD + Basic + binary</t>
        </is>
      </c>
      <c r="D1521" s="16" t="inlineStr">
        <is>
          <t>Edge Case</t>
        </is>
      </c>
      <c r="E1521" s="16" t="inlineStr">
        <is>
          <t>HEAD with Basic auth and binary body</t>
        </is>
      </c>
      <c r="F1521" s="16" t="inlineStr">
        <is>
          <t>Editor open.</t>
        </is>
      </c>
      <c r="G1521" s="16" t="inlineStr">
        <is>
          <t>1. New request; method HEAD; URL to an echo endpoint.
2. Auth type Basic; configure minimum credentials.
3. Body type binary; provide minimum valid content.
4. Send and inspect outgoing wire request (DevTools/proxy).</t>
        </is>
      </c>
      <c r="H1521" s="16" t="inlineStr">
        <is>
          <t>method=HEAD auth=Basic body=binary</t>
        </is>
      </c>
      <c r="I1521" s="16" t="inlineStr">
        <is>
          <t>App allows configuring binary body for HEAD; verifies wire behavior (sent or stripped) is consistent. Auth header sent regardless.</t>
        </is>
      </c>
      <c r="J1521" s="16" t="inlineStr"/>
      <c r="K1521" s="16" t="inlineStr">
        <is>
          <t>Not Run</t>
        </is>
      </c>
      <c r="L1521" s="16" t="inlineStr">
        <is>
          <t>Low</t>
        </is>
      </c>
      <c r="M1521" s="16" t="inlineStr"/>
      <c r="N1521" s="16" t="inlineStr"/>
      <c r="O1521" s="16" t="inlineStr"/>
    </row>
    <row r="1522" ht="72" customHeight="1">
      <c r="A1522" s="16" t="inlineStr">
        <is>
          <t>TC-MM-0479</t>
        </is>
      </c>
      <c r="B1522" s="16" t="inlineStr">
        <is>
          <t>Method x Body Matrix</t>
        </is>
      </c>
      <c r="C1522" s="16" t="inlineStr">
        <is>
          <t>HEAD + ApiKeyHeader + none</t>
        </is>
      </c>
      <c r="D1522" s="16" t="inlineStr">
        <is>
          <t>Functional</t>
        </is>
      </c>
      <c r="E1522" s="16" t="inlineStr">
        <is>
          <t>HEAD with ApiKeyHeader auth and none body</t>
        </is>
      </c>
      <c r="F1522" s="16" t="inlineStr">
        <is>
          <t>Editor open.</t>
        </is>
      </c>
      <c r="G1522" s="16" t="inlineStr">
        <is>
          <t>1. New request; method HEAD; URL to an echo endpoint.
2. Auth type ApiKeyHeader; configure minimum credentials.
3. Body type none; provide minimum valid content.
4. Send and inspect outgoing wire request (DevTools/proxy).</t>
        </is>
      </c>
      <c r="H1522" s="16" t="inlineStr">
        <is>
          <t>method=HEAD auth=ApiKeyHeader body=none</t>
        </is>
      </c>
      <c r="I1522" s="16" t="inlineStr">
        <is>
          <t>ApiKeyHeader auth applied correctly; none body sent with right Content-Type; server returns expected status.</t>
        </is>
      </c>
      <c r="J1522" s="16" t="inlineStr"/>
      <c r="K1522" s="16" t="inlineStr">
        <is>
          <t>Not Run</t>
        </is>
      </c>
      <c r="L1522" s="16" t="inlineStr">
        <is>
          <t>Medium</t>
        </is>
      </c>
      <c r="M1522" s="16" t="inlineStr"/>
      <c r="N1522" s="16" t="inlineStr"/>
      <c r="O1522" s="16" t="inlineStr"/>
    </row>
    <row r="1523" ht="72" customHeight="1">
      <c r="A1523" s="16" t="inlineStr">
        <is>
          <t>TC-MM-0480</t>
        </is>
      </c>
      <c r="B1523" s="16" t="inlineStr">
        <is>
          <t>Method x Body Matrix</t>
        </is>
      </c>
      <c r="C1523" s="16" t="inlineStr">
        <is>
          <t>HEAD + ApiKeyHeader + form-data</t>
        </is>
      </c>
      <c r="D1523" s="16" t="inlineStr">
        <is>
          <t>Edge Case</t>
        </is>
      </c>
      <c r="E1523" s="16" t="inlineStr">
        <is>
          <t>HEAD with ApiKeyHeader auth and form-data body</t>
        </is>
      </c>
      <c r="F1523" s="16" t="inlineStr">
        <is>
          <t>Editor open.</t>
        </is>
      </c>
      <c r="G1523" s="16" t="inlineStr">
        <is>
          <t>1. New request; method HEAD; URL to an echo endpoint.
2. Auth type ApiKeyHeader; configure minimum credentials.
3. Body type form-data; provide minimum valid content.
4. Send and inspect outgoing wire request (DevTools/proxy).</t>
        </is>
      </c>
      <c r="H1523" s="16" t="inlineStr">
        <is>
          <t>method=HEAD auth=ApiKeyHeader body=form-data</t>
        </is>
      </c>
      <c r="I1523" s="16" t="inlineStr">
        <is>
          <t>App allows configuring form-data body for HEAD; verifies wire behavior (sent or stripped) is consistent. Auth header sent regardless.</t>
        </is>
      </c>
      <c r="J1523" s="16" t="inlineStr"/>
      <c r="K1523" s="16" t="inlineStr">
        <is>
          <t>Not Run</t>
        </is>
      </c>
      <c r="L1523" s="16" t="inlineStr">
        <is>
          <t>Low</t>
        </is>
      </c>
      <c r="M1523" s="16" t="inlineStr"/>
      <c r="N1523" s="16" t="inlineStr"/>
      <c r="O1523" s="16" t="inlineStr"/>
    </row>
    <row r="1524" ht="72" customHeight="1">
      <c r="A1524" s="16" t="inlineStr">
        <is>
          <t>TC-MM-0481</t>
        </is>
      </c>
      <c r="B1524" s="16" t="inlineStr">
        <is>
          <t>Method x Body Matrix</t>
        </is>
      </c>
      <c r="C1524" s="16" t="inlineStr">
        <is>
          <t>HEAD + ApiKeyHeader + x-www-form-urlencoded</t>
        </is>
      </c>
      <c r="D1524" s="16" t="inlineStr">
        <is>
          <t>Edge Case</t>
        </is>
      </c>
      <c r="E1524" s="16" t="inlineStr">
        <is>
          <t>HEAD with ApiKeyHeader auth and x-www-form-urlencoded body</t>
        </is>
      </c>
      <c r="F1524" s="16" t="inlineStr">
        <is>
          <t>Editor open.</t>
        </is>
      </c>
      <c r="G1524" s="16" t="inlineStr">
        <is>
          <t>1. New request; method HEAD; URL to an echo endpoint.
2. Auth type ApiKeyHeader; configure minimum credentials.
3. Body type x-www-form-urlencoded; provide minimum valid content.
4. Send and inspect outgoing wire request (DevTools/proxy).</t>
        </is>
      </c>
      <c r="H1524" s="16" t="inlineStr">
        <is>
          <t>method=HEAD auth=ApiKeyHeader body=x-www-form-urlencoded</t>
        </is>
      </c>
      <c r="I1524" s="16" t="inlineStr">
        <is>
          <t>App allows configuring x-www-form-urlencoded body for HEAD; verifies wire behavior (sent or stripped) is consistent. Auth header sent regardless.</t>
        </is>
      </c>
      <c r="J1524" s="16" t="inlineStr"/>
      <c r="K1524" s="16" t="inlineStr">
        <is>
          <t>Not Run</t>
        </is>
      </c>
      <c r="L1524" s="16" t="inlineStr">
        <is>
          <t>Low</t>
        </is>
      </c>
      <c r="M1524" s="16" t="inlineStr"/>
      <c r="N1524" s="16" t="inlineStr"/>
      <c r="O1524" s="16" t="inlineStr"/>
    </row>
    <row r="1525" ht="72" customHeight="1">
      <c r="A1525" s="16" t="inlineStr">
        <is>
          <t>TC-MM-0482</t>
        </is>
      </c>
      <c r="B1525" s="16" t="inlineStr">
        <is>
          <t>Method x Body Matrix</t>
        </is>
      </c>
      <c r="C1525" s="16" t="inlineStr">
        <is>
          <t>HEAD + ApiKeyHeader + raw-json</t>
        </is>
      </c>
      <c r="D1525" s="16" t="inlineStr">
        <is>
          <t>Edge Case</t>
        </is>
      </c>
      <c r="E1525" s="16" t="inlineStr">
        <is>
          <t>HEAD with ApiKeyHeader auth and raw-json body</t>
        </is>
      </c>
      <c r="F1525" s="16" t="inlineStr">
        <is>
          <t>Editor open.</t>
        </is>
      </c>
      <c r="G1525" s="16" t="inlineStr">
        <is>
          <t>1. New request; method HEAD; URL to an echo endpoint.
2. Auth type ApiKeyHeader; configure minimum credentials.
3. Body type raw-json; provide minimum valid content.
4. Send and inspect outgoing wire request (DevTools/proxy).</t>
        </is>
      </c>
      <c r="H1525" s="16" t="inlineStr">
        <is>
          <t>method=HEAD auth=ApiKeyHeader body=raw-json</t>
        </is>
      </c>
      <c r="I1525" s="16" t="inlineStr">
        <is>
          <t>App allows configuring raw-json body for HEAD; verifies wire behavior (sent or stripped) is consistent. Auth header sent regardless.</t>
        </is>
      </c>
      <c r="J1525" s="16" t="inlineStr"/>
      <c r="K1525" s="16" t="inlineStr">
        <is>
          <t>Not Run</t>
        </is>
      </c>
      <c r="L1525" s="16" t="inlineStr">
        <is>
          <t>Low</t>
        </is>
      </c>
      <c r="M1525" s="16" t="inlineStr"/>
      <c r="N1525" s="16" t="inlineStr"/>
      <c r="O1525" s="16" t="inlineStr"/>
    </row>
    <row r="1526" ht="72" customHeight="1">
      <c r="A1526" s="16" t="inlineStr">
        <is>
          <t>TC-MM-0483</t>
        </is>
      </c>
      <c r="B1526" s="16" t="inlineStr">
        <is>
          <t>Method x Body Matrix</t>
        </is>
      </c>
      <c r="C1526" s="16" t="inlineStr">
        <is>
          <t>HEAD + ApiKeyHeader + raw-xml</t>
        </is>
      </c>
      <c r="D1526" s="16" t="inlineStr">
        <is>
          <t>Edge Case</t>
        </is>
      </c>
      <c r="E1526" s="16" t="inlineStr">
        <is>
          <t>HEAD with ApiKeyHeader auth and raw-xml body</t>
        </is>
      </c>
      <c r="F1526" s="16" t="inlineStr">
        <is>
          <t>Editor open.</t>
        </is>
      </c>
      <c r="G1526" s="16" t="inlineStr">
        <is>
          <t>1. New request; method HEAD; URL to an echo endpoint.
2. Auth type ApiKeyHeader; configure minimum credentials.
3. Body type raw-xml; provide minimum valid content.
4. Send and inspect outgoing wire request (DevTools/proxy).</t>
        </is>
      </c>
      <c r="H1526" s="16" t="inlineStr">
        <is>
          <t>method=HEAD auth=ApiKeyHeader body=raw-xml</t>
        </is>
      </c>
      <c r="I1526" s="16" t="inlineStr">
        <is>
          <t>App allows configuring raw-xml body for HEAD; verifies wire behavior (sent or stripped) is consistent. Auth header sent regardless.</t>
        </is>
      </c>
      <c r="J1526" s="16" t="inlineStr"/>
      <c r="K1526" s="16" t="inlineStr">
        <is>
          <t>Not Run</t>
        </is>
      </c>
      <c r="L1526" s="16" t="inlineStr">
        <is>
          <t>Low</t>
        </is>
      </c>
      <c r="M1526" s="16" t="inlineStr"/>
      <c r="N1526" s="16" t="inlineStr"/>
      <c r="O1526" s="16" t="inlineStr"/>
    </row>
    <row r="1527" ht="72" customHeight="1">
      <c r="A1527" s="16" t="inlineStr">
        <is>
          <t>TC-MM-0484</t>
        </is>
      </c>
      <c r="B1527" s="16" t="inlineStr">
        <is>
          <t>Method x Body Matrix</t>
        </is>
      </c>
      <c r="C1527" s="16" t="inlineStr">
        <is>
          <t>HEAD + ApiKeyHeader + raw-text</t>
        </is>
      </c>
      <c r="D1527" s="16" t="inlineStr">
        <is>
          <t>Edge Case</t>
        </is>
      </c>
      <c r="E1527" s="16" t="inlineStr">
        <is>
          <t>HEAD with ApiKeyHeader auth and raw-text body</t>
        </is>
      </c>
      <c r="F1527" s="16" t="inlineStr">
        <is>
          <t>Editor open.</t>
        </is>
      </c>
      <c r="G1527" s="16" t="inlineStr">
        <is>
          <t>1. New request; method HEAD; URL to an echo endpoint.
2. Auth type ApiKeyHeader; configure minimum credentials.
3. Body type raw-text; provide minimum valid content.
4. Send and inspect outgoing wire request (DevTools/proxy).</t>
        </is>
      </c>
      <c r="H1527" s="16" t="inlineStr">
        <is>
          <t>method=HEAD auth=ApiKeyHeader body=raw-text</t>
        </is>
      </c>
      <c r="I1527" s="16" t="inlineStr">
        <is>
          <t>App allows configuring raw-text body for HEAD; verifies wire behavior (sent or stripped) is consistent. Auth header sent regardless.</t>
        </is>
      </c>
      <c r="J1527" s="16" t="inlineStr"/>
      <c r="K1527" s="16" t="inlineStr">
        <is>
          <t>Not Run</t>
        </is>
      </c>
      <c r="L1527" s="16" t="inlineStr">
        <is>
          <t>Low</t>
        </is>
      </c>
      <c r="M1527" s="16" t="inlineStr"/>
      <c r="N1527" s="16" t="inlineStr"/>
      <c r="O1527" s="16" t="inlineStr"/>
    </row>
    <row r="1528" ht="72" customHeight="1">
      <c r="A1528" s="16" t="inlineStr">
        <is>
          <t>TC-MM-0485</t>
        </is>
      </c>
      <c r="B1528" s="16" t="inlineStr">
        <is>
          <t>Method x Body Matrix</t>
        </is>
      </c>
      <c r="C1528" s="16" t="inlineStr">
        <is>
          <t>HEAD + ApiKeyHeader + binary</t>
        </is>
      </c>
      <c r="D1528" s="16" t="inlineStr">
        <is>
          <t>Edge Case</t>
        </is>
      </c>
      <c r="E1528" s="16" t="inlineStr">
        <is>
          <t>HEAD with ApiKeyHeader auth and binary body</t>
        </is>
      </c>
      <c r="F1528" s="16" t="inlineStr">
        <is>
          <t>Editor open.</t>
        </is>
      </c>
      <c r="G1528" s="16" t="inlineStr">
        <is>
          <t>1. New request; method HEAD; URL to an echo endpoint.
2. Auth type ApiKeyHeader; configure minimum credentials.
3. Body type binary; provide minimum valid content.
4. Send and inspect outgoing wire request (DevTools/proxy).</t>
        </is>
      </c>
      <c r="H1528" s="16" t="inlineStr">
        <is>
          <t>method=HEAD auth=ApiKeyHeader body=binary</t>
        </is>
      </c>
      <c r="I1528" s="16" t="inlineStr">
        <is>
          <t>App allows configuring binary body for HEAD; verifies wire behavior (sent or stripped) is consistent. Auth header sent regardless.</t>
        </is>
      </c>
      <c r="J1528" s="16" t="inlineStr"/>
      <c r="K1528" s="16" t="inlineStr">
        <is>
          <t>Not Run</t>
        </is>
      </c>
      <c r="L1528" s="16" t="inlineStr">
        <is>
          <t>Low</t>
        </is>
      </c>
      <c r="M1528" s="16" t="inlineStr"/>
      <c r="N1528" s="16" t="inlineStr"/>
      <c r="O1528" s="16" t="inlineStr"/>
    </row>
    <row r="1529" ht="72" customHeight="1">
      <c r="A1529" s="16" t="inlineStr">
        <is>
          <t>TC-MM-0486</t>
        </is>
      </c>
      <c r="B1529" s="16" t="inlineStr">
        <is>
          <t>Method x Body Matrix</t>
        </is>
      </c>
      <c r="C1529" s="16" t="inlineStr">
        <is>
          <t>HEAD + ApiKeyQuery + none</t>
        </is>
      </c>
      <c r="D1529" s="16" t="inlineStr">
        <is>
          <t>Functional</t>
        </is>
      </c>
      <c r="E1529" s="16" t="inlineStr">
        <is>
          <t>HEAD with ApiKeyQuery auth and none body</t>
        </is>
      </c>
      <c r="F1529" s="16" t="inlineStr">
        <is>
          <t>Editor open.</t>
        </is>
      </c>
      <c r="G1529" s="16" t="inlineStr">
        <is>
          <t>1. New request; method HEAD; URL to an echo endpoint.
2. Auth type ApiKeyQuery; configure minimum credentials.
3. Body type none; provide minimum valid content.
4. Send and inspect outgoing wire request (DevTools/proxy).</t>
        </is>
      </c>
      <c r="H1529" s="16" t="inlineStr">
        <is>
          <t>method=HEAD auth=ApiKeyQuery body=none</t>
        </is>
      </c>
      <c r="I1529" s="16" t="inlineStr">
        <is>
          <t>ApiKeyQuery auth applied correctly; none body sent with right Content-Type; server returns expected status.</t>
        </is>
      </c>
      <c r="J1529" s="16" t="inlineStr"/>
      <c r="K1529" s="16" t="inlineStr">
        <is>
          <t>Not Run</t>
        </is>
      </c>
      <c r="L1529" s="16" t="inlineStr">
        <is>
          <t>Medium</t>
        </is>
      </c>
      <c r="M1529" s="16" t="inlineStr"/>
      <c r="N1529" s="16" t="inlineStr"/>
      <c r="O1529" s="16" t="inlineStr"/>
    </row>
    <row r="1530" ht="72" customHeight="1">
      <c r="A1530" s="16" t="inlineStr">
        <is>
          <t>TC-MM-0487</t>
        </is>
      </c>
      <c r="B1530" s="16" t="inlineStr">
        <is>
          <t>Method x Body Matrix</t>
        </is>
      </c>
      <c r="C1530" s="16" t="inlineStr">
        <is>
          <t>HEAD + ApiKeyQuery + form-data</t>
        </is>
      </c>
      <c r="D1530" s="16" t="inlineStr">
        <is>
          <t>Edge Case</t>
        </is>
      </c>
      <c r="E1530" s="16" t="inlineStr">
        <is>
          <t>HEAD with ApiKeyQuery auth and form-data body</t>
        </is>
      </c>
      <c r="F1530" s="16" t="inlineStr">
        <is>
          <t>Editor open.</t>
        </is>
      </c>
      <c r="G1530" s="16" t="inlineStr">
        <is>
          <t>1. New request; method HEAD; URL to an echo endpoint.
2. Auth type ApiKeyQuery; configure minimum credentials.
3. Body type form-data; provide minimum valid content.
4. Send and inspect outgoing wire request (DevTools/proxy).</t>
        </is>
      </c>
      <c r="H1530" s="16" t="inlineStr">
        <is>
          <t>method=HEAD auth=ApiKeyQuery body=form-data</t>
        </is>
      </c>
      <c r="I1530" s="16" t="inlineStr">
        <is>
          <t>App allows configuring form-data body for HEAD; verifies wire behavior (sent or stripped) is consistent. Auth header sent regardless.</t>
        </is>
      </c>
      <c r="J1530" s="16" t="inlineStr"/>
      <c r="K1530" s="16" t="inlineStr">
        <is>
          <t>Not Run</t>
        </is>
      </c>
      <c r="L1530" s="16" t="inlineStr">
        <is>
          <t>Low</t>
        </is>
      </c>
      <c r="M1530" s="16" t="inlineStr"/>
      <c r="N1530" s="16" t="inlineStr"/>
      <c r="O1530" s="16" t="inlineStr"/>
    </row>
    <row r="1531" ht="72" customHeight="1">
      <c r="A1531" s="16" t="inlineStr">
        <is>
          <t>TC-MM-0488</t>
        </is>
      </c>
      <c r="B1531" s="16" t="inlineStr">
        <is>
          <t>Method x Body Matrix</t>
        </is>
      </c>
      <c r="C1531" s="16" t="inlineStr">
        <is>
          <t>HEAD + ApiKeyQuery + x-www-form-urlencoded</t>
        </is>
      </c>
      <c r="D1531" s="16" t="inlineStr">
        <is>
          <t>Edge Case</t>
        </is>
      </c>
      <c r="E1531" s="16" t="inlineStr">
        <is>
          <t>HEAD with ApiKeyQuery auth and x-www-form-urlencoded body</t>
        </is>
      </c>
      <c r="F1531" s="16" t="inlineStr">
        <is>
          <t>Editor open.</t>
        </is>
      </c>
      <c r="G1531" s="16" t="inlineStr">
        <is>
          <t>1. New request; method HEAD; URL to an echo endpoint.
2. Auth type ApiKeyQuery; configure minimum credentials.
3. Body type x-www-form-urlencoded; provide minimum valid content.
4. Send and inspect outgoing wire request (DevTools/proxy).</t>
        </is>
      </c>
      <c r="H1531" s="16" t="inlineStr">
        <is>
          <t>method=HEAD auth=ApiKeyQuery body=x-www-form-urlencoded</t>
        </is>
      </c>
      <c r="I1531" s="16" t="inlineStr">
        <is>
          <t>App allows configuring x-www-form-urlencoded body for HEAD; verifies wire behavior (sent or stripped) is consistent. Auth header sent regardless.</t>
        </is>
      </c>
      <c r="J1531" s="16" t="inlineStr"/>
      <c r="K1531" s="16" t="inlineStr">
        <is>
          <t>Not Run</t>
        </is>
      </c>
      <c r="L1531" s="16" t="inlineStr">
        <is>
          <t>Low</t>
        </is>
      </c>
      <c r="M1531" s="16" t="inlineStr"/>
      <c r="N1531" s="16" t="inlineStr"/>
      <c r="O1531" s="16" t="inlineStr"/>
    </row>
    <row r="1532" ht="72" customHeight="1">
      <c r="A1532" s="16" t="inlineStr">
        <is>
          <t>TC-MM-0489</t>
        </is>
      </c>
      <c r="B1532" s="16" t="inlineStr">
        <is>
          <t>Method x Body Matrix</t>
        </is>
      </c>
      <c r="C1532" s="16" t="inlineStr">
        <is>
          <t>HEAD + ApiKeyQuery + raw-json</t>
        </is>
      </c>
      <c r="D1532" s="16" t="inlineStr">
        <is>
          <t>Edge Case</t>
        </is>
      </c>
      <c r="E1532" s="16" t="inlineStr">
        <is>
          <t>HEAD with ApiKeyQuery auth and raw-json body</t>
        </is>
      </c>
      <c r="F1532" s="16" t="inlineStr">
        <is>
          <t>Editor open.</t>
        </is>
      </c>
      <c r="G1532" s="16" t="inlineStr">
        <is>
          <t>1. New request; method HEAD; URL to an echo endpoint.
2. Auth type ApiKeyQuery; configure minimum credentials.
3. Body type raw-json; provide minimum valid content.
4. Send and inspect outgoing wire request (DevTools/proxy).</t>
        </is>
      </c>
      <c r="H1532" s="16" t="inlineStr">
        <is>
          <t>method=HEAD auth=ApiKeyQuery body=raw-json</t>
        </is>
      </c>
      <c r="I1532" s="16" t="inlineStr">
        <is>
          <t>App allows configuring raw-json body for HEAD; verifies wire behavior (sent or stripped) is consistent. Auth header sent regardless.</t>
        </is>
      </c>
      <c r="J1532" s="16" t="inlineStr"/>
      <c r="K1532" s="16" t="inlineStr">
        <is>
          <t>Not Run</t>
        </is>
      </c>
      <c r="L1532" s="16" t="inlineStr">
        <is>
          <t>Low</t>
        </is>
      </c>
      <c r="M1532" s="16" t="inlineStr"/>
      <c r="N1532" s="16" t="inlineStr"/>
      <c r="O1532" s="16" t="inlineStr"/>
    </row>
    <row r="1533" ht="72" customHeight="1">
      <c r="A1533" s="16" t="inlineStr">
        <is>
          <t>TC-MM-0490</t>
        </is>
      </c>
      <c r="B1533" s="16" t="inlineStr">
        <is>
          <t>Method x Body Matrix</t>
        </is>
      </c>
      <c r="C1533" s="16" t="inlineStr">
        <is>
          <t>HEAD + ApiKeyQuery + raw-xml</t>
        </is>
      </c>
      <c r="D1533" s="16" t="inlineStr">
        <is>
          <t>Edge Case</t>
        </is>
      </c>
      <c r="E1533" s="16" t="inlineStr">
        <is>
          <t>HEAD with ApiKeyQuery auth and raw-xml body</t>
        </is>
      </c>
      <c r="F1533" s="16" t="inlineStr">
        <is>
          <t>Editor open.</t>
        </is>
      </c>
      <c r="G1533" s="16" t="inlineStr">
        <is>
          <t>1. New request; method HEAD; URL to an echo endpoint.
2. Auth type ApiKeyQuery; configure minimum credentials.
3. Body type raw-xml; provide minimum valid content.
4. Send and inspect outgoing wire request (DevTools/proxy).</t>
        </is>
      </c>
      <c r="H1533" s="16" t="inlineStr">
        <is>
          <t>method=HEAD auth=ApiKeyQuery body=raw-xml</t>
        </is>
      </c>
      <c r="I1533" s="16" t="inlineStr">
        <is>
          <t>App allows configuring raw-xml body for HEAD; verifies wire behavior (sent or stripped) is consistent. Auth header sent regardless.</t>
        </is>
      </c>
      <c r="J1533" s="16" t="inlineStr"/>
      <c r="K1533" s="16" t="inlineStr">
        <is>
          <t>Not Run</t>
        </is>
      </c>
      <c r="L1533" s="16" t="inlineStr">
        <is>
          <t>Low</t>
        </is>
      </c>
      <c r="M1533" s="16" t="inlineStr"/>
      <c r="N1533" s="16" t="inlineStr"/>
      <c r="O1533" s="16" t="inlineStr"/>
    </row>
    <row r="1534" ht="72" customHeight="1">
      <c r="A1534" s="16" t="inlineStr">
        <is>
          <t>TC-MM-0491</t>
        </is>
      </c>
      <c r="B1534" s="16" t="inlineStr">
        <is>
          <t>Method x Body Matrix</t>
        </is>
      </c>
      <c r="C1534" s="16" t="inlineStr">
        <is>
          <t>HEAD + ApiKeyQuery + raw-text</t>
        </is>
      </c>
      <c r="D1534" s="16" t="inlineStr">
        <is>
          <t>Edge Case</t>
        </is>
      </c>
      <c r="E1534" s="16" t="inlineStr">
        <is>
          <t>HEAD with ApiKeyQuery auth and raw-text body</t>
        </is>
      </c>
      <c r="F1534" s="16" t="inlineStr">
        <is>
          <t>Editor open.</t>
        </is>
      </c>
      <c r="G1534" s="16" t="inlineStr">
        <is>
          <t>1. New request; method HEAD; URL to an echo endpoint.
2. Auth type ApiKeyQuery; configure minimum credentials.
3. Body type raw-text; provide minimum valid content.
4. Send and inspect outgoing wire request (DevTools/proxy).</t>
        </is>
      </c>
      <c r="H1534" s="16" t="inlineStr">
        <is>
          <t>method=HEAD auth=ApiKeyQuery body=raw-text</t>
        </is>
      </c>
      <c r="I1534" s="16" t="inlineStr">
        <is>
          <t>App allows configuring raw-text body for HEAD; verifies wire behavior (sent or stripped) is consistent. Auth header sent regardless.</t>
        </is>
      </c>
      <c r="J1534" s="16" t="inlineStr"/>
      <c r="K1534" s="16" t="inlineStr">
        <is>
          <t>Not Run</t>
        </is>
      </c>
      <c r="L1534" s="16" t="inlineStr">
        <is>
          <t>Low</t>
        </is>
      </c>
      <c r="M1534" s="16" t="inlineStr"/>
      <c r="N1534" s="16" t="inlineStr"/>
      <c r="O1534" s="16" t="inlineStr"/>
    </row>
    <row r="1535" ht="72" customHeight="1">
      <c r="A1535" s="16" t="inlineStr">
        <is>
          <t>TC-MM-0492</t>
        </is>
      </c>
      <c r="B1535" s="16" t="inlineStr">
        <is>
          <t>Method x Body Matrix</t>
        </is>
      </c>
      <c r="C1535" s="16" t="inlineStr">
        <is>
          <t>HEAD + ApiKeyQuery + binary</t>
        </is>
      </c>
      <c r="D1535" s="16" t="inlineStr">
        <is>
          <t>Edge Case</t>
        </is>
      </c>
      <c r="E1535" s="16" t="inlineStr">
        <is>
          <t>HEAD with ApiKeyQuery auth and binary body</t>
        </is>
      </c>
      <c r="F1535" s="16" t="inlineStr">
        <is>
          <t>Editor open.</t>
        </is>
      </c>
      <c r="G1535" s="16" t="inlineStr">
        <is>
          <t>1. New request; method HEAD; URL to an echo endpoint.
2. Auth type ApiKeyQuery; configure minimum credentials.
3. Body type binary; provide minimum valid content.
4. Send and inspect outgoing wire request (DevTools/proxy).</t>
        </is>
      </c>
      <c r="H1535" s="16" t="inlineStr">
        <is>
          <t>method=HEAD auth=ApiKeyQuery body=binary</t>
        </is>
      </c>
      <c r="I1535" s="16" t="inlineStr">
        <is>
          <t>App allows configuring binary body for HEAD; verifies wire behavior (sent or stripped) is consistent. Auth header sent regardless.</t>
        </is>
      </c>
      <c r="J1535" s="16" t="inlineStr"/>
      <c r="K1535" s="16" t="inlineStr">
        <is>
          <t>Not Run</t>
        </is>
      </c>
      <c r="L1535" s="16" t="inlineStr">
        <is>
          <t>Low</t>
        </is>
      </c>
      <c r="M1535" s="16" t="inlineStr"/>
      <c r="N1535" s="16" t="inlineStr"/>
      <c r="O1535" s="16" t="inlineStr"/>
    </row>
    <row r="1536" ht="72" customHeight="1">
      <c r="A1536" s="16" t="inlineStr">
        <is>
          <t>TC-MM-0493</t>
        </is>
      </c>
      <c r="B1536" s="16" t="inlineStr">
        <is>
          <t>Method x Body Matrix</t>
        </is>
      </c>
      <c r="C1536" s="16" t="inlineStr">
        <is>
          <t>HEAD + AwsSigV4 + none</t>
        </is>
      </c>
      <c r="D1536" s="16" t="inlineStr">
        <is>
          <t>Functional</t>
        </is>
      </c>
      <c r="E1536" s="16" t="inlineStr">
        <is>
          <t>HEAD with AwsSigV4 auth and none body</t>
        </is>
      </c>
      <c r="F1536" s="16" t="inlineStr">
        <is>
          <t>Editor open.</t>
        </is>
      </c>
      <c r="G1536" s="16" t="inlineStr">
        <is>
          <t>1. New request; method HEAD; URL to an echo endpoint.
2. Auth type AwsSigV4; configure minimum credentials.
3. Body type none; provide minimum valid content.
4. Send and inspect outgoing wire request (DevTools/proxy).</t>
        </is>
      </c>
      <c r="H1536" s="16" t="inlineStr">
        <is>
          <t>method=HEAD auth=AwsSigV4 body=none</t>
        </is>
      </c>
      <c r="I1536" s="16" t="inlineStr">
        <is>
          <t>AwsSigV4 auth applied correctly; none body sent with right Content-Type; server returns expected status.</t>
        </is>
      </c>
      <c r="J1536" s="16" t="inlineStr"/>
      <c r="K1536" s="16" t="inlineStr">
        <is>
          <t>Not Run</t>
        </is>
      </c>
      <c r="L1536" s="16" t="inlineStr">
        <is>
          <t>Medium</t>
        </is>
      </c>
      <c r="M1536" s="16" t="inlineStr"/>
      <c r="N1536" s="16" t="inlineStr"/>
      <c r="O1536" s="16" t="inlineStr"/>
    </row>
    <row r="1537" ht="72" customHeight="1">
      <c r="A1537" s="16" t="inlineStr">
        <is>
          <t>TC-MM-0494</t>
        </is>
      </c>
      <c r="B1537" s="16" t="inlineStr">
        <is>
          <t>Method x Body Matrix</t>
        </is>
      </c>
      <c r="C1537" s="16" t="inlineStr">
        <is>
          <t>HEAD + AwsSigV4 + form-data</t>
        </is>
      </c>
      <c r="D1537" s="16" t="inlineStr">
        <is>
          <t>Functional</t>
        </is>
      </c>
      <c r="E1537" s="16" t="inlineStr">
        <is>
          <t>HEAD with AwsSigV4 auth and form-data body</t>
        </is>
      </c>
      <c r="F1537" s="16" t="inlineStr">
        <is>
          <t>Editor open.</t>
        </is>
      </c>
      <c r="G1537" s="16" t="inlineStr">
        <is>
          <t>1. New request; method HEAD; URL to an echo endpoint.
2. Auth type AwsSigV4; configure minimum credentials.
3. Body type form-data; provide minimum valid content.
4. Send and inspect outgoing wire request (DevTools/proxy).</t>
        </is>
      </c>
      <c r="H1537" s="16" t="inlineStr">
        <is>
          <t>method=HEAD auth=AwsSigV4 body=form-data</t>
        </is>
      </c>
      <c r="I1537" s="16" t="inlineStr">
        <is>
          <t>AWS SigV4 signs canonical request including body bytes; x-amz-content-sha256 reflects SHA256 of body. Server returns expected status.</t>
        </is>
      </c>
      <c r="J1537" s="16" t="inlineStr"/>
      <c r="K1537" s="16" t="inlineStr">
        <is>
          <t>Not Run</t>
        </is>
      </c>
      <c r="L1537" s="16" t="inlineStr">
        <is>
          <t>High</t>
        </is>
      </c>
      <c r="M1537" s="16" t="inlineStr"/>
      <c r="N1537" s="16" t="inlineStr"/>
      <c r="O1537" s="16" t="inlineStr"/>
    </row>
    <row r="1538" ht="72" customHeight="1">
      <c r="A1538" s="16" t="inlineStr">
        <is>
          <t>TC-MM-0495</t>
        </is>
      </c>
      <c r="B1538" s="16" t="inlineStr">
        <is>
          <t>Method x Body Matrix</t>
        </is>
      </c>
      <c r="C1538" s="16" t="inlineStr">
        <is>
          <t>HEAD + AwsSigV4 + x-www-form-urlencoded</t>
        </is>
      </c>
      <c r="D1538" s="16" t="inlineStr">
        <is>
          <t>Functional</t>
        </is>
      </c>
      <c r="E1538" s="16" t="inlineStr">
        <is>
          <t>HEAD with AwsSigV4 auth and x-www-form-urlencoded body</t>
        </is>
      </c>
      <c r="F1538" s="16" t="inlineStr">
        <is>
          <t>Editor open.</t>
        </is>
      </c>
      <c r="G1538" s="16" t="inlineStr">
        <is>
          <t>1. New request; method HEAD; URL to an echo endpoint.
2. Auth type AwsSigV4; configure minimum credentials.
3. Body type x-www-form-urlencoded; provide minimum valid content.
4. Send and inspect outgoing wire request (DevTools/proxy).</t>
        </is>
      </c>
      <c r="H1538" s="16" t="inlineStr">
        <is>
          <t>method=HEAD auth=AwsSigV4 body=x-www-form-urlencoded</t>
        </is>
      </c>
      <c r="I1538" s="16" t="inlineStr">
        <is>
          <t>AWS SigV4 signs canonical request including body bytes; x-amz-content-sha256 reflects SHA256 of body. Server returns expected status.</t>
        </is>
      </c>
      <c r="J1538" s="16" t="inlineStr"/>
      <c r="K1538" s="16" t="inlineStr">
        <is>
          <t>Not Run</t>
        </is>
      </c>
      <c r="L1538" s="16" t="inlineStr">
        <is>
          <t>High</t>
        </is>
      </c>
      <c r="M1538" s="16" t="inlineStr"/>
      <c r="N1538" s="16" t="inlineStr"/>
      <c r="O1538" s="16" t="inlineStr"/>
    </row>
    <row r="1539" ht="72" customHeight="1">
      <c r="A1539" s="16" t="inlineStr">
        <is>
          <t>TC-MM-0496</t>
        </is>
      </c>
      <c r="B1539" s="16" t="inlineStr">
        <is>
          <t>Method x Body Matrix</t>
        </is>
      </c>
      <c r="C1539" s="16" t="inlineStr">
        <is>
          <t>HEAD + AwsSigV4 + raw-json</t>
        </is>
      </c>
      <c r="D1539" s="16" t="inlineStr">
        <is>
          <t>Functional</t>
        </is>
      </c>
      <c r="E1539" s="16" t="inlineStr">
        <is>
          <t>HEAD with AwsSigV4 auth and raw-json body</t>
        </is>
      </c>
      <c r="F1539" s="16" t="inlineStr">
        <is>
          <t>Editor open.</t>
        </is>
      </c>
      <c r="G1539" s="16" t="inlineStr">
        <is>
          <t>1. New request; method HEAD; URL to an echo endpoint.
2. Auth type AwsSigV4; configure minimum credentials.
3. Body type raw-json; provide minimum valid content.
4. Send and inspect outgoing wire request (DevTools/proxy).</t>
        </is>
      </c>
      <c r="H1539" s="16" t="inlineStr">
        <is>
          <t>method=HEAD auth=AwsSigV4 body=raw-json</t>
        </is>
      </c>
      <c r="I1539" s="16" t="inlineStr">
        <is>
          <t>AWS SigV4 signs canonical request including body bytes; x-amz-content-sha256 reflects SHA256 of body. Server returns expected status.</t>
        </is>
      </c>
      <c r="J1539" s="16" t="inlineStr"/>
      <c r="K1539" s="16" t="inlineStr">
        <is>
          <t>Not Run</t>
        </is>
      </c>
      <c r="L1539" s="16" t="inlineStr">
        <is>
          <t>High</t>
        </is>
      </c>
      <c r="M1539" s="16" t="inlineStr"/>
      <c r="N1539" s="16" t="inlineStr"/>
      <c r="O1539" s="16" t="inlineStr"/>
    </row>
    <row r="1540" ht="72" customHeight="1">
      <c r="A1540" s="16" t="inlineStr">
        <is>
          <t>TC-MM-0497</t>
        </is>
      </c>
      <c r="B1540" s="16" t="inlineStr">
        <is>
          <t>Method x Body Matrix</t>
        </is>
      </c>
      <c r="C1540" s="16" t="inlineStr">
        <is>
          <t>HEAD + AwsSigV4 + raw-xml</t>
        </is>
      </c>
      <c r="D1540" s="16" t="inlineStr">
        <is>
          <t>Functional</t>
        </is>
      </c>
      <c r="E1540" s="16" t="inlineStr">
        <is>
          <t>HEAD with AwsSigV4 auth and raw-xml body</t>
        </is>
      </c>
      <c r="F1540" s="16" t="inlineStr">
        <is>
          <t>Editor open.</t>
        </is>
      </c>
      <c r="G1540" s="16" t="inlineStr">
        <is>
          <t>1. New request; method HEAD; URL to an echo endpoint.
2. Auth type AwsSigV4; configure minimum credentials.
3. Body type raw-xml; provide minimum valid content.
4. Send and inspect outgoing wire request (DevTools/proxy).</t>
        </is>
      </c>
      <c r="H1540" s="16" t="inlineStr">
        <is>
          <t>method=HEAD auth=AwsSigV4 body=raw-xml</t>
        </is>
      </c>
      <c r="I1540" s="16" t="inlineStr">
        <is>
          <t>AWS SigV4 signs canonical request including body bytes; x-amz-content-sha256 reflects SHA256 of body. Server returns expected status.</t>
        </is>
      </c>
      <c r="J1540" s="16" t="inlineStr"/>
      <c r="K1540" s="16" t="inlineStr">
        <is>
          <t>Not Run</t>
        </is>
      </c>
      <c r="L1540" s="16" t="inlineStr">
        <is>
          <t>High</t>
        </is>
      </c>
      <c r="M1540" s="16" t="inlineStr"/>
      <c r="N1540" s="16" t="inlineStr"/>
      <c r="O1540" s="16" t="inlineStr"/>
    </row>
    <row r="1541" ht="72" customHeight="1">
      <c r="A1541" s="16" t="inlineStr">
        <is>
          <t>TC-MM-0498</t>
        </is>
      </c>
      <c r="B1541" s="16" t="inlineStr">
        <is>
          <t>Method x Body Matrix</t>
        </is>
      </c>
      <c r="C1541" s="16" t="inlineStr">
        <is>
          <t>HEAD + AwsSigV4 + raw-text</t>
        </is>
      </c>
      <c r="D1541" s="16" t="inlineStr">
        <is>
          <t>Functional</t>
        </is>
      </c>
      <c r="E1541" s="16" t="inlineStr">
        <is>
          <t>HEAD with AwsSigV4 auth and raw-text body</t>
        </is>
      </c>
      <c r="F1541" s="16" t="inlineStr">
        <is>
          <t>Editor open.</t>
        </is>
      </c>
      <c r="G1541" s="16" t="inlineStr">
        <is>
          <t>1. New request; method HEAD; URL to an echo endpoint.
2. Auth type AwsSigV4; configure minimum credentials.
3. Body type raw-text; provide minimum valid content.
4. Send and inspect outgoing wire request (DevTools/proxy).</t>
        </is>
      </c>
      <c r="H1541" s="16" t="inlineStr">
        <is>
          <t>method=HEAD auth=AwsSigV4 body=raw-text</t>
        </is>
      </c>
      <c r="I1541" s="16" t="inlineStr">
        <is>
          <t>AWS SigV4 signs canonical request including body bytes; x-amz-content-sha256 reflects SHA256 of body. Server returns expected status.</t>
        </is>
      </c>
      <c r="J1541" s="16" t="inlineStr"/>
      <c r="K1541" s="16" t="inlineStr">
        <is>
          <t>Not Run</t>
        </is>
      </c>
      <c r="L1541" s="16" t="inlineStr">
        <is>
          <t>High</t>
        </is>
      </c>
      <c r="M1541" s="16" t="inlineStr"/>
      <c r="N1541" s="16" t="inlineStr"/>
      <c r="O1541" s="16" t="inlineStr"/>
    </row>
    <row r="1542" ht="72" customHeight="1">
      <c r="A1542" s="16" t="inlineStr">
        <is>
          <t>TC-MM-0499</t>
        </is>
      </c>
      <c r="B1542" s="16" t="inlineStr">
        <is>
          <t>Method x Body Matrix</t>
        </is>
      </c>
      <c r="C1542" s="16" t="inlineStr">
        <is>
          <t>HEAD + AwsSigV4 + binary</t>
        </is>
      </c>
      <c r="D1542" s="16" t="inlineStr">
        <is>
          <t>Functional</t>
        </is>
      </c>
      <c r="E1542" s="16" t="inlineStr">
        <is>
          <t>HEAD with AwsSigV4 auth and binary body</t>
        </is>
      </c>
      <c r="F1542" s="16" t="inlineStr">
        <is>
          <t>Editor open.</t>
        </is>
      </c>
      <c r="G1542" s="16" t="inlineStr">
        <is>
          <t>1. New request; method HEAD; URL to an echo endpoint.
2. Auth type AwsSigV4; configure minimum credentials.
3. Body type binary; provide minimum valid content.
4. Send and inspect outgoing wire request (DevTools/proxy).</t>
        </is>
      </c>
      <c r="H1542" s="16" t="inlineStr">
        <is>
          <t>method=HEAD auth=AwsSigV4 body=binary</t>
        </is>
      </c>
      <c r="I1542" s="16" t="inlineStr">
        <is>
          <t>AWS SigV4 signs canonical request including body bytes; x-amz-content-sha256 reflects SHA256 of body. Server returns expected status.</t>
        </is>
      </c>
      <c r="J1542" s="16" t="inlineStr"/>
      <c r="K1542" s="16" t="inlineStr">
        <is>
          <t>Not Run</t>
        </is>
      </c>
      <c r="L1542" s="16" t="inlineStr">
        <is>
          <t>High</t>
        </is>
      </c>
      <c r="M1542" s="16" t="inlineStr"/>
      <c r="N1542" s="16" t="inlineStr"/>
      <c r="O1542" s="16" t="inlineStr"/>
    </row>
    <row r="1543" ht="72" customHeight="1">
      <c r="A1543" s="16" t="inlineStr">
        <is>
          <t>TC-MM-0500</t>
        </is>
      </c>
      <c r="B1543" s="16" t="inlineStr">
        <is>
          <t>Method x Body Matrix</t>
        </is>
      </c>
      <c r="C1543" s="16" t="inlineStr">
        <is>
          <t>HEAD + JwtHS256 + none</t>
        </is>
      </c>
      <c r="D1543" s="16" t="inlineStr">
        <is>
          <t>Functional</t>
        </is>
      </c>
      <c r="E1543" s="16" t="inlineStr">
        <is>
          <t>HEAD with JwtHS256 auth and none body</t>
        </is>
      </c>
      <c r="F1543" s="16" t="inlineStr">
        <is>
          <t>Editor open.</t>
        </is>
      </c>
      <c r="G1543" s="16" t="inlineStr">
        <is>
          <t>1. New request; method HEAD; URL to an echo endpoint.
2. Auth type JwtHS256; configure minimum credentials.
3. Body type none; provide minimum valid content.
4. Send and inspect outgoing wire request (DevTools/proxy).</t>
        </is>
      </c>
      <c r="H1543" s="16" t="inlineStr">
        <is>
          <t>method=HEAD auth=JwtHS256 body=none</t>
        </is>
      </c>
      <c r="I1543" s="16" t="inlineStr">
        <is>
          <t>JwtHS256 auth applied correctly; none body sent with right Content-Type; server returns expected status.</t>
        </is>
      </c>
      <c r="J1543" s="16" t="inlineStr"/>
      <c r="K1543" s="16" t="inlineStr">
        <is>
          <t>Not Run</t>
        </is>
      </c>
      <c r="L1543" s="16" t="inlineStr">
        <is>
          <t>Medium</t>
        </is>
      </c>
      <c r="M1543" s="16" t="inlineStr"/>
      <c r="N1543" s="16" t="inlineStr"/>
      <c r="O1543" s="16" t="inlineStr"/>
    </row>
    <row r="1544" ht="72" customHeight="1">
      <c r="A1544" s="16" t="inlineStr">
        <is>
          <t>TC-MM-0501</t>
        </is>
      </c>
      <c r="B1544" s="16" t="inlineStr">
        <is>
          <t>Method x Body Matrix</t>
        </is>
      </c>
      <c r="C1544" s="16" t="inlineStr">
        <is>
          <t>HEAD + JwtHS256 + form-data</t>
        </is>
      </c>
      <c r="D1544" s="16" t="inlineStr">
        <is>
          <t>Edge Case</t>
        </is>
      </c>
      <c r="E1544" s="16" t="inlineStr">
        <is>
          <t>HEAD with JwtHS256 auth and form-data body</t>
        </is>
      </c>
      <c r="F1544" s="16" t="inlineStr">
        <is>
          <t>Editor open.</t>
        </is>
      </c>
      <c r="G1544" s="16" t="inlineStr">
        <is>
          <t>1. New request; method HEAD; URL to an echo endpoint.
2. Auth type JwtHS256; configure minimum credentials.
3. Body type form-data; provide minimum valid content.
4. Send and inspect outgoing wire request (DevTools/proxy).</t>
        </is>
      </c>
      <c r="H1544" s="16" t="inlineStr">
        <is>
          <t>method=HEAD auth=JwtHS256 body=form-data</t>
        </is>
      </c>
      <c r="I1544" s="16" t="inlineStr">
        <is>
          <t>App allows configuring form-data body for HEAD; verifies wire behavior (sent or stripped) is consistent. Auth header sent regardless.</t>
        </is>
      </c>
      <c r="J1544" s="16" t="inlineStr"/>
      <c r="K1544" s="16" t="inlineStr">
        <is>
          <t>Not Run</t>
        </is>
      </c>
      <c r="L1544" s="16" t="inlineStr">
        <is>
          <t>Low</t>
        </is>
      </c>
      <c r="M1544" s="16" t="inlineStr"/>
      <c r="N1544" s="16" t="inlineStr"/>
      <c r="O1544" s="16" t="inlineStr"/>
    </row>
    <row r="1545" ht="72" customHeight="1">
      <c r="A1545" s="16" t="inlineStr">
        <is>
          <t>TC-MM-0502</t>
        </is>
      </c>
      <c r="B1545" s="16" t="inlineStr">
        <is>
          <t>Method x Body Matrix</t>
        </is>
      </c>
      <c r="C1545" s="16" t="inlineStr">
        <is>
          <t>HEAD + JwtHS256 + x-www-form-urlencoded</t>
        </is>
      </c>
      <c r="D1545" s="16" t="inlineStr">
        <is>
          <t>Edge Case</t>
        </is>
      </c>
      <c r="E1545" s="16" t="inlineStr">
        <is>
          <t>HEAD with JwtHS256 auth and x-www-form-urlencoded body</t>
        </is>
      </c>
      <c r="F1545" s="16" t="inlineStr">
        <is>
          <t>Editor open.</t>
        </is>
      </c>
      <c r="G1545" s="16" t="inlineStr">
        <is>
          <t>1. New request; method HEAD; URL to an echo endpoint.
2. Auth type JwtHS256; configure minimum credentials.
3. Body type x-www-form-urlencoded; provide minimum valid content.
4. Send and inspect outgoing wire request (DevTools/proxy).</t>
        </is>
      </c>
      <c r="H1545" s="16" t="inlineStr">
        <is>
          <t>method=HEAD auth=JwtHS256 body=x-www-form-urlencoded</t>
        </is>
      </c>
      <c r="I1545" s="16" t="inlineStr">
        <is>
          <t>App allows configuring x-www-form-urlencoded body for HEAD; verifies wire behavior (sent or stripped) is consistent. Auth header sent regardless.</t>
        </is>
      </c>
      <c r="J1545" s="16" t="inlineStr"/>
      <c r="K1545" s="16" t="inlineStr">
        <is>
          <t>Not Run</t>
        </is>
      </c>
      <c r="L1545" s="16" t="inlineStr">
        <is>
          <t>Low</t>
        </is>
      </c>
      <c r="M1545" s="16" t="inlineStr"/>
      <c r="N1545" s="16" t="inlineStr"/>
      <c r="O1545" s="16" t="inlineStr"/>
    </row>
    <row r="1546" ht="72" customHeight="1">
      <c r="A1546" s="16" t="inlineStr">
        <is>
          <t>TC-MM-0503</t>
        </is>
      </c>
      <c r="B1546" s="16" t="inlineStr">
        <is>
          <t>Method x Body Matrix</t>
        </is>
      </c>
      <c r="C1546" s="16" t="inlineStr">
        <is>
          <t>HEAD + JwtHS256 + raw-json</t>
        </is>
      </c>
      <c r="D1546" s="16" t="inlineStr">
        <is>
          <t>Edge Case</t>
        </is>
      </c>
      <c r="E1546" s="16" t="inlineStr">
        <is>
          <t>HEAD with JwtHS256 auth and raw-json body</t>
        </is>
      </c>
      <c r="F1546" s="16" t="inlineStr">
        <is>
          <t>Editor open.</t>
        </is>
      </c>
      <c r="G1546" s="16" t="inlineStr">
        <is>
          <t>1. New request; method HEAD; URL to an echo endpoint.
2. Auth type JwtHS256; configure minimum credentials.
3. Body type raw-json; provide minimum valid content.
4. Send and inspect outgoing wire request (DevTools/proxy).</t>
        </is>
      </c>
      <c r="H1546" s="16" t="inlineStr">
        <is>
          <t>method=HEAD auth=JwtHS256 body=raw-json</t>
        </is>
      </c>
      <c r="I1546" s="16" t="inlineStr">
        <is>
          <t>App allows configuring raw-json body for HEAD; verifies wire behavior (sent or stripped) is consistent. Auth header sent regardless.</t>
        </is>
      </c>
      <c r="J1546" s="16" t="inlineStr"/>
      <c r="K1546" s="16" t="inlineStr">
        <is>
          <t>Not Run</t>
        </is>
      </c>
      <c r="L1546" s="16" t="inlineStr">
        <is>
          <t>Low</t>
        </is>
      </c>
      <c r="M1546" s="16" t="inlineStr"/>
      <c r="N1546" s="16" t="inlineStr"/>
      <c r="O1546" s="16" t="inlineStr"/>
    </row>
    <row r="1547" ht="72" customHeight="1">
      <c r="A1547" s="16" t="inlineStr">
        <is>
          <t>TC-MM-0504</t>
        </is>
      </c>
      <c r="B1547" s="16" t="inlineStr">
        <is>
          <t>Method x Body Matrix</t>
        </is>
      </c>
      <c r="C1547" s="16" t="inlineStr">
        <is>
          <t>HEAD + JwtHS256 + raw-xml</t>
        </is>
      </c>
      <c r="D1547" s="16" t="inlineStr">
        <is>
          <t>Edge Case</t>
        </is>
      </c>
      <c r="E1547" s="16" t="inlineStr">
        <is>
          <t>HEAD with JwtHS256 auth and raw-xml body</t>
        </is>
      </c>
      <c r="F1547" s="16" t="inlineStr">
        <is>
          <t>Editor open.</t>
        </is>
      </c>
      <c r="G1547" s="16" t="inlineStr">
        <is>
          <t>1. New request; method HEAD; URL to an echo endpoint.
2. Auth type JwtHS256; configure minimum credentials.
3. Body type raw-xml; provide minimum valid content.
4. Send and inspect outgoing wire request (DevTools/proxy).</t>
        </is>
      </c>
      <c r="H1547" s="16" t="inlineStr">
        <is>
          <t>method=HEAD auth=JwtHS256 body=raw-xml</t>
        </is>
      </c>
      <c r="I1547" s="16" t="inlineStr">
        <is>
          <t>App allows configuring raw-xml body for HEAD; verifies wire behavior (sent or stripped) is consistent. Auth header sent regardless.</t>
        </is>
      </c>
      <c r="J1547" s="16" t="inlineStr"/>
      <c r="K1547" s="16" t="inlineStr">
        <is>
          <t>Not Run</t>
        </is>
      </c>
      <c r="L1547" s="16" t="inlineStr">
        <is>
          <t>Low</t>
        </is>
      </c>
      <c r="M1547" s="16" t="inlineStr"/>
      <c r="N1547" s="16" t="inlineStr"/>
      <c r="O1547" s="16" t="inlineStr"/>
    </row>
    <row r="1548" ht="72" customHeight="1">
      <c r="A1548" s="16" t="inlineStr">
        <is>
          <t>TC-MM-0505</t>
        </is>
      </c>
      <c r="B1548" s="16" t="inlineStr">
        <is>
          <t>Method x Body Matrix</t>
        </is>
      </c>
      <c r="C1548" s="16" t="inlineStr">
        <is>
          <t>HEAD + JwtHS256 + raw-text</t>
        </is>
      </c>
      <c r="D1548" s="16" t="inlineStr">
        <is>
          <t>Edge Case</t>
        </is>
      </c>
      <c r="E1548" s="16" t="inlineStr">
        <is>
          <t>HEAD with JwtHS256 auth and raw-text body</t>
        </is>
      </c>
      <c r="F1548" s="16" t="inlineStr">
        <is>
          <t>Editor open.</t>
        </is>
      </c>
      <c r="G1548" s="16" t="inlineStr">
        <is>
          <t>1. New request; method HEAD; URL to an echo endpoint.
2. Auth type JwtHS256; configure minimum credentials.
3. Body type raw-text; provide minimum valid content.
4. Send and inspect outgoing wire request (DevTools/proxy).</t>
        </is>
      </c>
      <c r="H1548" s="16" t="inlineStr">
        <is>
          <t>method=HEAD auth=JwtHS256 body=raw-text</t>
        </is>
      </c>
      <c r="I1548" s="16" t="inlineStr">
        <is>
          <t>App allows configuring raw-text body for HEAD; verifies wire behavior (sent or stripped) is consistent. Auth header sent regardless.</t>
        </is>
      </c>
      <c r="J1548" s="16" t="inlineStr"/>
      <c r="K1548" s="16" t="inlineStr">
        <is>
          <t>Not Run</t>
        </is>
      </c>
      <c r="L1548" s="16" t="inlineStr">
        <is>
          <t>Low</t>
        </is>
      </c>
      <c r="M1548" s="16" t="inlineStr"/>
      <c r="N1548" s="16" t="inlineStr"/>
      <c r="O1548" s="16" t="inlineStr"/>
    </row>
    <row r="1549" ht="72" customHeight="1">
      <c r="A1549" s="16" t="inlineStr">
        <is>
          <t>TC-MM-0506</t>
        </is>
      </c>
      <c r="B1549" s="16" t="inlineStr">
        <is>
          <t>Method x Body Matrix</t>
        </is>
      </c>
      <c r="C1549" s="16" t="inlineStr">
        <is>
          <t>HEAD + JwtHS256 + binary</t>
        </is>
      </c>
      <c r="D1549" s="16" t="inlineStr">
        <is>
          <t>Edge Case</t>
        </is>
      </c>
      <c r="E1549" s="16" t="inlineStr">
        <is>
          <t>HEAD with JwtHS256 auth and binary body</t>
        </is>
      </c>
      <c r="F1549" s="16" t="inlineStr">
        <is>
          <t>Editor open.</t>
        </is>
      </c>
      <c r="G1549" s="16" t="inlineStr">
        <is>
          <t>1. New request; method HEAD; URL to an echo endpoint.
2. Auth type JwtHS256; configure minimum credentials.
3. Body type binary; provide minimum valid content.
4. Send and inspect outgoing wire request (DevTools/proxy).</t>
        </is>
      </c>
      <c r="H1549" s="16" t="inlineStr">
        <is>
          <t>method=HEAD auth=JwtHS256 body=binary</t>
        </is>
      </c>
      <c r="I1549" s="16" t="inlineStr">
        <is>
          <t>App allows configuring binary body for HEAD; verifies wire behavior (sent or stripped) is consistent. Auth header sent regardless.</t>
        </is>
      </c>
      <c r="J1549" s="16" t="inlineStr"/>
      <c r="K1549" s="16" t="inlineStr">
        <is>
          <t>Not Run</t>
        </is>
      </c>
      <c r="L1549" s="16" t="inlineStr">
        <is>
          <t>Low</t>
        </is>
      </c>
      <c r="M1549" s="16" t="inlineStr"/>
      <c r="N1549" s="16" t="inlineStr"/>
      <c r="O1549" s="16" t="inlineStr"/>
    </row>
    <row r="1550" ht="72" customHeight="1">
      <c r="A1550" s="16" t="inlineStr">
        <is>
          <t>TC-MM-0507</t>
        </is>
      </c>
      <c r="B1550" s="16" t="inlineStr">
        <is>
          <t>Method x Body Matrix</t>
        </is>
      </c>
      <c r="C1550" s="16" t="inlineStr">
        <is>
          <t>HEAD + OAuth2ClientCreds + none</t>
        </is>
      </c>
      <c r="D1550" s="16" t="inlineStr">
        <is>
          <t>Functional</t>
        </is>
      </c>
      <c r="E1550" s="16" t="inlineStr">
        <is>
          <t>HEAD with OAuth2ClientCreds auth and none body</t>
        </is>
      </c>
      <c r="F1550" s="16" t="inlineStr">
        <is>
          <t>Editor open.</t>
        </is>
      </c>
      <c r="G1550" s="16" t="inlineStr">
        <is>
          <t>1. New request; method HEAD; URL to an echo endpoint.
2. Auth type OAuth2ClientCreds; configure minimum credentials.
3. Body type none; provide minimum valid content.
4. Send and inspect outgoing wire request (DevTools/proxy).</t>
        </is>
      </c>
      <c r="H1550" s="16" t="inlineStr">
        <is>
          <t>method=HEAD auth=OAuth2ClientCreds body=none</t>
        </is>
      </c>
      <c r="I1550" s="16" t="inlineStr">
        <is>
          <t>Access token acquired (or refreshed); attached as Bearer; HEAD sent with none body; server returns expected status.</t>
        </is>
      </c>
      <c r="J1550" s="16" t="inlineStr"/>
      <c r="K1550" s="16" t="inlineStr">
        <is>
          <t>Not Run</t>
        </is>
      </c>
      <c r="L1550" s="16" t="inlineStr">
        <is>
          <t>Medium</t>
        </is>
      </c>
      <c r="M1550" s="16" t="inlineStr"/>
      <c r="N1550" s="16" t="inlineStr"/>
      <c r="O1550" s="16" t="inlineStr"/>
    </row>
    <row r="1551" ht="72" customHeight="1">
      <c r="A1551" s="16" t="inlineStr">
        <is>
          <t>TC-MM-0508</t>
        </is>
      </c>
      <c r="B1551" s="16" t="inlineStr">
        <is>
          <t>Method x Body Matrix</t>
        </is>
      </c>
      <c r="C1551" s="16" t="inlineStr">
        <is>
          <t>HEAD + OAuth2ClientCreds + form-data</t>
        </is>
      </c>
      <c r="D1551" s="16" t="inlineStr">
        <is>
          <t>Functional</t>
        </is>
      </c>
      <c r="E1551" s="16" t="inlineStr">
        <is>
          <t>HEAD with OAuth2ClientCreds auth and form-data body</t>
        </is>
      </c>
      <c r="F1551" s="16" t="inlineStr">
        <is>
          <t>Editor open.</t>
        </is>
      </c>
      <c r="G1551" s="16" t="inlineStr">
        <is>
          <t>1. New request; method HEAD; URL to an echo endpoint.
2. Auth type OAuth2ClientCreds; configure minimum credentials.
3. Body type form-data; provide minimum valid content.
4. Send and inspect outgoing wire request (DevTools/proxy).</t>
        </is>
      </c>
      <c r="H1551" s="16" t="inlineStr">
        <is>
          <t>method=HEAD auth=OAuth2ClientCreds body=form-data</t>
        </is>
      </c>
      <c r="I1551" s="16" t="inlineStr">
        <is>
          <t>Access token acquired (or refreshed); attached as Bearer; HEAD sent with form-data body; server returns expected status.</t>
        </is>
      </c>
      <c r="J1551" s="16" t="inlineStr"/>
      <c r="K1551" s="16" t="inlineStr">
        <is>
          <t>Not Run</t>
        </is>
      </c>
      <c r="L1551" s="16" t="inlineStr">
        <is>
          <t>Medium</t>
        </is>
      </c>
      <c r="M1551" s="16" t="inlineStr"/>
      <c r="N1551" s="16" t="inlineStr"/>
      <c r="O1551" s="16" t="inlineStr"/>
    </row>
    <row r="1552" ht="72" customHeight="1">
      <c r="A1552" s="16" t="inlineStr">
        <is>
          <t>TC-MM-0509</t>
        </is>
      </c>
      <c r="B1552" s="16" t="inlineStr">
        <is>
          <t>Method x Body Matrix</t>
        </is>
      </c>
      <c r="C1552" s="16" t="inlineStr">
        <is>
          <t>HEAD + OAuth2ClientCreds + x-www-form-urlencoded</t>
        </is>
      </c>
      <c r="D1552" s="16" t="inlineStr">
        <is>
          <t>Functional</t>
        </is>
      </c>
      <c r="E1552" s="16" t="inlineStr">
        <is>
          <t>HEAD with OAuth2ClientCreds auth and x-www-form-urlencoded body</t>
        </is>
      </c>
      <c r="F1552" s="16" t="inlineStr">
        <is>
          <t>Editor open.</t>
        </is>
      </c>
      <c r="G1552" s="16" t="inlineStr">
        <is>
          <t>1. New request; method HEAD; URL to an echo endpoint.
2. Auth type OAuth2ClientCreds; configure minimum credentials.
3. Body type x-www-form-urlencoded; provide minimum valid content.
4. Send and inspect outgoing wire request (DevTools/proxy).</t>
        </is>
      </c>
      <c r="H1552" s="16" t="inlineStr">
        <is>
          <t>method=HEAD auth=OAuth2ClientCreds body=x-www-form-urlencoded</t>
        </is>
      </c>
      <c r="I1552" s="16" t="inlineStr">
        <is>
          <t>Access token acquired (or refreshed); attached as Bearer; HEAD sent with x-www-form-urlencoded body; server returns expected status.</t>
        </is>
      </c>
      <c r="J1552" s="16" t="inlineStr"/>
      <c r="K1552" s="16" t="inlineStr">
        <is>
          <t>Not Run</t>
        </is>
      </c>
      <c r="L1552" s="16" t="inlineStr">
        <is>
          <t>Medium</t>
        </is>
      </c>
      <c r="M1552" s="16" t="inlineStr"/>
      <c r="N1552" s="16" t="inlineStr"/>
      <c r="O1552" s="16" t="inlineStr"/>
    </row>
    <row r="1553" ht="72" customHeight="1">
      <c r="A1553" s="16" t="inlineStr">
        <is>
          <t>TC-MM-0510</t>
        </is>
      </c>
      <c r="B1553" s="16" t="inlineStr">
        <is>
          <t>Method x Body Matrix</t>
        </is>
      </c>
      <c r="C1553" s="16" t="inlineStr">
        <is>
          <t>HEAD + OAuth2ClientCreds + raw-json</t>
        </is>
      </c>
      <c r="D1553" s="16" t="inlineStr">
        <is>
          <t>Functional</t>
        </is>
      </c>
      <c r="E1553" s="16" t="inlineStr">
        <is>
          <t>HEAD with OAuth2ClientCreds auth and raw-json body</t>
        </is>
      </c>
      <c r="F1553" s="16" t="inlineStr">
        <is>
          <t>Editor open.</t>
        </is>
      </c>
      <c r="G1553" s="16" t="inlineStr">
        <is>
          <t>1. New request; method HEAD; URL to an echo endpoint.
2. Auth type OAuth2ClientCreds; configure minimum credentials.
3. Body type raw-json; provide minimum valid content.
4. Send and inspect outgoing wire request (DevTools/proxy).</t>
        </is>
      </c>
      <c r="H1553" s="16" t="inlineStr">
        <is>
          <t>method=HEAD auth=OAuth2ClientCreds body=raw-json</t>
        </is>
      </c>
      <c r="I1553" s="16" t="inlineStr">
        <is>
          <t>Access token acquired (or refreshed); attached as Bearer; HEAD sent with raw-json body; server returns expected status.</t>
        </is>
      </c>
      <c r="J1553" s="16" t="inlineStr"/>
      <c r="K1553" s="16" t="inlineStr">
        <is>
          <t>Not Run</t>
        </is>
      </c>
      <c r="L1553" s="16" t="inlineStr">
        <is>
          <t>Medium</t>
        </is>
      </c>
      <c r="M1553" s="16" t="inlineStr"/>
      <c r="N1553" s="16" t="inlineStr"/>
      <c r="O1553" s="16" t="inlineStr"/>
    </row>
    <row r="1554" ht="72" customHeight="1">
      <c r="A1554" s="16" t="inlineStr">
        <is>
          <t>TC-MM-0511</t>
        </is>
      </c>
      <c r="B1554" s="16" t="inlineStr">
        <is>
          <t>Method x Body Matrix</t>
        </is>
      </c>
      <c r="C1554" s="16" t="inlineStr">
        <is>
          <t>HEAD + OAuth2ClientCreds + raw-xml</t>
        </is>
      </c>
      <c r="D1554" s="16" t="inlineStr">
        <is>
          <t>Functional</t>
        </is>
      </c>
      <c r="E1554" s="16" t="inlineStr">
        <is>
          <t>HEAD with OAuth2ClientCreds auth and raw-xml body</t>
        </is>
      </c>
      <c r="F1554" s="16" t="inlineStr">
        <is>
          <t>Editor open.</t>
        </is>
      </c>
      <c r="G1554" s="16" t="inlineStr">
        <is>
          <t>1. New request; method HEAD; URL to an echo endpoint.
2. Auth type OAuth2ClientCreds; configure minimum credentials.
3. Body type raw-xml; provide minimum valid content.
4. Send and inspect outgoing wire request (DevTools/proxy).</t>
        </is>
      </c>
      <c r="H1554" s="16" t="inlineStr">
        <is>
          <t>method=HEAD auth=OAuth2ClientCreds body=raw-xml</t>
        </is>
      </c>
      <c r="I1554" s="16" t="inlineStr">
        <is>
          <t>Access token acquired (or refreshed); attached as Bearer; HEAD sent with raw-xml body; server returns expected status.</t>
        </is>
      </c>
      <c r="J1554" s="16" t="inlineStr"/>
      <c r="K1554" s="16" t="inlineStr">
        <is>
          <t>Not Run</t>
        </is>
      </c>
      <c r="L1554" s="16" t="inlineStr">
        <is>
          <t>Medium</t>
        </is>
      </c>
      <c r="M1554" s="16" t="inlineStr"/>
      <c r="N1554" s="16" t="inlineStr"/>
      <c r="O1554" s="16" t="inlineStr"/>
    </row>
    <row r="1555" ht="72" customHeight="1">
      <c r="A1555" s="16" t="inlineStr">
        <is>
          <t>TC-MM-0512</t>
        </is>
      </c>
      <c r="B1555" s="16" t="inlineStr">
        <is>
          <t>Method x Body Matrix</t>
        </is>
      </c>
      <c r="C1555" s="16" t="inlineStr">
        <is>
          <t>HEAD + OAuth2ClientCreds + raw-text</t>
        </is>
      </c>
      <c r="D1555" s="16" t="inlineStr">
        <is>
          <t>Functional</t>
        </is>
      </c>
      <c r="E1555" s="16" t="inlineStr">
        <is>
          <t>HEAD with OAuth2ClientCreds auth and raw-text body</t>
        </is>
      </c>
      <c r="F1555" s="16" t="inlineStr">
        <is>
          <t>Editor open.</t>
        </is>
      </c>
      <c r="G1555" s="16" t="inlineStr">
        <is>
          <t>1. New request; method HEAD; URL to an echo endpoint.
2. Auth type OAuth2ClientCreds; configure minimum credentials.
3. Body type raw-text; provide minimum valid content.
4. Send and inspect outgoing wire request (DevTools/proxy).</t>
        </is>
      </c>
      <c r="H1555" s="16" t="inlineStr">
        <is>
          <t>method=HEAD auth=OAuth2ClientCreds body=raw-text</t>
        </is>
      </c>
      <c r="I1555" s="16" t="inlineStr">
        <is>
          <t>Access token acquired (or refreshed); attached as Bearer; HEAD sent with raw-text body; server returns expected status.</t>
        </is>
      </c>
      <c r="J1555" s="16" t="inlineStr"/>
      <c r="K1555" s="16" t="inlineStr">
        <is>
          <t>Not Run</t>
        </is>
      </c>
      <c r="L1555" s="16" t="inlineStr">
        <is>
          <t>Medium</t>
        </is>
      </c>
      <c r="M1555" s="16" t="inlineStr"/>
      <c r="N1555" s="16" t="inlineStr"/>
      <c r="O1555" s="16" t="inlineStr"/>
    </row>
    <row r="1556" ht="72" customHeight="1">
      <c r="A1556" s="16" t="inlineStr">
        <is>
          <t>TC-MM-0513</t>
        </is>
      </c>
      <c r="B1556" s="16" t="inlineStr">
        <is>
          <t>Method x Body Matrix</t>
        </is>
      </c>
      <c r="C1556" s="16" t="inlineStr">
        <is>
          <t>HEAD + OAuth2ClientCreds + binary</t>
        </is>
      </c>
      <c r="D1556" s="16" t="inlineStr">
        <is>
          <t>Functional</t>
        </is>
      </c>
      <c r="E1556" s="16" t="inlineStr">
        <is>
          <t>HEAD with OAuth2ClientCreds auth and binary body</t>
        </is>
      </c>
      <c r="F1556" s="16" t="inlineStr">
        <is>
          <t>Editor open.</t>
        </is>
      </c>
      <c r="G1556" s="16" t="inlineStr">
        <is>
          <t>1. New request; method HEAD; URL to an echo endpoint.
2. Auth type OAuth2ClientCreds; configure minimum credentials.
3. Body type binary; provide minimum valid content.
4. Send and inspect outgoing wire request (DevTools/proxy).</t>
        </is>
      </c>
      <c r="H1556" s="16" t="inlineStr">
        <is>
          <t>method=HEAD auth=OAuth2ClientCreds body=binary</t>
        </is>
      </c>
      <c r="I1556" s="16" t="inlineStr">
        <is>
          <t>Access token acquired (or refreshed); attached as Bearer; HEAD sent with binary body; server returns expected status.</t>
        </is>
      </c>
      <c r="J1556" s="16" t="inlineStr"/>
      <c r="K1556" s="16" t="inlineStr">
        <is>
          <t>Not Run</t>
        </is>
      </c>
      <c r="L1556" s="16" t="inlineStr">
        <is>
          <t>Medium</t>
        </is>
      </c>
      <c r="M1556" s="16" t="inlineStr"/>
      <c r="N1556" s="16" t="inlineStr"/>
      <c r="O1556" s="16" t="inlineStr"/>
    </row>
    <row r="1557" ht="72" customHeight="1">
      <c r="A1557" s="16" t="inlineStr">
        <is>
          <t>TC-MM-0514</t>
        </is>
      </c>
      <c r="B1557" s="16" t="inlineStr">
        <is>
          <t>Method x Body Matrix</t>
        </is>
      </c>
      <c r="C1557" s="16" t="inlineStr">
        <is>
          <t>HEAD + OAuth2PKCE + none</t>
        </is>
      </c>
      <c r="D1557" s="16" t="inlineStr">
        <is>
          <t>Functional</t>
        </is>
      </c>
      <c r="E1557" s="16" t="inlineStr">
        <is>
          <t>HEAD with OAuth2PKCE auth and none body</t>
        </is>
      </c>
      <c r="F1557" s="16" t="inlineStr">
        <is>
          <t>Editor open.</t>
        </is>
      </c>
      <c r="G1557" s="16" t="inlineStr">
        <is>
          <t>1. New request; method HEAD; URL to an echo endpoint.
2. Auth type OAuth2PKCE; configure minimum credentials.
3. Body type none; provide minimum valid content.
4. Send and inspect outgoing wire request (DevTools/proxy).</t>
        </is>
      </c>
      <c r="H1557" s="16" t="inlineStr">
        <is>
          <t>method=HEAD auth=OAuth2PKCE body=none</t>
        </is>
      </c>
      <c r="I1557" s="16" t="inlineStr">
        <is>
          <t>Access token acquired (or refreshed); attached as Bearer; HEAD sent with none body; server returns expected status.</t>
        </is>
      </c>
      <c r="J1557" s="16" t="inlineStr"/>
      <c r="K1557" s="16" t="inlineStr">
        <is>
          <t>Not Run</t>
        </is>
      </c>
      <c r="L1557" s="16" t="inlineStr">
        <is>
          <t>Medium</t>
        </is>
      </c>
      <c r="M1557" s="16" t="inlineStr"/>
      <c r="N1557" s="16" t="inlineStr"/>
      <c r="O1557" s="16" t="inlineStr"/>
    </row>
    <row r="1558" ht="72" customHeight="1">
      <c r="A1558" s="16" t="inlineStr">
        <is>
          <t>TC-MM-0515</t>
        </is>
      </c>
      <c r="B1558" s="16" t="inlineStr">
        <is>
          <t>Method x Body Matrix</t>
        </is>
      </c>
      <c r="C1558" s="16" t="inlineStr">
        <is>
          <t>HEAD + OAuth2PKCE + form-data</t>
        </is>
      </c>
      <c r="D1558" s="16" t="inlineStr">
        <is>
          <t>Functional</t>
        </is>
      </c>
      <c r="E1558" s="16" t="inlineStr">
        <is>
          <t>HEAD with OAuth2PKCE auth and form-data body</t>
        </is>
      </c>
      <c r="F1558" s="16" t="inlineStr">
        <is>
          <t>Editor open.</t>
        </is>
      </c>
      <c r="G1558" s="16" t="inlineStr">
        <is>
          <t>1. New request; method HEAD; URL to an echo endpoint.
2. Auth type OAuth2PKCE; configure minimum credentials.
3. Body type form-data; provide minimum valid content.
4. Send and inspect outgoing wire request (DevTools/proxy).</t>
        </is>
      </c>
      <c r="H1558" s="16" t="inlineStr">
        <is>
          <t>method=HEAD auth=OAuth2PKCE body=form-data</t>
        </is>
      </c>
      <c r="I1558" s="16" t="inlineStr">
        <is>
          <t>Access token acquired (or refreshed); attached as Bearer; HEAD sent with form-data body; server returns expected status.</t>
        </is>
      </c>
      <c r="J1558" s="16" t="inlineStr"/>
      <c r="K1558" s="16" t="inlineStr">
        <is>
          <t>Not Run</t>
        </is>
      </c>
      <c r="L1558" s="16" t="inlineStr">
        <is>
          <t>Medium</t>
        </is>
      </c>
      <c r="M1558" s="16" t="inlineStr"/>
      <c r="N1558" s="16" t="inlineStr"/>
      <c r="O1558" s="16" t="inlineStr"/>
    </row>
    <row r="1559" ht="72" customHeight="1">
      <c r="A1559" s="16" t="inlineStr">
        <is>
          <t>TC-MM-0516</t>
        </is>
      </c>
      <c r="B1559" s="16" t="inlineStr">
        <is>
          <t>Method x Body Matrix</t>
        </is>
      </c>
      <c r="C1559" s="16" t="inlineStr">
        <is>
          <t>HEAD + OAuth2PKCE + x-www-form-urlencoded</t>
        </is>
      </c>
      <c r="D1559" s="16" t="inlineStr">
        <is>
          <t>Functional</t>
        </is>
      </c>
      <c r="E1559" s="16" t="inlineStr">
        <is>
          <t>HEAD with OAuth2PKCE auth and x-www-form-urlencoded body</t>
        </is>
      </c>
      <c r="F1559" s="16" t="inlineStr">
        <is>
          <t>Editor open.</t>
        </is>
      </c>
      <c r="G1559" s="16" t="inlineStr">
        <is>
          <t>1. New request; method HEAD; URL to an echo endpoint.
2. Auth type OAuth2PKCE; configure minimum credentials.
3. Body type x-www-form-urlencoded; provide minimum valid content.
4. Send and inspect outgoing wire request (DevTools/proxy).</t>
        </is>
      </c>
      <c r="H1559" s="16" t="inlineStr">
        <is>
          <t>method=HEAD auth=OAuth2PKCE body=x-www-form-urlencoded</t>
        </is>
      </c>
      <c r="I1559" s="16" t="inlineStr">
        <is>
          <t>Access token acquired (or refreshed); attached as Bearer; HEAD sent with x-www-form-urlencoded body; server returns expected status.</t>
        </is>
      </c>
      <c r="J1559" s="16" t="inlineStr"/>
      <c r="K1559" s="16" t="inlineStr">
        <is>
          <t>Not Run</t>
        </is>
      </c>
      <c r="L1559" s="16" t="inlineStr">
        <is>
          <t>Medium</t>
        </is>
      </c>
      <c r="M1559" s="16" t="inlineStr"/>
      <c r="N1559" s="16" t="inlineStr"/>
      <c r="O1559" s="16" t="inlineStr"/>
    </row>
    <row r="1560" ht="72" customHeight="1">
      <c r="A1560" s="16" t="inlineStr">
        <is>
          <t>TC-MM-0517</t>
        </is>
      </c>
      <c r="B1560" s="16" t="inlineStr">
        <is>
          <t>Method x Body Matrix</t>
        </is>
      </c>
      <c r="C1560" s="16" t="inlineStr">
        <is>
          <t>HEAD + OAuth2PKCE + raw-json</t>
        </is>
      </c>
      <c r="D1560" s="16" t="inlineStr">
        <is>
          <t>Functional</t>
        </is>
      </c>
      <c r="E1560" s="16" t="inlineStr">
        <is>
          <t>HEAD with OAuth2PKCE auth and raw-json body</t>
        </is>
      </c>
      <c r="F1560" s="16" t="inlineStr">
        <is>
          <t>Editor open.</t>
        </is>
      </c>
      <c r="G1560" s="16" t="inlineStr">
        <is>
          <t>1. New request; method HEAD; URL to an echo endpoint.
2. Auth type OAuth2PKCE; configure minimum credentials.
3. Body type raw-json; provide minimum valid content.
4. Send and inspect outgoing wire request (DevTools/proxy).</t>
        </is>
      </c>
      <c r="H1560" s="16" t="inlineStr">
        <is>
          <t>method=HEAD auth=OAuth2PKCE body=raw-json</t>
        </is>
      </c>
      <c r="I1560" s="16" t="inlineStr">
        <is>
          <t>Access token acquired (or refreshed); attached as Bearer; HEAD sent with raw-json body; server returns expected status.</t>
        </is>
      </c>
      <c r="J1560" s="16" t="inlineStr"/>
      <c r="K1560" s="16" t="inlineStr">
        <is>
          <t>Not Run</t>
        </is>
      </c>
      <c r="L1560" s="16" t="inlineStr">
        <is>
          <t>Medium</t>
        </is>
      </c>
      <c r="M1560" s="16" t="inlineStr"/>
      <c r="N1560" s="16" t="inlineStr"/>
      <c r="O1560" s="16" t="inlineStr"/>
    </row>
    <row r="1561" ht="72" customHeight="1">
      <c r="A1561" s="16" t="inlineStr">
        <is>
          <t>TC-MM-0518</t>
        </is>
      </c>
      <c r="B1561" s="16" t="inlineStr">
        <is>
          <t>Method x Body Matrix</t>
        </is>
      </c>
      <c r="C1561" s="16" t="inlineStr">
        <is>
          <t>HEAD + OAuth2PKCE + raw-xml</t>
        </is>
      </c>
      <c r="D1561" s="16" t="inlineStr">
        <is>
          <t>Functional</t>
        </is>
      </c>
      <c r="E1561" s="16" t="inlineStr">
        <is>
          <t>HEAD with OAuth2PKCE auth and raw-xml body</t>
        </is>
      </c>
      <c r="F1561" s="16" t="inlineStr">
        <is>
          <t>Editor open.</t>
        </is>
      </c>
      <c r="G1561" s="16" t="inlineStr">
        <is>
          <t>1. New request; method HEAD; URL to an echo endpoint.
2. Auth type OAuth2PKCE; configure minimum credentials.
3. Body type raw-xml; provide minimum valid content.
4. Send and inspect outgoing wire request (DevTools/proxy).</t>
        </is>
      </c>
      <c r="H1561" s="16" t="inlineStr">
        <is>
          <t>method=HEAD auth=OAuth2PKCE body=raw-xml</t>
        </is>
      </c>
      <c r="I1561" s="16" t="inlineStr">
        <is>
          <t>Access token acquired (or refreshed); attached as Bearer; HEAD sent with raw-xml body; server returns expected status.</t>
        </is>
      </c>
      <c r="J1561" s="16" t="inlineStr"/>
      <c r="K1561" s="16" t="inlineStr">
        <is>
          <t>Not Run</t>
        </is>
      </c>
      <c r="L1561" s="16" t="inlineStr">
        <is>
          <t>Medium</t>
        </is>
      </c>
      <c r="M1561" s="16" t="inlineStr"/>
      <c r="N1561" s="16" t="inlineStr"/>
      <c r="O1561" s="16" t="inlineStr"/>
    </row>
    <row r="1562" ht="72" customHeight="1">
      <c r="A1562" s="16" t="inlineStr">
        <is>
          <t>TC-MM-0519</t>
        </is>
      </c>
      <c r="B1562" s="16" t="inlineStr">
        <is>
          <t>Method x Body Matrix</t>
        </is>
      </c>
      <c r="C1562" s="16" t="inlineStr">
        <is>
          <t>HEAD + OAuth2PKCE + raw-text</t>
        </is>
      </c>
      <c r="D1562" s="16" t="inlineStr">
        <is>
          <t>Functional</t>
        </is>
      </c>
      <c r="E1562" s="16" t="inlineStr">
        <is>
          <t>HEAD with OAuth2PKCE auth and raw-text body</t>
        </is>
      </c>
      <c r="F1562" s="16" t="inlineStr">
        <is>
          <t>Editor open.</t>
        </is>
      </c>
      <c r="G1562" s="16" t="inlineStr">
        <is>
          <t>1. New request; method HEAD; URL to an echo endpoint.
2. Auth type OAuth2PKCE; configure minimum credentials.
3. Body type raw-text; provide minimum valid content.
4. Send and inspect outgoing wire request (DevTools/proxy).</t>
        </is>
      </c>
      <c r="H1562" s="16" t="inlineStr">
        <is>
          <t>method=HEAD auth=OAuth2PKCE body=raw-text</t>
        </is>
      </c>
      <c r="I1562" s="16" t="inlineStr">
        <is>
          <t>Access token acquired (or refreshed); attached as Bearer; HEAD sent with raw-text body; server returns expected status.</t>
        </is>
      </c>
      <c r="J1562" s="16" t="inlineStr"/>
      <c r="K1562" s="16" t="inlineStr">
        <is>
          <t>Not Run</t>
        </is>
      </c>
      <c r="L1562" s="16" t="inlineStr">
        <is>
          <t>Medium</t>
        </is>
      </c>
      <c r="M1562" s="16" t="inlineStr"/>
      <c r="N1562" s="16" t="inlineStr"/>
      <c r="O1562" s="16" t="inlineStr"/>
    </row>
    <row r="1563" ht="72" customHeight="1">
      <c r="A1563" s="16" t="inlineStr">
        <is>
          <t>TC-MM-0520</t>
        </is>
      </c>
      <c r="B1563" s="16" t="inlineStr">
        <is>
          <t>Method x Body Matrix</t>
        </is>
      </c>
      <c r="C1563" s="16" t="inlineStr">
        <is>
          <t>HEAD + OAuth2PKCE + binary</t>
        </is>
      </c>
      <c r="D1563" s="16" t="inlineStr">
        <is>
          <t>Functional</t>
        </is>
      </c>
      <c r="E1563" s="16" t="inlineStr">
        <is>
          <t>HEAD with OAuth2PKCE auth and binary body</t>
        </is>
      </c>
      <c r="F1563" s="16" t="inlineStr">
        <is>
          <t>Editor open.</t>
        </is>
      </c>
      <c r="G1563" s="16" t="inlineStr">
        <is>
          <t>1. New request; method HEAD; URL to an echo endpoint.
2. Auth type OAuth2PKCE; configure minimum credentials.
3. Body type binary; provide minimum valid content.
4. Send and inspect outgoing wire request (DevTools/proxy).</t>
        </is>
      </c>
      <c r="H1563" s="16" t="inlineStr">
        <is>
          <t>method=HEAD auth=OAuth2PKCE body=binary</t>
        </is>
      </c>
      <c r="I1563" s="16" t="inlineStr">
        <is>
          <t>Access token acquired (or refreshed); attached as Bearer; HEAD sent with binary body; server returns expected status.</t>
        </is>
      </c>
      <c r="J1563" s="16" t="inlineStr"/>
      <c r="K1563" s="16" t="inlineStr">
        <is>
          <t>Not Run</t>
        </is>
      </c>
      <c r="L1563" s="16" t="inlineStr">
        <is>
          <t>Medium</t>
        </is>
      </c>
      <c r="M1563" s="16" t="inlineStr"/>
      <c r="N1563" s="16" t="inlineStr"/>
      <c r="O1563" s="16" t="inlineStr"/>
    </row>
    <row r="1564" ht="72" customHeight="1">
      <c r="A1564" s="16" t="inlineStr">
        <is>
          <t>TC-MM-0521</t>
        </is>
      </c>
      <c r="B1564" s="16" t="inlineStr">
        <is>
          <t>Method x Body Matrix</t>
        </is>
      </c>
      <c r="C1564" s="16" t="inlineStr">
        <is>
          <t>HEAD + Digest + none</t>
        </is>
      </c>
      <c r="D1564" s="16" t="inlineStr">
        <is>
          <t>Functional</t>
        </is>
      </c>
      <c r="E1564" s="16" t="inlineStr">
        <is>
          <t>HEAD with Digest auth and none body</t>
        </is>
      </c>
      <c r="F1564" s="16" t="inlineStr">
        <is>
          <t>Editor open.</t>
        </is>
      </c>
      <c r="G1564" s="16" t="inlineStr">
        <is>
          <t>1. New request; method HEAD; URL to an echo endpoint.
2. Auth type Digest; configure minimum credentials.
3. Body type none; provide minimum valid content.
4. Send and inspect outgoing wire request (DevTools/proxy).</t>
        </is>
      </c>
      <c r="H1564" s="16" t="inlineStr">
        <is>
          <t>method=HEAD auth=Digest body=none</t>
        </is>
      </c>
      <c r="I1564" s="16" t="inlineStr">
        <is>
          <t>Digest auth applied correctly; none body sent with right Content-Type; server returns expected status.</t>
        </is>
      </c>
      <c r="J1564" s="16" t="inlineStr"/>
      <c r="K1564" s="16" t="inlineStr">
        <is>
          <t>Not Run</t>
        </is>
      </c>
      <c r="L1564" s="16" t="inlineStr">
        <is>
          <t>Medium</t>
        </is>
      </c>
      <c r="M1564" s="16" t="inlineStr"/>
      <c r="N1564" s="16" t="inlineStr"/>
      <c r="O1564" s="16" t="inlineStr"/>
    </row>
    <row r="1565" ht="72" customHeight="1">
      <c r="A1565" s="16" t="inlineStr">
        <is>
          <t>TC-MM-0522</t>
        </is>
      </c>
      <c r="B1565" s="16" t="inlineStr">
        <is>
          <t>Method x Body Matrix</t>
        </is>
      </c>
      <c r="C1565" s="16" t="inlineStr">
        <is>
          <t>HEAD + Digest + form-data</t>
        </is>
      </c>
      <c r="D1565" s="16" t="inlineStr">
        <is>
          <t>Edge Case</t>
        </is>
      </c>
      <c r="E1565" s="16" t="inlineStr">
        <is>
          <t>HEAD with Digest auth and form-data body</t>
        </is>
      </c>
      <c r="F1565" s="16" t="inlineStr">
        <is>
          <t>Editor open.</t>
        </is>
      </c>
      <c r="G1565" s="16" t="inlineStr">
        <is>
          <t>1. New request; method HEAD; URL to an echo endpoint.
2. Auth type Digest; configure minimum credentials.
3. Body type form-data; provide minimum valid content.
4. Send and inspect outgoing wire request (DevTools/proxy).</t>
        </is>
      </c>
      <c r="H1565" s="16" t="inlineStr">
        <is>
          <t>method=HEAD auth=Digest body=form-data</t>
        </is>
      </c>
      <c r="I1565" s="16" t="inlineStr">
        <is>
          <t>App allows configuring form-data body for HEAD; verifies wire behavior (sent or stripped) is consistent. Auth header sent regardless.</t>
        </is>
      </c>
      <c r="J1565" s="16" t="inlineStr"/>
      <c r="K1565" s="16" t="inlineStr">
        <is>
          <t>Not Run</t>
        </is>
      </c>
      <c r="L1565" s="16" t="inlineStr">
        <is>
          <t>Low</t>
        </is>
      </c>
      <c r="M1565" s="16" t="inlineStr"/>
      <c r="N1565" s="16" t="inlineStr"/>
      <c r="O1565" s="16" t="inlineStr"/>
    </row>
    <row r="1566" ht="72" customHeight="1">
      <c r="A1566" s="16" t="inlineStr">
        <is>
          <t>TC-MM-0523</t>
        </is>
      </c>
      <c r="B1566" s="16" t="inlineStr">
        <is>
          <t>Method x Body Matrix</t>
        </is>
      </c>
      <c r="C1566" s="16" t="inlineStr">
        <is>
          <t>HEAD + Digest + x-www-form-urlencoded</t>
        </is>
      </c>
      <c r="D1566" s="16" t="inlineStr">
        <is>
          <t>Edge Case</t>
        </is>
      </c>
      <c r="E1566" s="16" t="inlineStr">
        <is>
          <t>HEAD with Digest auth and x-www-form-urlencoded body</t>
        </is>
      </c>
      <c r="F1566" s="16" t="inlineStr">
        <is>
          <t>Editor open.</t>
        </is>
      </c>
      <c r="G1566" s="16" t="inlineStr">
        <is>
          <t>1. New request; method HEAD; URL to an echo endpoint.
2. Auth type Digest; configure minimum credentials.
3. Body type x-www-form-urlencoded; provide minimum valid content.
4. Send and inspect outgoing wire request (DevTools/proxy).</t>
        </is>
      </c>
      <c r="H1566" s="16" t="inlineStr">
        <is>
          <t>method=HEAD auth=Digest body=x-www-form-urlencoded</t>
        </is>
      </c>
      <c r="I1566" s="16" t="inlineStr">
        <is>
          <t>App allows configuring x-www-form-urlencoded body for HEAD; verifies wire behavior (sent or stripped) is consistent. Auth header sent regardless.</t>
        </is>
      </c>
      <c r="J1566" s="16" t="inlineStr"/>
      <c r="K1566" s="16" t="inlineStr">
        <is>
          <t>Not Run</t>
        </is>
      </c>
      <c r="L1566" s="16" t="inlineStr">
        <is>
          <t>Low</t>
        </is>
      </c>
      <c r="M1566" s="16" t="inlineStr"/>
      <c r="N1566" s="16" t="inlineStr"/>
      <c r="O1566" s="16" t="inlineStr"/>
    </row>
    <row r="1567" ht="72" customHeight="1">
      <c r="A1567" s="16" t="inlineStr">
        <is>
          <t>TC-MM-0524</t>
        </is>
      </c>
      <c r="B1567" s="16" t="inlineStr">
        <is>
          <t>Method x Body Matrix</t>
        </is>
      </c>
      <c r="C1567" s="16" t="inlineStr">
        <is>
          <t>HEAD + Digest + raw-json</t>
        </is>
      </c>
      <c r="D1567" s="16" t="inlineStr">
        <is>
          <t>Edge Case</t>
        </is>
      </c>
      <c r="E1567" s="16" t="inlineStr">
        <is>
          <t>HEAD with Digest auth and raw-json body</t>
        </is>
      </c>
      <c r="F1567" s="16" t="inlineStr">
        <is>
          <t>Editor open.</t>
        </is>
      </c>
      <c r="G1567" s="16" t="inlineStr">
        <is>
          <t>1. New request; method HEAD; URL to an echo endpoint.
2. Auth type Digest; configure minimum credentials.
3. Body type raw-json; provide minimum valid content.
4. Send and inspect outgoing wire request (DevTools/proxy).</t>
        </is>
      </c>
      <c r="H1567" s="16" t="inlineStr">
        <is>
          <t>method=HEAD auth=Digest body=raw-json</t>
        </is>
      </c>
      <c r="I1567" s="16" t="inlineStr">
        <is>
          <t>App allows configuring raw-json body for HEAD; verifies wire behavior (sent or stripped) is consistent. Auth header sent regardless.</t>
        </is>
      </c>
      <c r="J1567" s="16" t="inlineStr"/>
      <c r="K1567" s="16" t="inlineStr">
        <is>
          <t>Not Run</t>
        </is>
      </c>
      <c r="L1567" s="16" t="inlineStr">
        <is>
          <t>Low</t>
        </is>
      </c>
      <c r="M1567" s="16" t="inlineStr"/>
      <c r="N1567" s="16" t="inlineStr"/>
      <c r="O1567" s="16" t="inlineStr"/>
    </row>
    <row r="1568" ht="72" customHeight="1">
      <c r="A1568" s="16" t="inlineStr">
        <is>
          <t>TC-MM-0525</t>
        </is>
      </c>
      <c r="B1568" s="16" t="inlineStr">
        <is>
          <t>Method x Body Matrix</t>
        </is>
      </c>
      <c r="C1568" s="16" t="inlineStr">
        <is>
          <t>HEAD + Digest + raw-xml</t>
        </is>
      </c>
      <c r="D1568" s="16" t="inlineStr">
        <is>
          <t>Edge Case</t>
        </is>
      </c>
      <c r="E1568" s="16" t="inlineStr">
        <is>
          <t>HEAD with Digest auth and raw-xml body</t>
        </is>
      </c>
      <c r="F1568" s="16" t="inlineStr">
        <is>
          <t>Editor open.</t>
        </is>
      </c>
      <c r="G1568" s="16" t="inlineStr">
        <is>
          <t>1. New request; method HEAD; URL to an echo endpoint.
2. Auth type Digest; configure minimum credentials.
3. Body type raw-xml; provide minimum valid content.
4. Send and inspect outgoing wire request (DevTools/proxy).</t>
        </is>
      </c>
      <c r="H1568" s="16" t="inlineStr">
        <is>
          <t>method=HEAD auth=Digest body=raw-xml</t>
        </is>
      </c>
      <c r="I1568" s="16" t="inlineStr">
        <is>
          <t>App allows configuring raw-xml body for HEAD; verifies wire behavior (sent or stripped) is consistent. Auth header sent regardless.</t>
        </is>
      </c>
      <c r="J1568" s="16" t="inlineStr"/>
      <c r="K1568" s="16" t="inlineStr">
        <is>
          <t>Not Run</t>
        </is>
      </c>
      <c r="L1568" s="16" t="inlineStr">
        <is>
          <t>Low</t>
        </is>
      </c>
      <c r="M1568" s="16" t="inlineStr"/>
      <c r="N1568" s="16" t="inlineStr"/>
      <c r="O1568" s="16" t="inlineStr"/>
    </row>
    <row r="1569" ht="72" customHeight="1">
      <c r="A1569" s="16" t="inlineStr">
        <is>
          <t>TC-MM-0526</t>
        </is>
      </c>
      <c r="B1569" s="16" t="inlineStr">
        <is>
          <t>Method x Body Matrix</t>
        </is>
      </c>
      <c r="C1569" s="16" t="inlineStr">
        <is>
          <t>HEAD + Digest + raw-text</t>
        </is>
      </c>
      <c r="D1569" s="16" t="inlineStr">
        <is>
          <t>Edge Case</t>
        </is>
      </c>
      <c r="E1569" s="16" t="inlineStr">
        <is>
          <t>HEAD with Digest auth and raw-text body</t>
        </is>
      </c>
      <c r="F1569" s="16" t="inlineStr">
        <is>
          <t>Editor open.</t>
        </is>
      </c>
      <c r="G1569" s="16" t="inlineStr">
        <is>
          <t>1. New request; method HEAD; URL to an echo endpoint.
2. Auth type Digest; configure minimum credentials.
3. Body type raw-text; provide minimum valid content.
4. Send and inspect outgoing wire request (DevTools/proxy).</t>
        </is>
      </c>
      <c r="H1569" s="16" t="inlineStr">
        <is>
          <t>method=HEAD auth=Digest body=raw-text</t>
        </is>
      </c>
      <c r="I1569" s="16" t="inlineStr">
        <is>
          <t>App allows configuring raw-text body for HEAD; verifies wire behavior (sent or stripped) is consistent. Auth header sent regardless.</t>
        </is>
      </c>
      <c r="J1569" s="16" t="inlineStr"/>
      <c r="K1569" s="16" t="inlineStr">
        <is>
          <t>Not Run</t>
        </is>
      </c>
      <c r="L1569" s="16" t="inlineStr">
        <is>
          <t>Low</t>
        </is>
      </c>
      <c r="M1569" s="16" t="inlineStr"/>
      <c r="N1569" s="16" t="inlineStr"/>
      <c r="O1569" s="16" t="inlineStr"/>
    </row>
    <row r="1570" ht="72" customHeight="1">
      <c r="A1570" s="16" t="inlineStr">
        <is>
          <t>TC-MM-0527</t>
        </is>
      </c>
      <c r="B1570" s="16" t="inlineStr">
        <is>
          <t>Method x Body Matrix</t>
        </is>
      </c>
      <c r="C1570" s="16" t="inlineStr">
        <is>
          <t>HEAD + Digest + binary</t>
        </is>
      </c>
      <c r="D1570" s="16" t="inlineStr">
        <is>
          <t>Edge Case</t>
        </is>
      </c>
      <c r="E1570" s="16" t="inlineStr">
        <is>
          <t>HEAD with Digest auth and binary body</t>
        </is>
      </c>
      <c r="F1570" s="16" t="inlineStr">
        <is>
          <t>Editor open.</t>
        </is>
      </c>
      <c r="G1570" s="16" t="inlineStr">
        <is>
          <t>1. New request; method HEAD; URL to an echo endpoint.
2. Auth type Digest; configure minimum credentials.
3. Body type binary; provide minimum valid content.
4. Send and inspect outgoing wire request (DevTools/proxy).</t>
        </is>
      </c>
      <c r="H1570" s="16" t="inlineStr">
        <is>
          <t>method=HEAD auth=Digest body=binary</t>
        </is>
      </c>
      <c r="I1570" s="16" t="inlineStr">
        <is>
          <t>App allows configuring binary body for HEAD; verifies wire behavior (sent or stripped) is consistent. Auth header sent regardless.</t>
        </is>
      </c>
      <c r="J1570" s="16" t="inlineStr"/>
      <c r="K1570" s="16" t="inlineStr">
        <is>
          <t>Not Run</t>
        </is>
      </c>
      <c r="L1570" s="16" t="inlineStr">
        <is>
          <t>Low</t>
        </is>
      </c>
      <c r="M1570" s="16" t="inlineStr"/>
      <c r="N1570" s="16" t="inlineStr"/>
      <c r="O1570" s="16" t="inlineStr"/>
    </row>
    <row r="1571" ht="72" customHeight="1">
      <c r="A1571" s="16" t="inlineStr">
        <is>
          <t>TC-MM-0528</t>
        </is>
      </c>
      <c r="B1571" s="16" t="inlineStr">
        <is>
          <t>Method x Body Matrix</t>
        </is>
      </c>
      <c r="C1571" s="16" t="inlineStr">
        <is>
          <t>HEAD + NTLM + none</t>
        </is>
      </c>
      <c r="D1571" s="16" t="inlineStr">
        <is>
          <t>Functional</t>
        </is>
      </c>
      <c r="E1571" s="16" t="inlineStr">
        <is>
          <t>HEAD with NTLM auth and none body</t>
        </is>
      </c>
      <c r="F1571" s="16" t="inlineStr">
        <is>
          <t>Editor open.</t>
        </is>
      </c>
      <c r="G1571" s="16" t="inlineStr">
        <is>
          <t>1. New request; method HEAD; URL to an echo endpoint.
2. Auth type NTLM; configure minimum credentials.
3. Body type none; provide minimum valid content.
4. Send and inspect outgoing wire request (DevTools/proxy).</t>
        </is>
      </c>
      <c r="H1571" s="16" t="inlineStr">
        <is>
          <t>method=HEAD auth=NTLM body=none</t>
        </is>
      </c>
      <c r="I1571" s="16" t="inlineStr">
        <is>
          <t>NTLM auth applied correctly; none body sent with right Content-Type; server returns expected status.</t>
        </is>
      </c>
      <c r="J1571" s="16" t="inlineStr"/>
      <c r="K1571" s="16" t="inlineStr">
        <is>
          <t>Not Run</t>
        </is>
      </c>
      <c r="L1571" s="16" t="inlineStr">
        <is>
          <t>Medium</t>
        </is>
      </c>
      <c r="M1571" s="16" t="inlineStr"/>
      <c r="N1571" s="16" t="inlineStr"/>
      <c r="O1571" s="16" t="inlineStr"/>
    </row>
    <row r="1572" ht="72" customHeight="1">
      <c r="A1572" s="16" t="inlineStr">
        <is>
          <t>TC-MM-0529</t>
        </is>
      </c>
      <c r="B1572" s="16" t="inlineStr">
        <is>
          <t>Method x Body Matrix</t>
        </is>
      </c>
      <c r="C1572" s="16" t="inlineStr">
        <is>
          <t>HEAD + NTLM + form-data</t>
        </is>
      </c>
      <c r="D1572" s="16" t="inlineStr">
        <is>
          <t>Edge Case</t>
        </is>
      </c>
      <c r="E1572" s="16" t="inlineStr">
        <is>
          <t>HEAD with NTLM auth and form-data body</t>
        </is>
      </c>
      <c r="F1572" s="16" t="inlineStr">
        <is>
          <t>Editor open.</t>
        </is>
      </c>
      <c r="G1572" s="16" t="inlineStr">
        <is>
          <t>1. New request; method HEAD; URL to an echo endpoint.
2. Auth type NTLM; configure minimum credentials.
3. Body type form-data; provide minimum valid content.
4. Send and inspect outgoing wire request (DevTools/proxy).</t>
        </is>
      </c>
      <c r="H1572" s="16" t="inlineStr">
        <is>
          <t>method=HEAD auth=NTLM body=form-data</t>
        </is>
      </c>
      <c r="I1572" s="16" t="inlineStr">
        <is>
          <t>App allows configuring form-data body for HEAD; verifies wire behavior (sent or stripped) is consistent. Auth header sent regardless.</t>
        </is>
      </c>
      <c r="J1572" s="16" t="inlineStr"/>
      <c r="K1572" s="16" t="inlineStr">
        <is>
          <t>Not Run</t>
        </is>
      </c>
      <c r="L1572" s="16" t="inlineStr">
        <is>
          <t>Low</t>
        </is>
      </c>
      <c r="M1572" s="16" t="inlineStr"/>
      <c r="N1572" s="16" t="inlineStr"/>
      <c r="O1572" s="16" t="inlineStr"/>
    </row>
    <row r="1573" ht="72" customHeight="1">
      <c r="A1573" s="16" t="inlineStr">
        <is>
          <t>TC-MM-0530</t>
        </is>
      </c>
      <c r="B1573" s="16" t="inlineStr">
        <is>
          <t>Method x Body Matrix</t>
        </is>
      </c>
      <c r="C1573" s="16" t="inlineStr">
        <is>
          <t>HEAD + NTLM + x-www-form-urlencoded</t>
        </is>
      </c>
      <c r="D1573" s="16" t="inlineStr">
        <is>
          <t>Edge Case</t>
        </is>
      </c>
      <c r="E1573" s="16" t="inlineStr">
        <is>
          <t>HEAD with NTLM auth and x-www-form-urlencoded body</t>
        </is>
      </c>
      <c r="F1573" s="16" t="inlineStr">
        <is>
          <t>Editor open.</t>
        </is>
      </c>
      <c r="G1573" s="16" t="inlineStr">
        <is>
          <t>1. New request; method HEAD; URL to an echo endpoint.
2. Auth type NTLM; configure minimum credentials.
3. Body type x-www-form-urlencoded; provide minimum valid content.
4. Send and inspect outgoing wire request (DevTools/proxy).</t>
        </is>
      </c>
      <c r="H1573" s="16" t="inlineStr">
        <is>
          <t>method=HEAD auth=NTLM body=x-www-form-urlencoded</t>
        </is>
      </c>
      <c r="I1573" s="16" t="inlineStr">
        <is>
          <t>App allows configuring x-www-form-urlencoded body for HEAD; verifies wire behavior (sent or stripped) is consistent. Auth header sent regardless.</t>
        </is>
      </c>
      <c r="J1573" s="16" t="inlineStr"/>
      <c r="K1573" s="16" t="inlineStr">
        <is>
          <t>Not Run</t>
        </is>
      </c>
      <c r="L1573" s="16" t="inlineStr">
        <is>
          <t>Low</t>
        </is>
      </c>
      <c r="M1573" s="16" t="inlineStr"/>
      <c r="N1573" s="16" t="inlineStr"/>
      <c r="O1573" s="16" t="inlineStr"/>
    </row>
    <row r="1574" ht="72" customHeight="1">
      <c r="A1574" s="16" t="inlineStr">
        <is>
          <t>TC-MM-0531</t>
        </is>
      </c>
      <c r="B1574" s="16" t="inlineStr">
        <is>
          <t>Method x Body Matrix</t>
        </is>
      </c>
      <c r="C1574" s="16" t="inlineStr">
        <is>
          <t>HEAD + NTLM + raw-json</t>
        </is>
      </c>
      <c r="D1574" s="16" t="inlineStr">
        <is>
          <t>Edge Case</t>
        </is>
      </c>
      <c r="E1574" s="16" t="inlineStr">
        <is>
          <t>HEAD with NTLM auth and raw-json body</t>
        </is>
      </c>
      <c r="F1574" s="16" t="inlineStr">
        <is>
          <t>Editor open.</t>
        </is>
      </c>
      <c r="G1574" s="16" t="inlineStr">
        <is>
          <t>1. New request; method HEAD; URL to an echo endpoint.
2. Auth type NTLM; configure minimum credentials.
3. Body type raw-json; provide minimum valid content.
4. Send and inspect outgoing wire request (DevTools/proxy).</t>
        </is>
      </c>
      <c r="H1574" s="16" t="inlineStr">
        <is>
          <t>method=HEAD auth=NTLM body=raw-json</t>
        </is>
      </c>
      <c r="I1574" s="16" t="inlineStr">
        <is>
          <t>App allows configuring raw-json body for HEAD; verifies wire behavior (sent or stripped) is consistent. Auth header sent regardless.</t>
        </is>
      </c>
      <c r="J1574" s="16" t="inlineStr"/>
      <c r="K1574" s="16" t="inlineStr">
        <is>
          <t>Not Run</t>
        </is>
      </c>
      <c r="L1574" s="16" t="inlineStr">
        <is>
          <t>Low</t>
        </is>
      </c>
      <c r="M1574" s="16" t="inlineStr"/>
      <c r="N1574" s="16" t="inlineStr"/>
      <c r="O1574" s="16" t="inlineStr"/>
    </row>
    <row r="1575" ht="72" customHeight="1">
      <c r="A1575" s="16" t="inlineStr">
        <is>
          <t>TC-MM-0532</t>
        </is>
      </c>
      <c r="B1575" s="16" t="inlineStr">
        <is>
          <t>Method x Body Matrix</t>
        </is>
      </c>
      <c r="C1575" s="16" t="inlineStr">
        <is>
          <t>HEAD + NTLM + raw-xml</t>
        </is>
      </c>
      <c r="D1575" s="16" t="inlineStr">
        <is>
          <t>Edge Case</t>
        </is>
      </c>
      <c r="E1575" s="16" t="inlineStr">
        <is>
          <t>HEAD with NTLM auth and raw-xml body</t>
        </is>
      </c>
      <c r="F1575" s="16" t="inlineStr">
        <is>
          <t>Editor open.</t>
        </is>
      </c>
      <c r="G1575" s="16" t="inlineStr">
        <is>
          <t>1. New request; method HEAD; URL to an echo endpoint.
2. Auth type NTLM; configure minimum credentials.
3. Body type raw-xml; provide minimum valid content.
4. Send and inspect outgoing wire request (DevTools/proxy).</t>
        </is>
      </c>
      <c r="H1575" s="16" t="inlineStr">
        <is>
          <t>method=HEAD auth=NTLM body=raw-xml</t>
        </is>
      </c>
      <c r="I1575" s="16" t="inlineStr">
        <is>
          <t>App allows configuring raw-xml body for HEAD; verifies wire behavior (sent or stripped) is consistent. Auth header sent regardless.</t>
        </is>
      </c>
      <c r="J1575" s="16" t="inlineStr"/>
      <c r="K1575" s="16" t="inlineStr">
        <is>
          <t>Not Run</t>
        </is>
      </c>
      <c r="L1575" s="16" t="inlineStr">
        <is>
          <t>Low</t>
        </is>
      </c>
      <c r="M1575" s="16" t="inlineStr"/>
      <c r="N1575" s="16" t="inlineStr"/>
      <c r="O1575" s="16" t="inlineStr"/>
    </row>
    <row r="1576" ht="72" customHeight="1">
      <c r="A1576" s="16" t="inlineStr">
        <is>
          <t>TC-MM-0533</t>
        </is>
      </c>
      <c r="B1576" s="16" t="inlineStr">
        <is>
          <t>Method x Body Matrix</t>
        </is>
      </c>
      <c r="C1576" s="16" t="inlineStr">
        <is>
          <t>HEAD + NTLM + raw-text</t>
        </is>
      </c>
      <c r="D1576" s="16" t="inlineStr">
        <is>
          <t>Edge Case</t>
        </is>
      </c>
      <c r="E1576" s="16" t="inlineStr">
        <is>
          <t>HEAD with NTLM auth and raw-text body</t>
        </is>
      </c>
      <c r="F1576" s="16" t="inlineStr">
        <is>
          <t>Editor open.</t>
        </is>
      </c>
      <c r="G1576" s="16" t="inlineStr">
        <is>
          <t>1. New request; method HEAD; URL to an echo endpoint.
2. Auth type NTLM; configure minimum credentials.
3. Body type raw-text; provide minimum valid content.
4. Send and inspect outgoing wire request (DevTools/proxy).</t>
        </is>
      </c>
      <c r="H1576" s="16" t="inlineStr">
        <is>
          <t>method=HEAD auth=NTLM body=raw-text</t>
        </is>
      </c>
      <c r="I1576" s="16" t="inlineStr">
        <is>
          <t>App allows configuring raw-text body for HEAD; verifies wire behavior (sent or stripped) is consistent. Auth header sent regardless.</t>
        </is>
      </c>
      <c r="J1576" s="16" t="inlineStr"/>
      <c r="K1576" s="16" t="inlineStr">
        <is>
          <t>Not Run</t>
        </is>
      </c>
      <c r="L1576" s="16" t="inlineStr">
        <is>
          <t>Low</t>
        </is>
      </c>
      <c r="M1576" s="16" t="inlineStr"/>
      <c r="N1576" s="16" t="inlineStr"/>
      <c r="O1576" s="16" t="inlineStr"/>
    </row>
    <row r="1577" ht="72" customHeight="1">
      <c r="A1577" s="16" t="inlineStr">
        <is>
          <t>TC-MM-0534</t>
        </is>
      </c>
      <c r="B1577" s="16" t="inlineStr">
        <is>
          <t>Method x Body Matrix</t>
        </is>
      </c>
      <c r="C1577" s="16" t="inlineStr">
        <is>
          <t>HEAD + NTLM + binary</t>
        </is>
      </c>
      <c r="D1577" s="16" t="inlineStr">
        <is>
          <t>Edge Case</t>
        </is>
      </c>
      <c r="E1577" s="16" t="inlineStr">
        <is>
          <t>HEAD with NTLM auth and binary body</t>
        </is>
      </c>
      <c r="F1577" s="16" t="inlineStr">
        <is>
          <t>Editor open.</t>
        </is>
      </c>
      <c r="G1577" s="16" t="inlineStr">
        <is>
          <t>1. New request; method HEAD; URL to an echo endpoint.
2. Auth type NTLM; configure minimum credentials.
3. Body type binary; provide minimum valid content.
4. Send and inspect outgoing wire request (DevTools/proxy).</t>
        </is>
      </c>
      <c r="H1577" s="16" t="inlineStr">
        <is>
          <t>method=HEAD auth=NTLM body=binary</t>
        </is>
      </c>
      <c r="I1577" s="16" t="inlineStr">
        <is>
          <t>App allows configuring binary body for HEAD; verifies wire behavior (sent or stripped) is consistent. Auth header sent regardless.</t>
        </is>
      </c>
      <c r="J1577" s="16" t="inlineStr"/>
      <c r="K1577" s="16" t="inlineStr">
        <is>
          <t>Not Run</t>
        </is>
      </c>
      <c r="L1577" s="16" t="inlineStr">
        <is>
          <t>Low</t>
        </is>
      </c>
      <c r="M1577" s="16" t="inlineStr"/>
      <c r="N1577" s="16" t="inlineStr"/>
      <c r="O1577" s="16" t="inlineStr"/>
    </row>
    <row r="1578" ht="72" customHeight="1">
      <c r="A1578" s="16" t="inlineStr">
        <is>
          <t>TC-MM-0535</t>
        </is>
      </c>
      <c r="B1578" s="16" t="inlineStr">
        <is>
          <t>Method x Body Matrix</t>
        </is>
      </c>
      <c r="C1578" s="16" t="inlineStr">
        <is>
          <t>OPTIONS + None + form-data</t>
        </is>
      </c>
      <c r="D1578" s="16" t="inlineStr">
        <is>
          <t>Edge Case</t>
        </is>
      </c>
      <c r="E1578" s="16" t="inlineStr">
        <is>
          <t>OPTIONS with None auth and form-data body</t>
        </is>
      </c>
      <c r="F1578" s="16" t="inlineStr">
        <is>
          <t>Editor open.</t>
        </is>
      </c>
      <c r="G1578" s="16" t="inlineStr">
        <is>
          <t>1. New request; method OPTIONS; URL to an echo endpoint.
2. Auth type None; configure minimum credentials.
3. Body type form-data; provide minimum valid content.
4. Send and inspect outgoing wire request (DevTools/proxy).</t>
        </is>
      </c>
      <c r="H1578" s="16" t="inlineStr">
        <is>
          <t>method=OPTIONS auth=None body=form-data</t>
        </is>
      </c>
      <c r="I1578" s="16" t="inlineStr">
        <is>
          <t>App allows configuring form-data body for OPTIONS; verifies wire behavior (sent or stripped) is consistent. Auth header sent regardless.</t>
        </is>
      </c>
      <c r="J1578" s="16" t="inlineStr"/>
      <c r="K1578" s="16" t="inlineStr">
        <is>
          <t>Not Run</t>
        </is>
      </c>
      <c r="L1578" s="16" t="inlineStr">
        <is>
          <t>Low</t>
        </is>
      </c>
      <c r="M1578" s="16" t="inlineStr"/>
      <c r="N1578" s="16" t="inlineStr"/>
      <c r="O1578" s="16" t="inlineStr"/>
    </row>
    <row r="1579" ht="72" customHeight="1">
      <c r="A1579" s="16" t="inlineStr">
        <is>
          <t>TC-MM-0536</t>
        </is>
      </c>
      <c r="B1579" s="16" t="inlineStr">
        <is>
          <t>Method x Body Matrix</t>
        </is>
      </c>
      <c r="C1579" s="16" t="inlineStr">
        <is>
          <t>OPTIONS + None + x-www-form-urlencoded</t>
        </is>
      </c>
      <c r="D1579" s="16" t="inlineStr">
        <is>
          <t>Edge Case</t>
        </is>
      </c>
      <c r="E1579" s="16" t="inlineStr">
        <is>
          <t>OPTIONS with None auth and x-www-form-urlencoded body</t>
        </is>
      </c>
      <c r="F1579" s="16" t="inlineStr">
        <is>
          <t>Editor open.</t>
        </is>
      </c>
      <c r="G1579" s="16" t="inlineStr">
        <is>
          <t>1. New request; method OPTIONS; URL to an echo endpoint.
2. Auth type None; configure minimum credentials.
3. Body type x-www-form-urlencoded; provide minimum valid content.
4. Send and inspect outgoing wire request (DevTools/proxy).</t>
        </is>
      </c>
      <c r="H1579" s="16" t="inlineStr">
        <is>
          <t>method=OPTIONS auth=None body=x-www-form-urlencoded</t>
        </is>
      </c>
      <c r="I1579" s="16" t="inlineStr">
        <is>
          <t>App allows configuring x-www-form-urlencoded body for OPTIONS; verifies wire behavior (sent or stripped) is consistent. Auth header sent regardless.</t>
        </is>
      </c>
      <c r="J1579" s="16" t="inlineStr"/>
      <c r="K1579" s="16" t="inlineStr">
        <is>
          <t>Not Run</t>
        </is>
      </c>
      <c r="L1579" s="16" t="inlineStr">
        <is>
          <t>Low</t>
        </is>
      </c>
      <c r="M1579" s="16" t="inlineStr"/>
      <c r="N1579" s="16" t="inlineStr"/>
      <c r="O1579" s="16" t="inlineStr"/>
    </row>
    <row r="1580" ht="72" customHeight="1">
      <c r="A1580" s="16" t="inlineStr">
        <is>
          <t>TC-MM-0537</t>
        </is>
      </c>
      <c r="B1580" s="16" t="inlineStr">
        <is>
          <t>Method x Body Matrix</t>
        </is>
      </c>
      <c r="C1580" s="16" t="inlineStr">
        <is>
          <t>OPTIONS + None + raw-json</t>
        </is>
      </c>
      <c r="D1580" s="16" t="inlineStr">
        <is>
          <t>Edge Case</t>
        </is>
      </c>
      <c r="E1580" s="16" t="inlineStr">
        <is>
          <t>OPTIONS with None auth and raw-json body</t>
        </is>
      </c>
      <c r="F1580" s="16" t="inlineStr">
        <is>
          <t>Editor open.</t>
        </is>
      </c>
      <c r="G1580" s="16" t="inlineStr">
        <is>
          <t>1. New request; method OPTIONS; URL to an echo endpoint.
2. Auth type None; configure minimum credentials.
3. Body type raw-json; provide minimum valid content.
4. Send and inspect outgoing wire request (DevTools/proxy).</t>
        </is>
      </c>
      <c r="H1580" s="16" t="inlineStr">
        <is>
          <t>method=OPTIONS auth=None body=raw-json</t>
        </is>
      </c>
      <c r="I1580" s="16" t="inlineStr">
        <is>
          <t>App allows configuring raw-json body for OPTIONS; verifies wire behavior (sent or stripped) is consistent. Auth header sent regardless.</t>
        </is>
      </c>
      <c r="J1580" s="16" t="inlineStr"/>
      <c r="K1580" s="16" t="inlineStr">
        <is>
          <t>Not Run</t>
        </is>
      </c>
      <c r="L1580" s="16" t="inlineStr">
        <is>
          <t>Low</t>
        </is>
      </c>
      <c r="M1580" s="16" t="inlineStr"/>
      <c r="N1580" s="16" t="inlineStr"/>
      <c r="O1580" s="16" t="inlineStr"/>
    </row>
    <row r="1581" ht="72" customHeight="1">
      <c r="A1581" s="16" t="inlineStr">
        <is>
          <t>TC-MM-0538</t>
        </is>
      </c>
      <c r="B1581" s="16" t="inlineStr">
        <is>
          <t>Method x Body Matrix</t>
        </is>
      </c>
      <c r="C1581" s="16" t="inlineStr">
        <is>
          <t>OPTIONS + None + raw-xml</t>
        </is>
      </c>
      <c r="D1581" s="16" t="inlineStr">
        <is>
          <t>Edge Case</t>
        </is>
      </c>
      <c r="E1581" s="16" t="inlineStr">
        <is>
          <t>OPTIONS with None auth and raw-xml body</t>
        </is>
      </c>
      <c r="F1581" s="16" t="inlineStr">
        <is>
          <t>Editor open.</t>
        </is>
      </c>
      <c r="G1581" s="16" t="inlineStr">
        <is>
          <t>1. New request; method OPTIONS; URL to an echo endpoint.
2. Auth type None; configure minimum credentials.
3. Body type raw-xml; provide minimum valid content.
4. Send and inspect outgoing wire request (DevTools/proxy).</t>
        </is>
      </c>
      <c r="H1581" s="16" t="inlineStr">
        <is>
          <t>method=OPTIONS auth=None body=raw-xml</t>
        </is>
      </c>
      <c r="I1581" s="16" t="inlineStr">
        <is>
          <t>App allows configuring raw-xml body for OPTIONS; verifies wire behavior (sent or stripped) is consistent. Auth header sent regardless.</t>
        </is>
      </c>
      <c r="J1581" s="16" t="inlineStr"/>
      <c r="K1581" s="16" t="inlineStr">
        <is>
          <t>Not Run</t>
        </is>
      </c>
      <c r="L1581" s="16" t="inlineStr">
        <is>
          <t>Low</t>
        </is>
      </c>
      <c r="M1581" s="16" t="inlineStr"/>
      <c r="N1581" s="16" t="inlineStr"/>
      <c r="O1581" s="16" t="inlineStr"/>
    </row>
    <row r="1582" ht="72" customHeight="1">
      <c r="A1582" s="16" t="inlineStr">
        <is>
          <t>TC-MM-0539</t>
        </is>
      </c>
      <c r="B1582" s="16" t="inlineStr">
        <is>
          <t>Method x Body Matrix</t>
        </is>
      </c>
      <c r="C1582" s="16" t="inlineStr">
        <is>
          <t>OPTIONS + None + raw-text</t>
        </is>
      </c>
      <c r="D1582" s="16" t="inlineStr">
        <is>
          <t>Edge Case</t>
        </is>
      </c>
      <c r="E1582" s="16" t="inlineStr">
        <is>
          <t>OPTIONS with None auth and raw-text body</t>
        </is>
      </c>
      <c r="F1582" s="16" t="inlineStr">
        <is>
          <t>Editor open.</t>
        </is>
      </c>
      <c r="G1582" s="16" t="inlineStr">
        <is>
          <t>1. New request; method OPTIONS; URL to an echo endpoint.
2. Auth type None; configure minimum credentials.
3. Body type raw-text; provide minimum valid content.
4. Send and inspect outgoing wire request (DevTools/proxy).</t>
        </is>
      </c>
      <c r="H1582" s="16" t="inlineStr">
        <is>
          <t>method=OPTIONS auth=None body=raw-text</t>
        </is>
      </c>
      <c r="I1582" s="16" t="inlineStr">
        <is>
          <t>App allows configuring raw-text body for OPTIONS; verifies wire behavior (sent or stripped) is consistent. Auth header sent regardless.</t>
        </is>
      </c>
      <c r="J1582" s="16" t="inlineStr"/>
      <c r="K1582" s="16" t="inlineStr">
        <is>
          <t>Not Run</t>
        </is>
      </c>
      <c r="L1582" s="16" t="inlineStr">
        <is>
          <t>Low</t>
        </is>
      </c>
      <c r="M1582" s="16" t="inlineStr"/>
      <c r="N1582" s="16" t="inlineStr"/>
      <c r="O1582" s="16" t="inlineStr"/>
    </row>
    <row r="1583" ht="72" customHeight="1">
      <c r="A1583" s="16" t="inlineStr">
        <is>
          <t>TC-MM-0540</t>
        </is>
      </c>
      <c r="B1583" s="16" t="inlineStr">
        <is>
          <t>Method x Body Matrix</t>
        </is>
      </c>
      <c r="C1583" s="16" t="inlineStr">
        <is>
          <t>OPTIONS + None + binary</t>
        </is>
      </c>
      <c r="D1583" s="16" t="inlineStr">
        <is>
          <t>Edge Case</t>
        </is>
      </c>
      <c r="E1583" s="16" t="inlineStr">
        <is>
          <t>OPTIONS with None auth and binary body</t>
        </is>
      </c>
      <c r="F1583" s="16" t="inlineStr">
        <is>
          <t>Editor open.</t>
        </is>
      </c>
      <c r="G1583" s="16" t="inlineStr">
        <is>
          <t>1. New request; method OPTIONS; URL to an echo endpoint.
2. Auth type None; configure minimum credentials.
3. Body type binary; provide minimum valid content.
4. Send and inspect outgoing wire request (DevTools/proxy).</t>
        </is>
      </c>
      <c r="H1583" s="16" t="inlineStr">
        <is>
          <t>method=OPTIONS auth=None body=binary</t>
        </is>
      </c>
      <c r="I1583" s="16" t="inlineStr">
        <is>
          <t>App allows configuring binary body for OPTIONS; verifies wire behavior (sent or stripped) is consistent. Auth header sent regardless.</t>
        </is>
      </c>
      <c r="J1583" s="16" t="inlineStr"/>
      <c r="K1583" s="16" t="inlineStr">
        <is>
          <t>Not Run</t>
        </is>
      </c>
      <c r="L1583" s="16" t="inlineStr">
        <is>
          <t>Low</t>
        </is>
      </c>
      <c r="M1583" s="16" t="inlineStr"/>
      <c r="N1583" s="16" t="inlineStr"/>
      <c r="O1583" s="16" t="inlineStr"/>
    </row>
    <row r="1584" ht="72" customHeight="1">
      <c r="A1584" s="16" t="inlineStr">
        <is>
          <t>TC-MM-0541</t>
        </is>
      </c>
      <c r="B1584" s="16" t="inlineStr">
        <is>
          <t>Method x Body Matrix</t>
        </is>
      </c>
      <c r="C1584" s="16" t="inlineStr">
        <is>
          <t>OPTIONS + Bearer + none</t>
        </is>
      </c>
      <c r="D1584" s="16" t="inlineStr">
        <is>
          <t>Functional</t>
        </is>
      </c>
      <c r="E1584" s="16" t="inlineStr">
        <is>
          <t>OPTIONS with Bearer auth and none body</t>
        </is>
      </c>
      <c r="F1584" s="16" t="inlineStr">
        <is>
          <t>Editor open.</t>
        </is>
      </c>
      <c r="G1584" s="16" t="inlineStr">
        <is>
          <t>1. New request; method OPTIONS; URL to an echo endpoint.
2. Auth type Bearer; configure minimum credentials.
3. Body type none; provide minimum valid content.
4. Send and inspect outgoing wire request (DevTools/proxy).</t>
        </is>
      </c>
      <c r="H1584" s="16" t="inlineStr">
        <is>
          <t>method=OPTIONS auth=Bearer body=none</t>
        </is>
      </c>
      <c r="I1584" s="16" t="inlineStr">
        <is>
          <t>Bearer auth applied correctly; none body sent with right Content-Type; server returns expected status.</t>
        </is>
      </c>
      <c r="J1584" s="16" t="inlineStr"/>
      <c r="K1584" s="16" t="inlineStr">
        <is>
          <t>Not Run</t>
        </is>
      </c>
      <c r="L1584" s="16" t="inlineStr">
        <is>
          <t>Medium</t>
        </is>
      </c>
      <c r="M1584" s="16" t="inlineStr"/>
      <c r="N1584" s="16" t="inlineStr"/>
      <c r="O1584" s="16" t="inlineStr"/>
    </row>
    <row r="1585" ht="72" customHeight="1">
      <c r="A1585" s="16" t="inlineStr">
        <is>
          <t>TC-MM-0542</t>
        </is>
      </c>
      <c r="B1585" s="16" t="inlineStr">
        <is>
          <t>Method x Body Matrix</t>
        </is>
      </c>
      <c r="C1585" s="16" t="inlineStr">
        <is>
          <t>OPTIONS + Bearer + form-data</t>
        </is>
      </c>
      <c r="D1585" s="16" t="inlineStr">
        <is>
          <t>Edge Case</t>
        </is>
      </c>
      <c r="E1585" s="16" t="inlineStr">
        <is>
          <t>OPTIONS with Bearer auth and form-data body</t>
        </is>
      </c>
      <c r="F1585" s="16" t="inlineStr">
        <is>
          <t>Editor open.</t>
        </is>
      </c>
      <c r="G1585" s="16" t="inlineStr">
        <is>
          <t>1. New request; method OPTIONS; URL to an echo endpoint.
2. Auth type Bearer; configure minimum credentials.
3. Body type form-data; provide minimum valid content.
4. Send and inspect outgoing wire request (DevTools/proxy).</t>
        </is>
      </c>
      <c r="H1585" s="16" t="inlineStr">
        <is>
          <t>method=OPTIONS auth=Bearer body=form-data</t>
        </is>
      </c>
      <c r="I1585" s="16" t="inlineStr">
        <is>
          <t>App allows configuring form-data body for OPTIONS; verifies wire behavior (sent or stripped) is consistent. Auth header sent regardless.</t>
        </is>
      </c>
      <c r="J1585" s="16" t="inlineStr"/>
      <c r="K1585" s="16" t="inlineStr">
        <is>
          <t>Not Run</t>
        </is>
      </c>
      <c r="L1585" s="16" t="inlineStr">
        <is>
          <t>Low</t>
        </is>
      </c>
      <c r="M1585" s="16" t="inlineStr"/>
      <c r="N1585" s="16" t="inlineStr"/>
      <c r="O1585" s="16" t="inlineStr"/>
    </row>
    <row r="1586" ht="72" customHeight="1">
      <c r="A1586" s="16" t="inlineStr">
        <is>
          <t>TC-MM-0543</t>
        </is>
      </c>
      <c r="B1586" s="16" t="inlineStr">
        <is>
          <t>Method x Body Matrix</t>
        </is>
      </c>
      <c r="C1586" s="16" t="inlineStr">
        <is>
          <t>OPTIONS + Bearer + x-www-form-urlencoded</t>
        </is>
      </c>
      <c r="D1586" s="16" t="inlineStr">
        <is>
          <t>Edge Case</t>
        </is>
      </c>
      <c r="E1586" s="16" t="inlineStr">
        <is>
          <t>OPTIONS with Bearer auth and x-www-form-urlencoded body</t>
        </is>
      </c>
      <c r="F1586" s="16" t="inlineStr">
        <is>
          <t>Editor open.</t>
        </is>
      </c>
      <c r="G1586" s="16" t="inlineStr">
        <is>
          <t>1. New request; method OPTIONS; URL to an echo endpoint.
2. Auth type Bearer; configure minimum credentials.
3. Body type x-www-form-urlencoded; provide minimum valid content.
4. Send and inspect outgoing wire request (DevTools/proxy).</t>
        </is>
      </c>
      <c r="H1586" s="16" t="inlineStr">
        <is>
          <t>method=OPTIONS auth=Bearer body=x-www-form-urlencoded</t>
        </is>
      </c>
      <c r="I1586" s="16" t="inlineStr">
        <is>
          <t>App allows configuring x-www-form-urlencoded body for OPTIONS; verifies wire behavior (sent or stripped) is consistent. Auth header sent regardless.</t>
        </is>
      </c>
      <c r="J1586" s="16" t="inlineStr"/>
      <c r="K1586" s="16" t="inlineStr">
        <is>
          <t>Not Run</t>
        </is>
      </c>
      <c r="L1586" s="16" t="inlineStr">
        <is>
          <t>Low</t>
        </is>
      </c>
      <c r="M1586" s="16" t="inlineStr"/>
      <c r="N1586" s="16" t="inlineStr"/>
      <c r="O1586" s="16" t="inlineStr"/>
    </row>
    <row r="1587" ht="72" customHeight="1">
      <c r="A1587" s="16" t="inlineStr">
        <is>
          <t>TC-MM-0544</t>
        </is>
      </c>
      <c r="B1587" s="16" t="inlineStr">
        <is>
          <t>Method x Body Matrix</t>
        </is>
      </c>
      <c r="C1587" s="16" t="inlineStr">
        <is>
          <t>OPTIONS + Bearer + raw-json</t>
        </is>
      </c>
      <c r="D1587" s="16" t="inlineStr">
        <is>
          <t>Edge Case</t>
        </is>
      </c>
      <c r="E1587" s="16" t="inlineStr">
        <is>
          <t>OPTIONS with Bearer auth and raw-json body</t>
        </is>
      </c>
      <c r="F1587" s="16" t="inlineStr">
        <is>
          <t>Editor open.</t>
        </is>
      </c>
      <c r="G1587" s="16" t="inlineStr">
        <is>
          <t>1. New request; method OPTIONS; URL to an echo endpoint.
2. Auth type Bearer; configure minimum credentials.
3. Body type raw-json; provide minimum valid content.
4. Send and inspect outgoing wire request (DevTools/proxy).</t>
        </is>
      </c>
      <c r="H1587" s="16" t="inlineStr">
        <is>
          <t>method=OPTIONS auth=Bearer body=raw-json</t>
        </is>
      </c>
      <c r="I1587" s="16" t="inlineStr">
        <is>
          <t>App allows configuring raw-json body for OPTIONS; verifies wire behavior (sent or stripped) is consistent. Auth header sent regardless.</t>
        </is>
      </c>
      <c r="J1587" s="16" t="inlineStr"/>
      <c r="K1587" s="16" t="inlineStr">
        <is>
          <t>Not Run</t>
        </is>
      </c>
      <c r="L1587" s="16" t="inlineStr">
        <is>
          <t>Low</t>
        </is>
      </c>
      <c r="M1587" s="16" t="inlineStr"/>
      <c r="N1587" s="16" t="inlineStr"/>
      <c r="O1587" s="16" t="inlineStr"/>
    </row>
    <row r="1588" ht="72" customHeight="1">
      <c r="A1588" s="16" t="inlineStr">
        <is>
          <t>TC-MM-0545</t>
        </is>
      </c>
      <c r="B1588" s="16" t="inlineStr">
        <is>
          <t>Method x Body Matrix</t>
        </is>
      </c>
      <c r="C1588" s="16" t="inlineStr">
        <is>
          <t>OPTIONS + Bearer + raw-xml</t>
        </is>
      </c>
      <c r="D1588" s="16" t="inlineStr">
        <is>
          <t>Edge Case</t>
        </is>
      </c>
      <c r="E1588" s="16" t="inlineStr">
        <is>
          <t>OPTIONS with Bearer auth and raw-xml body</t>
        </is>
      </c>
      <c r="F1588" s="16" t="inlineStr">
        <is>
          <t>Editor open.</t>
        </is>
      </c>
      <c r="G1588" s="16" t="inlineStr">
        <is>
          <t>1. New request; method OPTIONS; URL to an echo endpoint.
2. Auth type Bearer; configure minimum credentials.
3. Body type raw-xml; provide minimum valid content.
4. Send and inspect outgoing wire request (DevTools/proxy).</t>
        </is>
      </c>
      <c r="H1588" s="16" t="inlineStr">
        <is>
          <t>method=OPTIONS auth=Bearer body=raw-xml</t>
        </is>
      </c>
      <c r="I1588" s="16" t="inlineStr">
        <is>
          <t>App allows configuring raw-xml body for OPTIONS; verifies wire behavior (sent or stripped) is consistent. Auth header sent regardless.</t>
        </is>
      </c>
      <c r="J1588" s="16" t="inlineStr"/>
      <c r="K1588" s="16" t="inlineStr">
        <is>
          <t>Not Run</t>
        </is>
      </c>
      <c r="L1588" s="16" t="inlineStr">
        <is>
          <t>Low</t>
        </is>
      </c>
      <c r="M1588" s="16" t="inlineStr"/>
      <c r="N1588" s="16" t="inlineStr"/>
      <c r="O1588" s="16" t="inlineStr"/>
    </row>
    <row r="1589" ht="72" customHeight="1">
      <c r="A1589" s="16" t="inlineStr">
        <is>
          <t>TC-MM-0546</t>
        </is>
      </c>
      <c r="B1589" s="16" t="inlineStr">
        <is>
          <t>Method x Body Matrix</t>
        </is>
      </c>
      <c r="C1589" s="16" t="inlineStr">
        <is>
          <t>OPTIONS + Bearer + raw-text</t>
        </is>
      </c>
      <c r="D1589" s="16" t="inlineStr">
        <is>
          <t>Edge Case</t>
        </is>
      </c>
      <c r="E1589" s="16" t="inlineStr">
        <is>
          <t>OPTIONS with Bearer auth and raw-text body</t>
        </is>
      </c>
      <c r="F1589" s="16" t="inlineStr">
        <is>
          <t>Editor open.</t>
        </is>
      </c>
      <c r="G1589" s="16" t="inlineStr">
        <is>
          <t>1. New request; method OPTIONS; URL to an echo endpoint.
2. Auth type Bearer; configure minimum credentials.
3. Body type raw-text; provide minimum valid content.
4. Send and inspect outgoing wire request (DevTools/proxy).</t>
        </is>
      </c>
      <c r="H1589" s="16" t="inlineStr">
        <is>
          <t>method=OPTIONS auth=Bearer body=raw-text</t>
        </is>
      </c>
      <c r="I1589" s="16" t="inlineStr">
        <is>
          <t>App allows configuring raw-text body for OPTIONS; verifies wire behavior (sent or stripped) is consistent. Auth header sent regardless.</t>
        </is>
      </c>
      <c r="J1589" s="16" t="inlineStr"/>
      <c r="K1589" s="16" t="inlineStr">
        <is>
          <t>Not Run</t>
        </is>
      </c>
      <c r="L1589" s="16" t="inlineStr">
        <is>
          <t>Low</t>
        </is>
      </c>
      <c r="M1589" s="16" t="inlineStr"/>
      <c r="N1589" s="16" t="inlineStr"/>
      <c r="O1589" s="16" t="inlineStr"/>
    </row>
    <row r="1590" ht="72" customHeight="1">
      <c r="A1590" s="16" t="inlineStr">
        <is>
          <t>TC-MM-0547</t>
        </is>
      </c>
      <c r="B1590" s="16" t="inlineStr">
        <is>
          <t>Method x Body Matrix</t>
        </is>
      </c>
      <c r="C1590" s="16" t="inlineStr">
        <is>
          <t>OPTIONS + Bearer + binary</t>
        </is>
      </c>
      <c r="D1590" s="16" t="inlineStr">
        <is>
          <t>Edge Case</t>
        </is>
      </c>
      <c r="E1590" s="16" t="inlineStr">
        <is>
          <t>OPTIONS with Bearer auth and binary body</t>
        </is>
      </c>
      <c r="F1590" s="16" t="inlineStr">
        <is>
          <t>Editor open.</t>
        </is>
      </c>
      <c r="G1590" s="16" t="inlineStr">
        <is>
          <t>1. New request; method OPTIONS; URL to an echo endpoint.
2. Auth type Bearer; configure minimum credentials.
3. Body type binary; provide minimum valid content.
4. Send and inspect outgoing wire request (DevTools/proxy).</t>
        </is>
      </c>
      <c r="H1590" s="16" t="inlineStr">
        <is>
          <t>method=OPTIONS auth=Bearer body=binary</t>
        </is>
      </c>
      <c r="I1590" s="16" t="inlineStr">
        <is>
          <t>App allows configuring binary body for OPTIONS; verifies wire behavior (sent or stripped) is consistent. Auth header sent regardless.</t>
        </is>
      </c>
      <c r="J1590" s="16" t="inlineStr"/>
      <c r="K1590" s="16" t="inlineStr">
        <is>
          <t>Not Run</t>
        </is>
      </c>
      <c r="L1590" s="16" t="inlineStr">
        <is>
          <t>Low</t>
        </is>
      </c>
      <c r="M1590" s="16" t="inlineStr"/>
      <c r="N1590" s="16" t="inlineStr"/>
      <c r="O1590" s="16" t="inlineStr"/>
    </row>
    <row r="1591" ht="72" customHeight="1">
      <c r="A1591" s="16" t="inlineStr">
        <is>
          <t>TC-MM-0548</t>
        </is>
      </c>
      <c r="B1591" s="16" t="inlineStr">
        <is>
          <t>Method x Body Matrix</t>
        </is>
      </c>
      <c r="C1591" s="16" t="inlineStr">
        <is>
          <t>OPTIONS + Basic + none</t>
        </is>
      </c>
      <c r="D1591" s="16" t="inlineStr">
        <is>
          <t>Functional</t>
        </is>
      </c>
      <c r="E1591" s="16" t="inlineStr">
        <is>
          <t>OPTIONS with Basic auth and none body</t>
        </is>
      </c>
      <c r="F1591" s="16" t="inlineStr">
        <is>
          <t>Editor open.</t>
        </is>
      </c>
      <c r="G1591" s="16" t="inlineStr">
        <is>
          <t>1. New request; method OPTIONS; URL to an echo endpoint.
2. Auth type Basic; configure minimum credentials.
3. Body type none; provide minimum valid content.
4. Send and inspect outgoing wire request (DevTools/proxy).</t>
        </is>
      </c>
      <c r="H1591" s="16" t="inlineStr">
        <is>
          <t>method=OPTIONS auth=Basic body=none</t>
        </is>
      </c>
      <c r="I1591" s="16" t="inlineStr">
        <is>
          <t>Basic auth applied correctly; none body sent with right Content-Type; server returns expected status.</t>
        </is>
      </c>
      <c r="J1591" s="16" t="inlineStr"/>
      <c r="K1591" s="16" t="inlineStr">
        <is>
          <t>Not Run</t>
        </is>
      </c>
      <c r="L1591" s="16" t="inlineStr">
        <is>
          <t>Medium</t>
        </is>
      </c>
      <c r="M1591" s="16" t="inlineStr"/>
      <c r="N1591" s="16" t="inlineStr"/>
      <c r="O1591" s="16" t="inlineStr"/>
    </row>
    <row r="1592" ht="72" customHeight="1">
      <c r="A1592" s="16" t="inlineStr">
        <is>
          <t>TC-MM-0549</t>
        </is>
      </c>
      <c r="B1592" s="16" t="inlineStr">
        <is>
          <t>Method x Body Matrix</t>
        </is>
      </c>
      <c r="C1592" s="16" t="inlineStr">
        <is>
          <t>OPTIONS + Basic + form-data</t>
        </is>
      </c>
      <c r="D1592" s="16" t="inlineStr">
        <is>
          <t>Edge Case</t>
        </is>
      </c>
      <c r="E1592" s="16" t="inlineStr">
        <is>
          <t>OPTIONS with Basic auth and form-data body</t>
        </is>
      </c>
      <c r="F1592" s="16" t="inlineStr">
        <is>
          <t>Editor open.</t>
        </is>
      </c>
      <c r="G1592" s="16" t="inlineStr">
        <is>
          <t>1. New request; method OPTIONS; URL to an echo endpoint.
2. Auth type Basic; configure minimum credentials.
3. Body type form-data; provide minimum valid content.
4. Send and inspect outgoing wire request (DevTools/proxy).</t>
        </is>
      </c>
      <c r="H1592" s="16" t="inlineStr">
        <is>
          <t>method=OPTIONS auth=Basic body=form-data</t>
        </is>
      </c>
      <c r="I1592" s="16" t="inlineStr">
        <is>
          <t>App allows configuring form-data body for OPTIONS; verifies wire behavior (sent or stripped) is consistent. Auth header sent regardless.</t>
        </is>
      </c>
      <c r="J1592" s="16" t="inlineStr"/>
      <c r="K1592" s="16" t="inlineStr">
        <is>
          <t>Not Run</t>
        </is>
      </c>
      <c r="L1592" s="16" t="inlineStr">
        <is>
          <t>Low</t>
        </is>
      </c>
      <c r="M1592" s="16" t="inlineStr"/>
      <c r="N1592" s="16" t="inlineStr"/>
      <c r="O1592" s="16" t="inlineStr"/>
    </row>
    <row r="1593" ht="72" customHeight="1">
      <c r="A1593" s="16" t="inlineStr">
        <is>
          <t>TC-MM-0550</t>
        </is>
      </c>
      <c r="B1593" s="16" t="inlineStr">
        <is>
          <t>Method x Body Matrix</t>
        </is>
      </c>
      <c r="C1593" s="16" t="inlineStr">
        <is>
          <t>OPTIONS + Basic + x-www-form-urlencoded</t>
        </is>
      </c>
      <c r="D1593" s="16" t="inlineStr">
        <is>
          <t>Edge Case</t>
        </is>
      </c>
      <c r="E1593" s="16" t="inlineStr">
        <is>
          <t>OPTIONS with Basic auth and x-www-form-urlencoded body</t>
        </is>
      </c>
      <c r="F1593" s="16" t="inlineStr">
        <is>
          <t>Editor open.</t>
        </is>
      </c>
      <c r="G1593" s="16" t="inlineStr">
        <is>
          <t>1. New request; method OPTIONS; URL to an echo endpoint.
2. Auth type Basic; configure minimum credentials.
3. Body type x-www-form-urlencoded; provide minimum valid content.
4. Send and inspect outgoing wire request (DevTools/proxy).</t>
        </is>
      </c>
      <c r="H1593" s="16" t="inlineStr">
        <is>
          <t>method=OPTIONS auth=Basic body=x-www-form-urlencoded</t>
        </is>
      </c>
      <c r="I1593" s="16" t="inlineStr">
        <is>
          <t>App allows configuring x-www-form-urlencoded body for OPTIONS; verifies wire behavior (sent or stripped) is consistent. Auth header sent regardless.</t>
        </is>
      </c>
      <c r="J1593" s="16" t="inlineStr"/>
      <c r="K1593" s="16" t="inlineStr">
        <is>
          <t>Not Run</t>
        </is>
      </c>
      <c r="L1593" s="16" t="inlineStr">
        <is>
          <t>Low</t>
        </is>
      </c>
      <c r="M1593" s="16" t="inlineStr"/>
      <c r="N1593" s="16" t="inlineStr"/>
      <c r="O1593" s="16" t="inlineStr"/>
    </row>
    <row r="1594" ht="72" customHeight="1">
      <c r="A1594" s="16" t="inlineStr">
        <is>
          <t>TC-MM-0551</t>
        </is>
      </c>
      <c r="B1594" s="16" t="inlineStr">
        <is>
          <t>Method x Body Matrix</t>
        </is>
      </c>
      <c r="C1594" s="16" t="inlineStr">
        <is>
          <t>OPTIONS + Basic + raw-json</t>
        </is>
      </c>
      <c r="D1594" s="16" t="inlineStr">
        <is>
          <t>Edge Case</t>
        </is>
      </c>
      <c r="E1594" s="16" t="inlineStr">
        <is>
          <t>OPTIONS with Basic auth and raw-json body</t>
        </is>
      </c>
      <c r="F1594" s="16" t="inlineStr">
        <is>
          <t>Editor open.</t>
        </is>
      </c>
      <c r="G1594" s="16" t="inlineStr">
        <is>
          <t>1. New request; method OPTIONS; URL to an echo endpoint.
2. Auth type Basic; configure minimum credentials.
3. Body type raw-json; provide minimum valid content.
4. Send and inspect outgoing wire request (DevTools/proxy).</t>
        </is>
      </c>
      <c r="H1594" s="16" t="inlineStr">
        <is>
          <t>method=OPTIONS auth=Basic body=raw-json</t>
        </is>
      </c>
      <c r="I1594" s="16" t="inlineStr">
        <is>
          <t>App allows configuring raw-json body for OPTIONS; verifies wire behavior (sent or stripped) is consistent. Auth header sent regardless.</t>
        </is>
      </c>
      <c r="J1594" s="16" t="inlineStr"/>
      <c r="K1594" s="16" t="inlineStr">
        <is>
          <t>Not Run</t>
        </is>
      </c>
      <c r="L1594" s="16" t="inlineStr">
        <is>
          <t>Low</t>
        </is>
      </c>
      <c r="M1594" s="16" t="inlineStr"/>
      <c r="N1594" s="16" t="inlineStr"/>
      <c r="O1594" s="16" t="inlineStr"/>
    </row>
    <row r="1595" ht="72" customHeight="1">
      <c r="A1595" s="16" t="inlineStr">
        <is>
          <t>TC-MM-0552</t>
        </is>
      </c>
      <c r="B1595" s="16" t="inlineStr">
        <is>
          <t>Method x Body Matrix</t>
        </is>
      </c>
      <c r="C1595" s="16" t="inlineStr">
        <is>
          <t>OPTIONS + Basic + raw-xml</t>
        </is>
      </c>
      <c r="D1595" s="16" t="inlineStr">
        <is>
          <t>Edge Case</t>
        </is>
      </c>
      <c r="E1595" s="16" t="inlineStr">
        <is>
          <t>OPTIONS with Basic auth and raw-xml body</t>
        </is>
      </c>
      <c r="F1595" s="16" t="inlineStr">
        <is>
          <t>Editor open.</t>
        </is>
      </c>
      <c r="G1595" s="16" t="inlineStr">
        <is>
          <t>1. New request; method OPTIONS; URL to an echo endpoint.
2. Auth type Basic; configure minimum credentials.
3. Body type raw-xml; provide minimum valid content.
4. Send and inspect outgoing wire request (DevTools/proxy).</t>
        </is>
      </c>
      <c r="H1595" s="16" t="inlineStr">
        <is>
          <t>method=OPTIONS auth=Basic body=raw-xml</t>
        </is>
      </c>
      <c r="I1595" s="16" t="inlineStr">
        <is>
          <t>App allows configuring raw-xml body for OPTIONS; verifies wire behavior (sent or stripped) is consistent. Auth header sent regardless.</t>
        </is>
      </c>
      <c r="J1595" s="16" t="inlineStr"/>
      <c r="K1595" s="16" t="inlineStr">
        <is>
          <t>Not Run</t>
        </is>
      </c>
      <c r="L1595" s="16" t="inlineStr">
        <is>
          <t>Low</t>
        </is>
      </c>
      <c r="M1595" s="16" t="inlineStr"/>
      <c r="N1595" s="16" t="inlineStr"/>
      <c r="O1595" s="16" t="inlineStr"/>
    </row>
    <row r="1596" ht="72" customHeight="1">
      <c r="A1596" s="16" t="inlineStr">
        <is>
          <t>TC-MM-0553</t>
        </is>
      </c>
      <c r="B1596" s="16" t="inlineStr">
        <is>
          <t>Method x Body Matrix</t>
        </is>
      </c>
      <c r="C1596" s="16" t="inlineStr">
        <is>
          <t>OPTIONS + Basic + raw-text</t>
        </is>
      </c>
      <c r="D1596" s="16" t="inlineStr">
        <is>
          <t>Edge Case</t>
        </is>
      </c>
      <c r="E1596" s="16" t="inlineStr">
        <is>
          <t>OPTIONS with Basic auth and raw-text body</t>
        </is>
      </c>
      <c r="F1596" s="16" t="inlineStr">
        <is>
          <t>Editor open.</t>
        </is>
      </c>
      <c r="G1596" s="16" t="inlineStr">
        <is>
          <t>1. New request; method OPTIONS; URL to an echo endpoint.
2. Auth type Basic; configure minimum credentials.
3. Body type raw-text; provide minimum valid content.
4. Send and inspect outgoing wire request (DevTools/proxy).</t>
        </is>
      </c>
      <c r="H1596" s="16" t="inlineStr">
        <is>
          <t>method=OPTIONS auth=Basic body=raw-text</t>
        </is>
      </c>
      <c r="I1596" s="16" t="inlineStr">
        <is>
          <t>App allows configuring raw-text body for OPTIONS; verifies wire behavior (sent or stripped) is consistent. Auth header sent regardless.</t>
        </is>
      </c>
      <c r="J1596" s="16" t="inlineStr"/>
      <c r="K1596" s="16" t="inlineStr">
        <is>
          <t>Not Run</t>
        </is>
      </c>
      <c r="L1596" s="16" t="inlineStr">
        <is>
          <t>Low</t>
        </is>
      </c>
      <c r="M1596" s="16" t="inlineStr"/>
      <c r="N1596" s="16" t="inlineStr"/>
      <c r="O1596" s="16" t="inlineStr"/>
    </row>
    <row r="1597" ht="72" customHeight="1">
      <c r="A1597" s="16" t="inlineStr">
        <is>
          <t>TC-MM-0554</t>
        </is>
      </c>
      <c r="B1597" s="16" t="inlineStr">
        <is>
          <t>Method x Body Matrix</t>
        </is>
      </c>
      <c r="C1597" s="16" t="inlineStr">
        <is>
          <t>OPTIONS + Basic + binary</t>
        </is>
      </c>
      <c r="D1597" s="16" t="inlineStr">
        <is>
          <t>Edge Case</t>
        </is>
      </c>
      <c r="E1597" s="16" t="inlineStr">
        <is>
          <t>OPTIONS with Basic auth and binary body</t>
        </is>
      </c>
      <c r="F1597" s="16" t="inlineStr">
        <is>
          <t>Editor open.</t>
        </is>
      </c>
      <c r="G1597" s="16" t="inlineStr">
        <is>
          <t>1. New request; method OPTIONS; URL to an echo endpoint.
2. Auth type Basic; configure minimum credentials.
3. Body type binary; provide minimum valid content.
4. Send and inspect outgoing wire request (DevTools/proxy).</t>
        </is>
      </c>
      <c r="H1597" s="16" t="inlineStr">
        <is>
          <t>method=OPTIONS auth=Basic body=binary</t>
        </is>
      </c>
      <c r="I1597" s="16" t="inlineStr">
        <is>
          <t>App allows configuring binary body for OPTIONS; verifies wire behavior (sent or stripped) is consistent. Auth header sent regardless.</t>
        </is>
      </c>
      <c r="J1597" s="16" t="inlineStr"/>
      <c r="K1597" s="16" t="inlineStr">
        <is>
          <t>Not Run</t>
        </is>
      </c>
      <c r="L1597" s="16" t="inlineStr">
        <is>
          <t>Low</t>
        </is>
      </c>
      <c r="M1597" s="16" t="inlineStr"/>
      <c r="N1597" s="16" t="inlineStr"/>
      <c r="O1597" s="16" t="inlineStr"/>
    </row>
    <row r="1598" ht="72" customHeight="1">
      <c r="A1598" s="16" t="inlineStr">
        <is>
          <t>TC-MM-0555</t>
        </is>
      </c>
      <c r="B1598" s="16" t="inlineStr">
        <is>
          <t>Method x Body Matrix</t>
        </is>
      </c>
      <c r="C1598" s="16" t="inlineStr">
        <is>
          <t>OPTIONS + ApiKeyHeader + none</t>
        </is>
      </c>
      <c r="D1598" s="16" t="inlineStr">
        <is>
          <t>Functional</t>
        </is>
      </c>
      <c r="E1598" s="16" t="inlineStr">
        <is>
          <t>OPTIONS with ApiKeyHeader auth and none body</t>
        </is>
      </c>
      <c r="F1598" s="16" t="inlineStr">
        <is>
          <t>Editor open.</t>
        </is>
      </c>
      <c r="G1598" s="16" t="inlineStr">
        <is>
          <t>1. New request; method OPTIONS; URL to an echo endpoint.
2. Auth type ApiKeyHeader; configure minimum credentials.
3. Body type none; provide minimum valid content.
4. Send and inspect outgoing wire request (DevTools/proxy).</t>
        </is>
      </c>
      <c r="H1598" s="16" t="inlineStr">
        <is>
          <t>method=OPTIONS auth=ApiKeyHeader body=none</t>
        </is>
      </c>
      <c r="I1598" s="16" t="inlineStr">
        <is>
          <t>ApiKeyHeader auth applied correctly; none body sent with right Content-Type; server returns expected status.</t>
        </is>
      </c>
      <c r="J1598" s="16" t="inlineStr"/>
      <c r="K1598" s="16" t="inlineStr">
        <is>
          <t>Not Run</t>
        </is>
      </c>
      <c r="L1598" s="16" t="inlineStr">
        <is>
          <t>Medium</t>
        </is>
      </c>
      <c r="M1598" s="16" t="inlineStr"/>
      <c r="N1598" s="16" t="inlineStr"/>
      <c r="O1598" s="16" t="inlineStr"/>
    </row>
    <row r="1599" ht="72" customHeight="1">
      <c r="A1599" s="16" t="inlineStr">
        <is>
          <t>TC-MM-0556</t>
        </is>
      </c>
      <c r="B1599" s="16" t="inlineStr">
        <is>
          <t>Method x Body Matrix</t>
        </is>
      </c>
      <c r="C1599" s="16" t="inlineStr">
        <is>
          <t>OPTIONS + ApiKeyHeader + form-data</t>
        </is>
      </c>
      <c r="D1599" s="16" t="inlineStr">
        <is>
          <t>Edge Case</t>
        </is>
      </c>
      <c r="E1599" s="16" t="inlineStr">
        <is>
          <t>OPTIONS with ApiKeyHeader auth and form-data body</t>
        </is>
      </c>
      <c r="F1599" s="16" t="inlineStr">
        <is>
          <t>Editor open.</t>
        </is>
      </c>
      <c r="G1599" s="16" t="inlineStr">
        <is>
          <t>1. New request; method OPTIONS; URL to an echo endpoint.
2. Auth type ApiKeyHeader; configure minimum credentials.
3. Body type form-data; provide minimum valid content.
4. Send and inspect outgoing wire request (DevTools/proxy).</t>
        </is>
      </c>
      <c r="H1599" s="16" t="inlineStr">
        <is>
          <t>method=OPTIONS auth=ApiKeyHeader body=form-data</t>
        </is>
      </c>
      <c r="I1599" s="16" t="inlineStr">
        <is>
          <t>App allows configuring form-data body for OPTIONS; verifies wire behavior (sent or stripped) is consistent. Auth header sent regardless.</t>
        </is>
      </c>
      <c r="J1599" s="16" t="inlineStr"/>
      <c r="K1599" s="16" t="inlineStr">
        <is>
          <t>Not Run</t>
        </is>
      </c>
      <c r="L1599" s="16" t="inlineStr">
        <is>
          <t>Low</t>
        </is>
      </c>
      <c r="M1599" s="16" t="inlineStr"/>
      <c r="N1599" s="16" t="inlineStr"/>
      <c r="O1599" s="16" t="inlineStr"/>
    </row>
    <row r="1600" ht="72" customHeight="1">
      <c r="A1600" s="16" t="inlineStr">
        <is>
          <t>TC-MM-0557</t>
        </is>
      </c>
      <c r="B1600" s="16" t="inlineStr">
        <is>
          <t>Method x Body Matrix</t>
        </is>
      </c>
      <c r="C1600" s="16" t="inlineStr">
        <is>
          <t>OPTIONS + ApiKeyHeader + x-www-form-urlencoded</t>
        </is>
      </c>
      <c r="D1600" s="16" t="inlineStr">
        <is>
          <t>Edge Case</t>
        </is>
      </c>
      <c r="E1600" s="16" t="inlineStr">
        <is>
          <t>OPTIONS with ApiKeyHeader auth and x-www-form-urlencoded body</t>
        </is>
      </c>
      <c r="F1600" s="16" t="inlineStr">
        <is>
          <t>Editor open.</t>
        </is>
      </c>
      <c r="G1600" s="16" t="inlineStr">
        <is>
          <t>1. New request; method OPTIONS; URL to an echo endpoint.
2. Auth type ApiKeyHeader; configure minimum credentials.
3. Body type x-www-form-urlencoded; provide minimum valid content.
4. Send and inspect outgoing wire request (DevTools/proxy).</t>
        </is>
      </c>
      <c r="H1600" s="16" t="inlineStr">
        <is>
          <t>method=OPTIONS auth=ApiKeyHeader body=x-www-form-urlencoded</t>
        </is>
      </c>
      <c r="I1600" s="16" t="inlineStr">
        <is>
          <t>App allows configuring x-www-form-urlencoded body for OPTIONS; verifies wire behavior (sent or stripped) is consistent. Auth header sent regardless.</t>
        </is>
      </c>
      <c r="J1600" s="16" t="inlineStr"/>
      <c r="K1600" s="16" t="inlineStr">
        <is>
          <t>Not Run</t>
        </is>
      </c>
      <c r="L1600" s="16" t="inlineStr">
        <is>
          <t>Low</t>
        </is>
      </c>
      <c r="M1600" s="16" t="inlineStr"/>
      <c r="N1600" s="16" t="inlineStr"/>
      <c r="O1600" s="16" t="inlineStr"/>
    </row>
    <row r="1601" ht="72" customHeight="1">
      <c r="A1601" s="16" t="inlineStr">
        <is>
          <t>TC-MM-0558</t>
        </is>
      </c>
      <c r="B1601" s="16" t="inlineStr">
        <is>
          <t>Method x Body Matrix</t>
        </is>
      </c>
      <c r="C1601" s="16" t="inlineStr">
        <is>
          <t>OPTIONS + ApiKeyHeader + raw-json</t>
        </is>
      </c>
      <c r="D1601" s="16" t="inlineStr">
        <is>
          <t>Edge Case</t>
        </is>
      </c>
      <c r="E1601" s="16" t="inlineStr">
        <is>
          <t>OPTIONS with ApiKeyHeader auth and raw-json body</t>
        </is>
      </c>
      <c r="F1601" s="16" t="inlineStr">
        <is>
          <t>Editor open.</t>
        </is>
      </c>
      <c r="G1601" s="16" t="inlineStr">
        <is>
          <t>1. New request; method OPTIONS; URL to an echo endpoint.
2. Auth type ApiKeyHeader; configure minimum credentials.
3. Body type raw-json; provide minimum valid content.
4. Send and inspect outgoing wire request (DevTools/proxy).</t>
        </is>
      </c>
      <c r="H1601" s="16" t="inlineStr">
        <is>
          <t>method=OPTIONS auth=ApiKeyHeader body=raw-json</t>
        </is>
      </c>
      <c r="I1601" s="16" t="inlineStr">
        <is>
          <t>App allows configuring raw-json body for OPTIONS; verifies wire behavior (sent or stripped) is consistent. Auth header sent regardless.</t>
        </is>
      </c>
      <c r="J1601" s="16" t="inlineStr"/>
      <c r="K1601" s="16" t="inlineStr">
        <is>
          <t>Not Run</t>
        </is>
      </c>
      <c r="L1601" s="16" t="inlineStr">
        <is>
          <t>Low</t>
        </is>
      </c>
      <c r="M1601" s="16" t="inlineStr"/>
      <c r="N1601" s="16" t="inlineStr"/>
      <c r="O1601" s="16" t="inlineStr"/>
    </row>
    <row r="1602" ht="72" customHeight="1">
      <c r="A1602" s="16" t="inlineStr">
        <is>
          <t>TC-MM-0559</t>
        </is>
      </c>
      <c r="B1602" s="16" t="inlineStr">
        <is>
          <t>Method x Body Matrix</t>
        </is>
      </c>
      <c r="C1602" s="16" t="inlineStr">
        <is>
          <t>OPTIONS + ApiKeyHeader + raw-xml</t>
        </is>
      </c>
      <c r="D1602" s="16" t="inlineStr">
        <is>
          <t>Edge Case</t>
        </is>
      </c>
      <c r="E1602" s="16" t="inlineStr">
        <is>
          <t>OPTIONS with ApiKeyHeader auth and raw-xml body</t>
        </is>
      </c>
      <c r="F1602" s="16" t="inlineStr">
        <is>
          <t>Editor open.</t>
        </is>
      </c>
      <c r="G1602" s="16" t="inlineStr">
        <is>
          <t>1. New request; method OPTIONS; URL to an echo endpoint.
2. Auth type ApiKeyHeader; configure minimum credentials.
3. Body type raw-xml; provide minimum valid content.
4. Send and inspect outgoing wire request (DevTools/proxy).</t>
        </is>
      </c>
      <c r="H1602" s="16" t="inlineStr">
        <is>
          <t>method=OPTIONS auth=ApiKeyHeader body=raw-xml</t>
        </is>
      </c>
      <c r="I1602" s="16" t="inlineStr">
        <is>
          <t>App allows configuring raw-xml body for OPTIONS; verifies wire behavior (sent or stripped) is consistent. Auth header sent regardless.</t>
        </is>
      </c>
      <c r="J1602" s="16" t="inlineStr"/>
      <c r="K1602" s="16" t="inlineStr">
        <is>
          <t>Not Run</t>
        </is>
      </c>
      <c r="L1602" s="16" t="inlineStr">
        <is>
          <t>Low</t>
        </is>
      </c>
      <c r="M1602" s="16" t="inlineStr"/>
      <c r="N1602" s="16" t="inlineStr"/>
      <c r="O1602" s="16" t="inlineStr"/>
    </row>
    <row r="1603" ht="72" customHeight="1">
      <c r="A1603" s="16" t="inlineStr">
        <is>
          <t>TC-MM-0560</t>
        </is>
      </c>
      <c r="B1603" s="16" t="inlineStr">
        <is>
          <t>Method x Body Matrix</t>
        </is>
      </c>
      <c r="C1603" s="16" t="inlineStr">
        <is>
          <t>OPTIONS + ApiKeyHeader + raw-text</t>
        </is>
      </c>
      <c r="D1603" s="16" t="inlineStr">
        <is>
          <t>Edge Case</t>
        </is>
      </c>
      <c r="E1603" s="16" t="inlineStr">
        <is>
          <t>OPTIONS with ApiKeyHeader auth and raw-text body</t>
        </is>
      </c>
      <c r="F1603" s="16" t="inlineStr">
        <is>
          <t>Editor open.</t>
        </is>
      </c>
      <c r="G1603" s="16" t="inlineStr">
        <is>
          <t>1. New request; method OPTIONS; URL to an echo endpoint.
2. Auth type ApiKeyHeader; configure minimum credentials.
3. Body type raw-text; provide minimum valid content.
4. Send and inspect outgoing wire request (DevTools/proxy).</t>
        </is>
      </c>
      <c r="H1603" s="16" t="inlineStr">
        <is>
          <t>method=OPTIONS auth=ApiKeyHeader body=raw-text</t>
        </is>
      </c>
      <c r="I1603" s="16" t="inlineStr">
        <is>
          <t>App allows configuring raw-text body for OPTIONS; verifies wire behavior (sent or stripped) is consistent. Auth header sent regardless.</t>
        </is>
      </c>
      <c r="J1603" s="16" t="inlineStr"/>
      <c r="K1603" s="16" t="inlineStr">
        <is>
          <t>Not Run</t>
        </is>
      </c>
      <c r="L1603" s="16" t="inlineStr">
        <is>
          <t>Low</t>
        </is>
      </c>
      <c r="M1603" s="16" t="inlineStr"/>
      <c r="N1603" s="16" t="inlineStr"/>
      <c r="O1603" s="16" t="inlineStr"/>
    </row>
    <row r="1604" ht="72" customHeight="1">
      <c r="A1604" s="16" t="inlineStr">
        <is>
          <t>TC-MM-0561</t>
        </is>
      </c>
      <c r="B1604" s="16" t="inlineStr">
        <is>
          <t>Method x Body Matrix</t>
        </is>
      </c>
      <c r="C1604" s="16" t="inlineStr">
        <is>
          <t>OPTIONS + ApiKeyHeader + binary</t>
        </is>
      </c>
      <c r="D1604" s="16" t="inlineStr">
        <is>
          <t>Edge Case</t>
        </is>
      </c>
      <c r="E1604" s="16" t="inlineStr">
        <is>
          <t>OPTIONS with ApiKeyHeader auth and binary body</t>
        </is>
      </c>
      <c r="F1604" s="16" t="inlineStr">
        <is>
          <t>Editor open.</t>
        </is>
      </c>
      <c r="G1604" s="16" t="inlineStr">
        <is>
          <t>1. New request; method OPTIONS; URL to an echo endpoint.
2. Auth type ApiKeyHeader; configure minimum credentials.
3. Body type binary; provide minimum valid content.
4. Send and inspect outgoing wire request (DevTools/proxy).</t>
        </is>
      </c>
      <c r="H1604" s="16" t="inlineStr">
        <is>
          <t>method=OPTIONS auth=ApiKeyHeader body=binary</t>
        </is>
      </c>
      <c r="I1604" s="16" t="inlineStr">
        <is>
          <t>App allows configuring binary body for OPTIONS; verifies wire behavior (sent or stripped) is consistent. Auth header sent regardless.</t>
        </is>
      </c>
      <c r="J1604" s="16" t="inlineStr"/>
      <c r="K1604" s="16" t="inlineStr">
        <is>
          <t>Not Run</t>
        </is>
      </c>
      <c r="L1604" s="16" t="inlineStr">
        <is>
          <t>Low</t>
        </is>
      </c>
      <c r="M1604" s="16" t="inlineStr"/>
      <c r="N1604" s="16" t="inlineStr"/>
      <c r="O1604" s="16" t="inlineStr"/>
    </row>
    <row r="1605" ht="72" customHeight="1">
      <c r="A1605" s="16" t="inlineStr">
        <is>
          <t>TC-MM-0562</t>
        </is>
      </c>
      <c r="B1605" s="16" t="inlineStr">
        <is>
          <t>Method x Body Matrix</t>
        </is>
      </c>
      <c r="C1605" s="16" t="inlineStr">
        <is>
          <t>OPTIONS + ApiKeyQuery + none</t>
        </is>
      </c>
      <c r="D1605" s="16" t="inlineStr">
        <is>
          <t>Functional</t>
        </is>
      </c>
      <c r="E1605" s="16" t="inlineStr">
        <is>
          <t>OPTIONS with ApiKeyQuery auth and none body</t>
        </is>
      </c>
      <c r="F1605" s="16" t="inlineStr">
        <is>
          <t>Editor open.</t>
        </is>
      </c>
      <c r="G1605" s="16" t="inlineStr">
        <is>
          <t>1. New request; method OPTIONS; URL to an echo endpoint.
2. Auth type ApiKeyQuery; configure minimum credentials.
3. Body type none; provide minimum valid content.
4. Send and inspect outgoing wire request (DevTools/proxy).</t>
        </is>
      </c>
      <c r="H1605" s="16" t="inlineStr">
        <is>
          <t>method=OPTIONS auth=ApiKeyQuery body=none</t>
        </is>
      </c>
      <c r="I1605" s="16" t="inlineStr">
        <is>
          <t>ApiKeyQuery auth applied correctly; none body sent with right Content-Type; server returns expected status.</t>
        </is>
      </c>
      <c r="J1605" s="16" t="inlineStr"/>
      <c r="K1605" s="16" t="inlineStr">
        <is>
          <t>Not Run</t>
        </is>
      </c>
      <c r="L1605" s="16" t="inlineStr">
        <is>
          <t>Medium</t>
        </is>
      </c>
      <c r="M1605" s="16" t="inlineStr"/>
      <c r="N1605" s="16" t="inlineStr"/>
      <c r="O1605" s="16" t="inlineStr"/>
    </row>
    <row r="1606" ht="72" customHeight="1">
      <c r="A1606" s="16" t="inlineStr">
        <is>
          <t>TC-MM-0563</t>
        </is>
      </c>
      <c r="B1606" s="16" t="inlineStr">
        <is>
          <t>Method x Body Matrix</t>
        </is>
      </c>
      <c r="C1606" s="16" t="inlineStr">
        <is>
          <t>OPTIONS + ApiKeyQuery + form-data</t>
        </is>
      </c>
      <c r="D1606" s="16" t="inlineStr">
        <is>
          <t>Edge Case</t>
        </is>
      </c>
      <c r="E1606" s="16" t="inlineStr">
        <is>
          <t>OPTIONS with ApiKeyQuery auth and form-data body</t>
        </is>
      </c>
      <c r="F1606" s="16" t="inlineStr">
        <is>
          <t>Editor open.</t>
        </is>
      </c>
      <c r="G1606" s="16" t="inlineStr">
        <is>
          <t>1. New request; method OPTIONS; URL to an echo endpoint.
2. Auth type ApiKeyQuery; configure minimum credentials.
3. Body type form-data; provide minimum valid content.
4. Send and inspect outgoing wire request (DevTools/proxy).</t>
        </is>
      </c>
      <c r="H1606" s="16" t="inlineStr">
        <is>
          <t>method=OPTIONS auth=ApiKeyQuery body=form-data</t>
        </is>
      </c>
      <c r="I1606" s="16" t="inlineStr">
        <is>
          <t>App allows configuring form-data body for OPTIONS; verifies wire behavior (sent or stripped) is consistent. Auth header sent regardless.</t>
        </is>
      </c>
      <c r="J1606" s="16" t="inlineStr"/>
      <c r="K1606" s="16" t="inlineStr">
        <is>
          <t>Not Run</t>
        </is>
      </c>
      <c r="L1606" s="16" t="inlineStr">
        <is>
          <t>Low</t>
        </is>
      </c>
      <c r="M1606" s="16" t="inlineStr"/>
      <c r="N1606" s="16" t="inlineStr"/>
      <c r="O1606" s="16" t="inlineStr"/>
    </row>
    <row r="1607" ht="72" customHeight="1">
      <c r="A1607" s="16" t="inlineStr">
        <is>
          <t>TC-MM-0564</t>
        </is>
      </c>
      <c r="B1607" s="16" t="inlineStr">
        <is>
          <t>Method x Body Matrix</t>
        </is>
      </c>
      <c r="C1607" s="16" t="inlineStr">
        <is>
          <t>OPTIONS + ApiKeyQuery + x-www-form-urlencoded</t>
        </is>
      </c>
      <c r="D1607" s="16" t="inlineStr">
        <is>
          <t>Edge Case</t>
        </is>
      </c>
      <c r="E1607" s="16" t="inlineStr">
        <is>
          <t>OPTIONS with ApiKeyQuery auth and x-www-form-urlencoded body</t>
        </is>
      </c>
      <c r="F1607" s="16" t="inlineStr">
        <is>
          <t>Editor open.</t>
        </is>
      </c>
      <c r="G1607" s="16" t="inlineStr">
        <is>
          <t>1. New request; method OPTIONS; URL to an echo endpoint.
2. Auth type ApiKeyQuery; configure minimum credentials.
3. Body type x-www-form-urlencoded; provide minimum valid content.
4. Send and inspect outgoing wire request (DevTools/proxy).</t>
        </is>
      </c>
      <c r="H1607" s="16" t="inlineStr">
        <is>
          <t>method=OPTIONS auth=ApiKeyQuery body=x-www-form-urlencoded</t>
        </is>
      </c>
      <c r="I1607" s="16" t="inlineStr">
        <is>
          <t>App allows configuring x-www-form-urlencoded body for OPTIONS; verifies wire behavior (sent or stripped) is consistent. Auth header sent regardless.</t>
        </is>
      </c>
      <c r="J1607" s="16" t="inlineStr"/>
      <c r="K1607" s="16" t="inlineStr">
        <is>
          <t>Not Run</t>
        </is>
      </c>
      <c r="L1607" s="16" t="inlineStr">
        <is>
          <t>Low</t>
        </is>
      </c>
      <c r="M1607" s="16" t="inlineStr"/>
      <c r="N1607" s="16" t="inlineStr"/>
      <c r="O1607" s="16" t="inlineStr"/>
    </row>
    <row r="1608" ht="72" customHeight="1">
      <c r="A1608" s="16" t="inlineStr">
        <is>
          <t>TC-MM-0565</t>
        </is>
      </c>
      <c r="B1608" s="16" t="inlineStr">
        <is>
          <t>Method x Body Matrix</t>
        </is>
      </c>
      <c r="C1608" s="16" t="inlineStr">
        <is>
          <t>OPTIONS + ApiKeyQuery + raw-json</t>
        </is>
      </c>
      <c r="D1608" s="16" t="inlineStr">
        <is>
          <t>Edge Case</t>
        </is>
      </c>
      <c r="E1608" s="16" t="inlineStr">
        <is>
          <t>OPTIONS with ApiKeyQuery auth and raw-json body</t>
        </is>
      </c>
      <c r="F1608" s="16" t="inlineStr">
        <is>
          <t>Editor open.</t>
        </is>
      </c>
      <c r="G1608" s="16" t="inlineStr">
        <is>
          <t>1. New request; method OPTIONS; URL to an echo endpoint.
2. Auth type ApiKeyQuery; configure minimum credentials.
3. Body type raw-json; provide minimum valid content.
4. Send and inspect outgoing wire request (DevTools/proxy).</t>
        </is>
      </c>
      <c r="H1608" s="16" t="inlineStr">
        <is>
          <t>method=OPTIONS auth=ApiKeyQuery body=raw-json</t>
        </is>
      </c>
      <c r="I1608" s="16" t="inlineStr">
        <is>
          <t>App allows configuring raw-json body for OPTIONS; verifies wire behavior (sent or stripped) is consistent. Auth header sent regardless.</t>
        </is>
      </c>
      <c r="J1608" s="16" t="inlineStr"/>
      <c r="K1608" s="16" t="inlineStr">
        <is>
          <t>Not Run</t>
        </is>
      </c>
      <c r="L1608" s="16" t="inlineStr">
        <is>
          <t>Low</t>
        </is>
      </c>
      <c r="M1608" s="16" t="inlineStr"/>
      <c r="N1608" s="16" t="inlineStr"/>
      <c r="O1608" s="16" t="inlineStr"/>
    </row>
    <row r="1609" ht="72" customHeight="1">
      <c r="A1609" s="16" t="inlineStr">
        <is>
          <t>TC-MM-0566</t>
        </is>
      </c>
      <c r="B1609" s="16" t="inlineStr">
        <is>
          <t>Method x Body Matrix</t>
        </is>
      </c>
      <c r="C1609" s="16" t="inlineStr">
        <is>
          <t>OPTIONS + ApiKeyQuery + raw-xml</t>
        </is>
      </c>
      <c r="D1609" s="16" t="inlineStr">
        <is>
          <t>Edge Case</t>
        </is>
      </c>
      <c r="E1609" s="16" t="inlineStr">
        <is>
          <t>OPTIONS with ApiKeyQuery auth and raw-xml body</t>
        </is>
      </c>
      <c r="F1609" s="16" t="inlineStr">
        <is>
          <t>Editor open.</t>
        </is>
      </c>
      <c r="G1609" s="16" t="inlineStr">
        <is>
          <t>1. New request; method OPTIONS; URL to an echo endpoint.
2. Auth type ApiKeyQuery; configure minimum credentials.
3. Body type raw-xml; provide minimum valid content.
4. Send and inspect outgoing wire request (DevTools/proxy).</t>
        </is>
      </c>
      <c r="H1609" s="16" t="inlineStr">
        <is>
          <t>method=OPTIONS auth=ApiKeyQuery body=raw-xml</t>
        </is>
      </c>
      <c r="I1609" s="16" t="inlineStr">
        <is>
          <t>App allows configuring raw-xml body for OPTIONS; verifies wire behavior (sent or stripped) is consistent. Auth header sent regardless.</t>
        </is>
      </c>
      <c r="J1609" s="16" t="inlineStr"/>
      <c r="K1609" s="16" t="inlineStr">
        <is>
          <t>Not Run</t>
        </is>
      </c>
      <c r="L1609" s="16" t="inlineStr">
        <is>
          <t>Low</t>
        </is>
      </c>
      <c r="M1609" s="16" t="inlineStr"/>
      <c r="N1609" s="16" t="inlineStr"/>
      <c r="O1609" s="16" t="inlineStr"/>
    </row>
    <row r="1610" ht="72" customHeight="1">
      <c r="A1610" s="16" t="inlineStr">
        <is>
          <t>TC-MM-0567</t>
        </is>
      </c>
      <c r="B1610" s="16" t="inlineStr">
        <is>
          <t>Method x Body Matrix</t>
        </is>
      </c>
      <c r="C1610" s="16" t="inlineStr">
        <is>
          <t>OPTIONS + ApiKeyQuery + raw-text</t>
        </is>
      </c>
      <c r="D1610" s="16" t="inlineStr">
        <is>
          <t>Edge Case</t>
        </is>
      </c>
      <c r="E1610" s="16" t="inlineStr">
        <is>
          <t>OPTIONS with ApiKeyQuery auth and raw-text body</t>
        </is>
      </c>
      <c r="F1610" s="16" t="inlineStr">
        <is>
          <t>Editor open.</t>
        </is>
      </c>
      <c r="G1610" s="16" t="inlineStr">
        <is>
          <t>1. New request; method OPTIONS; URL to an echo endpoint.
2. Auth type ApiKeyQuery; configure minimum credentials.
3. Body type raw-text; provide minimum valid content.
4. Send and inspect outgoing wire request (DevTools/proxy).</t>
        </is>
      </c>
      <c r="H1610" s="16" t="inlineStr">
        <is>
          <t>method=OPTIONS auth=ApiKeyQuery body=raw-text</t>
        </is>
      </c>
      <c r="I1610" s="16" t="inlineStr">
        <is>
          <t>App allows configuring raw-text body for OPTIONS; verifies wire behavior (sent or stripped) is consistent. Auth header sent regardless.</t>
        </is>
      </c>
      <c r="J1610" s="16" t="inlineStr"/>
      <c r="K1610" s="16" t="inlineStr">
        <is>
          <t>Not Run</t>
        </is>
      </c>
      <c r="L1610" s="16" t="inlineStr">
        <is>
          <t>Low</t>
        </is>
      </c>
      <c r="M1610" s="16" t="inlineStr"/>
      <c r="N1610" s="16" t="inlineStr"/>
      <c r="O1610" s="16" t="inlineStr"/>
    </row>
    <row r="1611" ht="72" customHeight="1">
      <c r="A1611" s="16" t="inlineStr">
        <is>
          <t>TC-MM-0568</t>
        </is>
      </c>
      <c r="B1611" s="16" t="inlineStr">
        <is>
          <t>Method x Body Matrix</t>
        </is>
      </c>
      <c r="C1611" s="16" t="inlineStr">
        <is>
          <t>OPTIONS + ApiKeyQuery + binary</t>
        </is>
      </c>
      <c r="D1611" s="16" t="inlineStr">
        <is>
          <t>Edge Case</t>
        </is>
      </c>
      <c r="E1611" s="16" t="inlineStr">
        <is>
          <t>OPTIONS with ApiKeyQuery auth and binary body</t>
        </is>
      </c>
      <c r="F1611" s="16" t="inlineStr">
        <is>
          <t>Editor open.</t>
        </is>
      </c>
      <c r="G1611" s="16" t="inlineStr">
        <is>
          <t>1. New request; method OPTIONS; URL to an echo endpoint.
2. Auth type ApiKeyQuery; configure minimum credentials.
3. Body type binary; provide minimum valid content.
4. Send and inspect outgoing wire request (DevTools/proxy).</t>
        </is>
      </c>
      <c r="H1611" s="16" t="inlineStr">
        <is>
          <t>method=OPTIONS auth=ApiKeyQuery body=binary</t>
        </is>
      </c>
      <c r="I1611" s="16" t="inlineStr">
        <is>
          <t>App allows configuring binary body for OPTIONS; verifies wire behavior (sent or stripped) is consistent. Auth header sent regardless.</t>
        </is>
      </c>
      <c r="J1611" s="16" t="inlineStr"/>
      <c r="K1611" s="16" t="inlineStr">
        <is>
          <t>Not Run</t>
        </is>
      </c>
      <c r="L1611" s="16" t="inlineStr">
        <is>
          <t>Low</t>
        </is>
      </c>
      <c r="M1611" s="16" t="inlineStr"/>
      <c r="N1611" s="16" t="inlineStr"/>
      <c r="O1611" s="16" t="inlineStr"/>
    </row>
    <row r="1612" ht="72" customHeight="1">
      <c r="A1612" s="16" t="inlineStr">
        <is>
          <t>TC-MM-0569</t>
        </is>
      </c>
      <c r="B1612" s="16" t="inlineStr">
        <is>
          <t>Method x Body Matrix</t>
        </is>
      </c>
      <c r="C1612" s="16" t="inlineStr">
        <is>
          <t>OPTIONS + AwsSigV4 + none</t>
        </is>
      </c>
      <c r="D1612" s="16" t="inlineStr">
        <is>
          <t>Functional</t>
        </is>
      </c>
      <c r="E1612" s="16" t="inlineStr">
        <is>
          <t>OPTIONS with AwsSigV4 auth and none body</t>
        </is>
      </c>
      <c r="F1612" s="16" t="inlineStr">
        <is>
          <t>Editor open.</t>
        </is>
      </c>
      <c r="G1612" s="16" t="inlineStr">
        <is>
          <t>1. New request; method OPTIONS; URL to an echo endpoint.
2. Auth type AwsSigV4; configure minimum credentials.
3. Body type none; provide minimum valid content.
4. Send and inspect outgoing wire request (DevTools/proxy).</t>
        </is>
      </c>
      <c r="H1612" s="16" t="inlineStr">
        <is>
          <t>method=OPTIONS auth=AwsSigV4 body=none</t>
        </is>
      </c>
      <c r="I1612" s="16" t="inlineStr">
        <is>
          <t>AwsSigV4 auth applied correctly; none body sent with right Content-Type; server returns expected status.</t>
        </is>
      </c>
      <c r="J1612" s="16" t="inlineStr"/>
      <c r="K1612" s="16" t="inlineStr">
        <is>
          <t>Not Run</t>
        </is>
      </c>
      <c r="L1612" s="16" t="inlineStr">
        <is>
          <t>Medium</t>
        </is>
      </c>
      <c r="M1612" s="16" t="inlineStr"/>
      <c r="N1612" s="16" t="inlineStr"/>
      <c r="O1612" s="16" t="inlineStr"/>
    </row>
    <row r="1613" ht="72" customHeight="1">
      <c r="A1613" s="16" t="inlineStr">
        <is>
          <t>TC-MM-0570</t>
        </is>
      </c>
      <c r="B1613" s="16" t="inlineStr">
        <is>
          <t>Method x Body Matrix</t>
        </is>
      </c>
      <c r="C1613" s="16" t="inlineStr">
        <is>
          <t>OPTIONS + AwsSigV4 + form-data</t>
        </is>
      </c>
      <c r="D1613" s="16" t="inlineStr">
        <is>
          <t>Functional</t>
        </is>
      </c>
      <c r="E1613" s="16" t="inlineStr">
        <is>
          <t>OPTIONS with AwsSigV4 auth and form-data body</t>
        </is>
      </c>
      <c r="F1613" s="16" t="inlineStr">
        <is>
          <t>Editor open.</t>
        </is>
      </c>
      <c r="G1613" s="16" t="inlineStr">
        <is>
          <t>1. New request; method OPTIONS; URL to an echo endpoint.
2. Auth type AwsSigV4; configure minimum credentials.
3. Body type form-data; provide minimum valid content.
4. Send and inspect outgoing wire request (DevTools/proxy).</t>
        </is>
      </c>
      <c r="H1613" s="16" t="inlineStr">
        <is>
          <t>method=OPTIONS auth=AwsSigV4 body=form-data</t>
        </is>
      </c>
      <c r="I1613" s="16" t="inlineStr">
        <is>
          <t>AWS SigV4 signs canonical request including body bytes; x-amz-content-sha256 reflects SHA256 of body. Server returns expected status.</t>
        </is>
      </c>
      <c r="J1613" s="16" t="inlineStr"/>
      <c r="K1613" s="16" t="inlineStr">
        <is>
          <t>Not Run</t>
        </is>
      </c>
      <c r="L1613" s="16" t="inlineStr">
        <is>
          <t>High</t>
        </is>
      </c>
      <c r="M1613" s="16" t="inlineStr"/>
      <c r="N1613" s="16" t="inlineStr"/>
      <c r="O1613" s="16" t="inlineStr"/>
    </row>
    <row r="1614" ht="72" customHeight="1">
      <c r="A1614" s="16" t="inlineStr">
        <is>
          <t>TC-MM-0571</t>
        </is>
      </c>
      <c r="B1614" s="16" t="inlineStr">
        <is>
          <t>Method x Body Matrix</t>
        </is>
      </c>
      <c r="C1614" s="16" t="inlineStr">
        <is>
          <t>OPTIONS + AwsSigV4 + x-www-form-urlencoded</t>
        </is>
      </c>
      <c r="D1614" s="16" t="inlineStr">
        <is>
          <t>Functional</t>
        </is>
      </c>
      <c r="E1614" s="16" t="inlineStr">
        <is>
          <t>OPTIONS with AwsSigV4 auth and x-www-form-urlencoded body</t>
        </is>
      </c>
      <c r="F1614" s="16" t="inlineStr">
        <is>
          <t>Editor open.</t>
        </is>
      </c>
      <c r="G1614" s="16" t="inlineStr">
        <is>
          <t>1. New request; method OPTIONS; URL to an echo endpoint.
2. Auth type AwsSigV4; configure minimum credentials.
3. Body type x-www-form-urlencoded; provide minimum valid content.
4. Send and inspect outgoing wire request (DevTools/proxy).</t>
        </is>
      </c>
      <c r="H1614" s="16" t="inlineStr">
        <is>
          <t>method=OPTIONS auth=AwsSigV4 body=x-www-form-urlencoded</t>
        </is>
      </c>
      <c r="I1614" s="16" t="inlineStr">
        <is>
          <t>AWS SigV4 signs canonical request including body bytes; x-amz-content-sha256 reflects SHA256 of body. Server returns expected status.</t>
        </is>
      </c>
      <c r="J1614" s="16" t="inlineStr"/>
      <c r="K1614" s="16" t="inlineStr">
        <is>
          <t>Not Run</t>
        </is>
      </c>
      <c r="L1614" s="16" t="inlineStr">
        <is>
          <t>High</t>
        </is>
      </c>
      <c r="M1614" s="16" t="inlineStr"/>
      <c r="N1614" s="16" t="inlineStr"/>
      <c r="O1614" s="16" t="inlineStr"/>
    </row>
    <row r="1615" ht="72" customHeight="1">
      <c r="A1615" s="16" t="inlineStr">
        <is>
          <t>TC-MM-0572</t>
        </is>
      </c>
      <c r="B1615" s="16" t="inlineStr">
        <is>
          <t>Method x Body Matrix</t>
        </is>
      </c>
      <c r="C1615" s="16" t="inlineStr">
        <is>
          <t>OPTIONS + AwsSigV4 + raw-json</t>
        </is>
      </c>
      <c r="D1615" s="16" t="inlineStr">
        <is>
          <t>Functional</t>
        </is>
      </c>
      <c r="E1615" s="16" t="inlineStr">
        <is>
          <t>OPTIONS with AwsSigV4 auth and raw-json body</t>
        </is>
      </c>
      <c r="F1615" s="16" t="inlineStr">
        <is>
          <t>Editor open.</t>
        </is>
      </c>
      <c r="G1615" s="16" t="inlineStr">
        <is>
          <t>1. New request; method OPTIONS; URL to an echo endpoint.
2. Auth type AwsSigV4; configure minimum credentials.
3. Body type raw-json; provide minimum valid content.
4. Send and inspect outgoing wire request (DevTools/proxy).</t>
        </is>
      </c>
      <c r="H1615" s="16" t="inlineStr">
        <is>
          <t>method=OPTIONS auth=AwsSigV4 body=raw-json</t>
        </is>
      </c>
      <c r="I1615" s="16" t="inlineStr">
        <is>
          <t>AWS SigV4 signs canonical request including body bytes; x-amz-content-sha256 reflects SHA256 of body. Server returns expected status.</t>
        </is>
      </c>
      <c r="J1615" s="16" t="inlineStr"/>
      <c r="K1615" s="16" t="inlineStr">
        <is>
          <t>Not Run</t>
        </is>
      </c>
      <c r="L1615" s="16" t="inlineStr">
        <is>
          <t>High</t>
        </is>
      </c>
      <c r="M1615" s="16" t="inlineStr"/>
      <c r="N1615" s="16" t="inlineStr"/>
      <c r="O1615" s="16" t="inlineStr"/>
    </row>
    <row r="1616" ht="72" customHeight="1">
      <c r="A1616" s="16" t="inlineStr">
        <is>
          <t>TC-MM-0573</t>
        </is>
      </c>
      <c r="B1616" s="16" t="inlineStr">
        <is>
          <t>Method x Body Matrix</t>
        </is>
      </c>
      <c r="C1616" s="16" t="inlineStr">
        <is>
          <t>OPTIONS + AwsSigV4 + raw-xml</t>
        </is>
      </c>
      <c r="D1616" s="16" t="inlineStr">
        <is>
          <t>Functional</t>
        </is>
      </c>
      <c r="E1616" s="16" t="inlineStr">
        <is>
          <t>OPTIONS with AwsSigV4 auth and raw-xml body</t>
        </is>
      </c>
      <c r="F1616" s="16" t="inlineStr">
        <is>
          <t>Editor open.</t>
        </is>
      </c>
      <c r="G1616" s="16" t="inlineStr">
        <is>
          <t>1. New request; method OPTIONS; URL to an echo endpoint.
2. Auth type AwsSigV4; configure minimum credentials.
3. Body type raw-xml; provide minimum valid content.
4. Send and inspect outgoing wire request (DevTools/proxy).</t>
        </is>
      </c>
      <c r="H1616" s="16" t="inlineStr">
        <is>
          <t>method=OPTIONS auth=AwsSigV4 body=raw-xml</t>
        </is>
      </c>
      <c r="I1616" s="16" t="inlineStr">
        <is>
          <t>AWS SigV4 signs canonical request including body bytes; x-amz-content-sha256 reflects SHA256 of body. Server returns expected status.</t>
        </is>
      </c>
      <c r="J1616" s="16" t="inlineStr"/>
      <c r="K1616" s="16" t="inlineStr">
        <is>
          <t>Not Run</t>
        </is>
      </c>
      <c r="L1616" s="16" t="inlineStr">
        <is>
          <t>High</t>
        </is>
      </c>
      <c r="M1616" s="16" t="inlineStr"/>
      <c r="N1616" s="16" t="inlineStr"/>
      <c r="O1616" s="16" t="inlineStr"/>
    </row>
    <row r="1617" ht="72" customHeight="1">
      <c r="A1617" s="16" t="inlineStr">
        <is>
          <t>TC-MM-0574</t>
        </is>
      </c>
      <c r="B1617" s="16" t="inlineStr">
        <is>
          <t>Method x Body Matrix</t>
        </is>
      </c>
      <c r="C1617" s="16" t="inlineStr">
        <is>
          <t>OPTIONS + AwsSigV4 + raw-text</t>
        </is>
      </c>
      <c r="D1617" s="16" t="inlineStr">
        <is>
          <t>Functional</t>
        </is>
      </c>
      <c r="E1617" s="16" t="inlineStr">
        <is>
          <t>OPTIONS with AwsSigV4 auth and raw-text body</t>
        </is>
      </c>
      <c r="F1617" s="16" t="inlineStr">
        <is>
          <t>Editor open.</t>
        </is>
      </c>
      <c r="G1617" s="16" t="inlineStr">
        <is>
          <t>1. New request; method OPTIONS; URL to an echo endpoint.
2. Auth type AwsSigV4; configure minimum credentials.
3. Body type raw-text; provide minimum valid content.
4. Send and inspect outgoing wire request (DevTools/proxy).</t>
        </is>
      </c>
      <c r="H1617" s="16" t="inlineStr">
        <is>
          <t>method=OPTIONS auth=AwsSigV4 body=raw-text</t>
        </is>
      </c>
      <c r="I1617" s="16" t="inlineStr">
        <is>
          <t>AWS SigV4 signs canonical request including body bytes; x-amz-content-sha256 reflects SHA256 of body. Server returns expected status.</t>
        </is>
      </c>
      <c r="J1617" s="16" t="inlineStr"/>
      <c r="K1617" s="16" t="inlineStr">
        <is>
          <t>Not Run</t>
        </is>
      </c>
      <c r="L1617" s="16" t="inlineStr">
        <is>
          <t>High</t>
        </is>
      </c>
      <c r="M1617" s="16" t="inlineStr"/>
      <c r="N1617" s="16" t="inlineStr"/>
      <c r="O1617" s="16" t="inlineStr"/>
    </row>
    <row r="1618" ht="72" customHeight="1">
      <c r="A1618" s="16" t="inlineStr">
        <is>
          <t>TC-MM-0575</t>
        </is>
      </c>
      <c r="B1618" s="16" t="inlineStr">
        <is>
          <t>Method x Body Matrix</t>
        </is>
      </c>
      <c r="C1618" s="16" t="inlineStr">
        <is>
          <t>OPTIONS + AwsSigV4 + binary</t>
        </is>
      </c>
      <c r="D1618" s="16" t="inlineStr">
        <is>
          <t>Functional</t>
        </is>
      </c>
      <c r="E1618" s="16" t="inlineStr">
        <is>
          <t>OPTIONS with AwsSigV4 auth and binary body</t>
        </is>
      </c>
      <c r="F1618" s="16" t="inlineStr">
        <is>
          <t>Editor open.</t>
        </is>
      </c>
      <c r="G1618" s="16" t="inlineStr">
        <is>
          <t>1. New request; method OPTIONS; URL to an echo endpoint.
2. Auth type AwsSigV4; configure minimum credentials.
3. Body type binary; provide minimum valid content.
4. Send and inspect outgoing wire request (DevTools/proxy).</t>
        </is>
      </c>
      <c r="H1618" s="16" t="inlineStr">
        <is>
          <t>method=OPTIONS auth=AwsSigV4 body=binary</t>
        </is>
      </c>
      <c r="I1618" s="16" t="inlineStr">
        <is>
          <t>AWS SigV4 signs canonical request including body bytes; x-amz-content-sha256 reflects SHA256 of body. Server returns expected status.</t>
        </is>
      </c>
      <c r="J1618" s="16" t="inlineStr"/>
      <c r="K1618" s="16" t="inlineStr">
        <is>
          <t>Not Run</t>
        </is>
      </c>
      <c r="L1618" s="16" t="inlineStr">
        <is>
          <t>High</t>
        </is>
      </c>
      <c r="M1618" s="16" t="inlineStr"/>
      <c r="N1618" s="16" t="inlineStr"/>
      <c r="O1618" s="16" t="inlineStr"/>
    </row>
    <row r="1619" ht="72" customHeight="1">
      <c r="A1619" s="16" t="inlineStr">
        <is>
          <t>TC-MM-0576</t>
        </is>
      </c>
      <c r="B1619" s="16" t="inlineStr">
        <is>
          <t>Method x Body Matrix</t>
        </is>
      </c>
      <c r="C1619" s="16" t="inlineStr">
        <is>
          <t>OPTIONS + JwtHS256 + none</t>
        </is>
      </c>
      <c r="D1619" s="16" t="inlineStr">
        <is>
          <t>Functional</t>
        </is>
      </c>
      <c r="E1619" s="16" t="inlineStr">
        <is>
          <t>OPTIONS with JwtHS256 auth and none body</t>
        </is>
      </c>
      <c r="F1619" s="16" t="inlineStr">
        <is>
          <t>Editor open.</t>
        </is>
      </c>
      <c r="G1619" s="16" t="inlineStr">
        <is>
          <t>1. New request; method OPTIONS; URL to an echo endpoint.
2. Auth type JwtHS256; configure minimum credentials.
3. Body type none; provide minimum valid content.
4. Send and inspect outgoing wire request (DevTools/proxy).</t>
        </is>
      </c>
      <c r="H1619" s="16" t="inlineStr">
        <is>
          <t>method=OPTIONS auth=JwtHS256 body=none</t>
        </is>
      </c>
      <c r="I1619" s="16" t="inlineStr">
        <is>
          <t>JwtHS256 auth applied correctly; none body sent with right Content-Type; server returns expected status.</t>
        </is>
      </c>
      <c r="J1619" s="16" t="inlineStr"/>
      <c r="K1619" s="16" t="inlineStr">
        <is>
          <t>Not Run</t>
        </is>
      </c>
      <c r="L1619" s="16" t="inlineStr">
        <is>
          <t>Medium</t>
        </is>
      </c>
      <c r="M1619" s="16" t="inlineStr"/>
      <c r="N1619" s="16" t="inlineStr"/>
      <c r="O1619" s="16" t="inlineStr"/>
    </row>
    <row r="1620" ht="72" customHeight="1">
      <c r="A1620" s="16" t="inlineStr">
        <is>
          <t>TC-MM-0577</t>
        </is>
      </c>
      <c r="B1620" s="16" t="inlineStr">
        <is>
          <t>Method x Body Matrix</t>
        </is>
      </c>
      <c r="C1620" s="16" t="inlineStr">
        <is>
          <t>OPTIONS + JwtHS256 + form-data</t>
        </is>
      </c>
      <c r="D1620" s="16" t="inlineStr">
        <is>
          <t>Edge Case</t>
        </is>
      </c>
      <c r="E1620" s="16" t="inlineStr">
        <is>
          <t>OPTIONS with JwtHS256 auth and form-data body</t>
        </is>
      </c>
      <c r="F1620" s="16" t="inlineStr">
        <is>
          <t>Editor open.</t>
        </is>
      </c>
      <c r="G1620" s="16" t="inlineStr">
        <is>
          <t>1. New request; method OPTIONS; URL to an echo endpoint.
2. Auth type JwtHS256; configure minimum credentials.
3. Body type form-data; provide minimum valid content.
4. Send and inspect outgoing wire request (DevTools/proxy).</t>
        </is>
      </c>
      <c r="H1620" s="16" t="inlineStr">
        <is>
          <t>method=OPTIONS auth=JwtHS256 body=form-data</t>
        </is>
      </c>
      <c r="I1620" s="16" t="inlineStr">
        <is>
          <t>App allows configuring form-data body for OPTIONS; verifies wire behavior (sent or stripped) is consistent. Auth header sent regardless.</t>
        </is>
      </c>
      <c r="J1620" s="16" t="inlineStr"/>
      <c r="K1620" s="16" t="inlineStr">
        <is>
          <t>Not Run</t>
        </is>
      </c>
      <c r="L1620" s="16" t="inlineStr">
        <is>
          <t>Low</t>
        </is>
      </c>
      <c r="M1620" s="16" t="inlineStr"/>
      <c r="N1620" s="16" t="inlineStr"/>
      <c r="O1620" s="16" t="inlineStr"/>
    </row>
    <row r="1621" ht="72" customHeight="1">
      <c r="A1621" s="16" t="inlineStr">
        <is>
          <t>TC-MM-0578</t>
        </is>
      </c>
      <c r="B1621" s="16" t="inlineStr">
        <is>
          <t>Method x Body Matrix</t>
        </is>
      </c>
      <c r="C1621" s="16" t="inlineStr">
        <is>
          <t>OPTIONS + JwtHS256 + x-www-form-urlencoded</t>
        </is>
      </c>
      <c r="D1621" s="16" t="inlineStr">
        <is>
          <t>Edge Case</t>
        </is>
      </c>
      <c r="E1621" s="16" t="inlineStr">
        <is>
          <t>OPTIONS with JwtHS256 auth and x-www-form-urlencoded body</t>
        </is>
      </c>
      <c r="F1621" s="16" t="inlineStr">
        <is>
          <t>Editor open.</t>
        </is>
      </c>
      <c r="G1621" s="16" t="inlineStr">
        <is>
          <t>1. New request; method OPTIONS; URL to an echo endpoint.
2. Auth type JwtHS256; configure minimum credentials.
3. Body type x-www-form-urlencoded; provide minimum valid content.
4. Send and inspect outgoing wire request (DevTools/proxy).</t>
        </is>
      </c>
      <c r="H1621" s="16" t="inlineStr">
        <is>
          <t>method=OPTIONS auth=JwtHS256 body=x-www-form-urlencoded</t>
        </is>
      </c>
      <c r="I1621" s="16" t="inlineStr">
        <is>
          <t>App allows configuring x-www-form-urlencoded body for OPTIONS; verifies wire behavior (sent or stripped) is consistent. Auth header sent regardless.</t>
        </is>
      </c>
      <c r="J1621" s="16" t="inlineStr"/>
      <c r="K1621" s="16" t="inlineStr">
        <is>
          <t>Not Run</t>
        </is>
      </c>
      <c r="L1621" s="16" t="inlineStr">
        <is>
          <t>Low</t>
        </is>
      </c>
      <c r="M1621" s="16" t="inlineStr"/>
      <c r="N1621" s="16" t="inlineStr"/>
      <c r="O1621" s="16" t="inlineStr"/>
    </row>
    <row r="1622" ht="72" customHeight="1">
      <c r="A1622" s="16" t="inlineStr">
        <is>
          <t>TC-MM-0579</t>
        </is>
      </c>
      <c r="B1622" s="16" t="inlineStr">
        <is>
          <t>Method x Body Matrix</t>
        </is>
      </c>
      <c r="C1622" s="16" t="inlineStr">
        <is>
          <t>OPTIONS + JwtHS256 + raw-json</t>
        </is>
      </c>
      <c r="D1622" s="16" t="inlineStr">
        <is>
          <t>Edge Case</t>
        </is>
      </c>
      <c r="E1622" s="16" t="inlineStr">
        <is>
          <t>OPTIONS with JwtHS256 auth and raw-json body</t>
        </is>
      </c>
      <c r="F1622" s="16" t="inlineStr">
        <is>
          <t>Editor open.</t>
        </is>
      </c>
      <c r="G1622" s="16" t="inlineStr">
        <is>
          <t>1. New request; method OPTIONS; URL to an echo endpoint.
2. Auth type JwtHS256; configure minimum credentials.
3. Body type raw-json; provide minimum valid content.
4. Send and inspect outgoing wire request (DevTools/proxy).</t>
        </is>
      </c>
      <c r="H1622" s="16" t="inlineStr">
        <is>
          <t>method=OPTIONS auth=JwtHS256 body=raw-json</t>
        </is>
      </c>
      <c r="I1622" s="16" t="inlineStr">
        <is>
          <t>App allows configuring raw-json body for OPTIONS; verifies wire behavior (sent or stripped) is consistent. Auth header sent regardless.</t>
        </is>
      </c>
      <c r="J1622" s="16" t="inlineStr"/>
      <c r="K1622" s="16" t="inlineStr">
        <is>
          <t>Not Run</t>
        </is>
      </c>
      <c r="L1622" s="16" t="inlineStr">
        <is>
          <t>Low</t>
        </is>
      </c>
      <c r="M1622" s="16" t="inlineStr"/>
      <c r="N1622" s="16" t="inlineStr"/>
      <c r="O1622" s="16" t="inlineStr"/>
    </row>
    <row r="1623" ht="72" customHeight="1">
      <c r="A1623" s="16" t="inlineStr">
        <is>
          <t>TC-MM-0580</t>
        </is>
      </c>
      <c r="B1623" s="16" t="inlineStr">
        <is>
          <t>Method x Body Matrix</t>
        </is>
      </c>
      <c r="C1623" s="16" t="inlineStr">
        <is>
          <t>OPTIONS + JwtHS256 + raw-xml</t>
        </is>
      </c>
      <c r="D1623" s="16" t="inlineStr">
        <is>
          <t>Edge Case</t>
        </is>
      </c>
      <c r="E1623" s="16" t="inlineStr">
        <is>
          <t>OPTIONS with JwtHS256 auth and raw-xml body</t>
        </is>
      </c>
      <c r="F1623" s="16" t="inlineStr">
        <is>
          <t>Editor open.</t>
        </is>
      </c>
      <c r="G1623" s="16" t="inlineStr">
        <is>
          <t>1. New request; method OPTIONS; URL to an echo endpoint.
2. Auth type JwtHS256; configure minimum credentials.
3. Body type raw-xml; provide minimum valid content.
4. Send and inspect outgoing wire request (DevTools/proxy).</t>
        </is>
      </c>
      <c r="H1623" s="16" t="inlineStr">
        <is>
          <t>method=OPTIONS auth=JwtHS256 body=raw-xml</t>
        </is>
      </c>
      <c r="I1623" s="16" t="inlineStr">
        <is>
          <t>App allows configuring raw-xml body for OPTIONS; verifies wire behavior (sent or stripped) is consistent. Auth header sent regardless.</t>
        </is>
      </c>
      <c r="J1623" s="16" t="inlineStr"/>
      <c r="K1623" s="16" t="inlineStr">
        <is>
          <t>Not Run</t>
        </is>
      </c>
      <c r="L1623" s="16" t="inlineStr">
        <is>
          <t>Low</t>
        </is>
      </c>
      <c r="M1623" s="16" t="inlineStr"/>
      <c r="N1623" s="16" t="inlineStr"/>
      <c r="O1623" s="16" t="inlineStr"/>
    </row>
    <row r="1624" ht="72" customHeight="1">
      <c r="A1624" s="16" t="inlineStr">
        <is>
          <t>TC-MM-0581</t>
        </is>
      </c>
      <c r="B1624" s="16" t="inlineStr">
        <is>
          <t>Method x Body Matrix</t>
        </is>
      </c>
      <c r="C1624" s="16" t="inlineStr">
        <is>
          <t>OPTIONS + JwtHS256 + raw-text</t>
        </is>
      </c>
      <c r="D1624" s="16" t="inlineStr">
        <is>
          <t>Edge Case</t>
        </is>
      </c>
      <c r="E1624" s="16" t="inlineStr">
        <is>
          <t>OPTIONS with JwtHS256 auth and raw-text body</t>
        </is>
      </c>
      <c r="F1624" s="16" t="inlineStr">
        <is>
          <t>Editor open.</t>
        </is>
      </c>
      <c r="G1624" s="16" t="inlineStr">
        <is>
          <t>1. New request; method OPTIONS; URL to an echo endpoint.
2. Auth type JwtHS256; configure minimum credentials.
3. Body type raw-text; provide minimum valid content.
4. Send and inspect outgoing wire request (DevTools/proxy).</t>
        </is>
      </c>
      <c r="H1624" s="16" t="inlineStr">
        <is>
          <t>method=OPTIONS auth=JwtHS256 body=raw-text</t>
        </is>
      </c>
      <c r="I1624" s="16" t="inlineStr">
        <is>
          <t>App allows configuring raw-text body for OPTIONS; verifies wire behavior (sent or stripped) is consistent. Auth header sent regardless.</t>
        </is>
      </c>
      <c r="J1624" s="16" t="inlineStr"/>
      <c r="K1624" s="16" t="inlineStr">
        <is>
          <t>Not Run</t>
        </is>
      </c>
      <c r="L1624" s="16" t="inlineStr">
        <is>
          <t>Low</t>
        </is>
      </c>
      <c r="M1624" s="16" t="inlineStr"/>
      <c r="N1624" s="16" t="inlineStr"/>
      <c r="O1624" s="16" t="inlineStr"/>
    </row>
    <row r="1625" ht="72" customHeight="1">
      <c r="A1625" s="16" t="inlineStr">
        <is>
          <t>TC-MM-0582</t>
        </is>
      </c>
      <c r="B1625" s="16" t="inlineStr">
        <is>
          <t>Method x Body Matrix</t>
        </is>
      </c>
      <c r="C1625" s="16" t="inlineStr">
        <is>
          <t>OPTIONS + JwtHS256 + binary</t>
        </is>
      </c>
      <c r="D1625" s="16" t="inlineStr">
        <is>
          <t>Edge Case</t>
        </is>
      </c>
      <c r="E1625" s="16" t="inlineStr">
        <is>
          <t>OPTIONS with JwtHS256 auth and binary body</t>
        </is>
      </c>
      <c r="F1625" s="16" t="inlineStr">
        <is>
          <t>Editor open.</t>
        </is>
      </c>
      <c r="G1625" s="16" t="inlineStr">
        <is>
          <t>1. New request; method OPTIONS; URL to an echo endpoint.
2. Auth type JwtHS256; configure minimum credentials.
3. Body type binary; provide minimum valid content.
4. Send and inspect outgoing wire request (DevTools/proxy).</t>
        </is>
      </c>
      <c r="H1625" s="16" t="inlineStr">
        <is>
          <t>method=OPTIONS auth=JwtHS256 body=binary</t>
        </is>
      </c>
      <c r="I1625" s="16" t="inlineStr">
        <is>
          <t>App allows configuring binary body for OPTIONS; verifies wire behavior (sent or stripped) is consistent. Auth header sent regardless.</t>
        </is>
      </c>
      <c r="J1625" s="16" t="inlineStr"/>
      <c r="K1625" s="16" t="inlineStr">
        <is>
          <t>Not Run</t>
        </is>
      </c>
      <c r="L1625" s="16" t="inlineStr">
        <is>
          <t>Low</t>
        </is>
      </c>
      <c r="M1625" s="16" t="inlineStr"/>
      <c r="N1625" s="16" t="inlineStr"/>
      <c r="O1625" s="16" t="inlineStr"/>
    </row>
    <row r="1626" ht="72" customHeight="1">
      <c r="A1626" s="16" t="inlineStr">
        <is>
          <t>TC-MM-0583</t>
        </is>
      </c>
      <c r="B1626" s="16" t="inlineStr">
        <is>
          <t>Method x Body Matrix</t>
        </is>
      </c>
      <c r="C1626" s="16" t="inlineStr">
        <is>
          <t>OPTIONS + OAuth2ClientCreds + none</t>
        </is>
      </c>
      <c r="D1626" s="16" t="inlineStr">
        <is>
          <t>Functional</t>
        </is>
      </c>
      <c r="E1626" s="16" t="inlineStr">
        <is>
          <t>OPTIONS with OAuth2ClientCreds auth and none body</t>
        </is>
      </c>
      <c r="F1626" s="16" t="inlineStr">
        <is>
          <t>Editor open.</t>
        </is>
      </c>
      <c r="G1626" s="16" t="inlineStr">
        <is>
          <t>1. New request; method OPTIONS; URL to an echo endpoint.
2. Auth type OAuth2ClientCreds; configure minimum credentials.
3. Body type none; provide minimum valid content.
4. Send and inspect outgoing wire request (DevTools/proxy).</t>
        </is>
      </c>
      <c r="H1626" s="16" t="inlineStr">
        <is>
          <t>method=OPTIONS auth=OAuth2ClientCreds body=none</t>
        </is>
      </c>
      <c r="I1626" s="16" t="inlineStr">
        <is>
          <t>Access token acquired (or refreshed); attached as Bearer; OPTIONS sent with none body; server returns expected status.</t>
        </is>
      </c>
      <c r="J1626" s="16" t="inlineStr"/>
      <c r="K1626" s="16" t="inlineStr">
        <is>
          <t>Not Run</t>
        </is>
      </c>
      <c r="L1626" s="16" t="inlineStr">
        <is>
          <t>Medium</t>
        </is>
      </c>
      <c r="M1626" s="16" t="inlineStr"/>
      <c r="N1626" s="16" t="inlineStr"/>
      <c r="O1626" s="16" t="inlineStr"/>
    </row>
    <row r="1627" ht="72" customHeight="1">
      <c r="A1627" s="16" t="inlineStr">
        <is>
          <t>TC-MM-0584</t>
        </is>
      </c>
      <c r="B1627" s="16" t="inlineStr">
        <is>
          <t>Method x Body Matrix</t>
        </is>
      </c>
      <c r="C1627" s="16" t="inlineStr">
        <is>
          <t>OPTIONS + OAuth2ClientCreds + form-data</t>
        </is>
      </c>
      <c r="D1627" s="16" t="inlineStr">
        <is>
          <t>Functional</t>
        </is>
      </c>
      <c r="E1627" s="16" t="inlineStr">
        <is>
          <t>OPTIONS with OAuth2ClientCreds auth and form-data body</t>
        </is>
      </c>
      <c r="F1627" s="16" t="inlineStr">
        <is>
          <t>Editor open.</t>
        </is>
      </c>
      <c r="G1627" s="16" t="inlineStr">
        <is>
          <t>1. New request; method OPTIONS; URL to an echo endpoint.
2. Auth type OAuth2ClientCreds; configure minimum credentials.
3. Body type form-data; provide minimum valid content.
4. Send and inspect outgoing wire request (DevTools/proxy).</t>
        </is>
      </c>
      <c r="H1627" s="16" t="inlineStr">
        <is>
          <t>method=OPTIONS auth=OAuth2ClientCreds body=form-data</t>
        </is>
      </c>
      <c r="I1627" s="16" t="inlineStr">
        <is>
          <t>Access token acquired (or refreshed); attached as Bearer; OPTIONS sent with form-data body; server returns expected status.</t>
        </is>
      </c>
      <c r="J1627" s="16" t="inlineStr"/>
      <c r="K1627" s="16" t="inlineStr">
        <is>
          <t>Not Run</t>
        </is>
      </c>
      <c r="L1627" s="16" t="inlineStr">
        <is>
          <t>Medium</t>
        </is>
      </c>
      <c r="M1627" s="16" t="inlineStr"/>
      <c r="N1627" s="16" t="inlineStr"/>
      <c r="O1627" s="16" t="inlineStr"/>
    </row>
    <row r="1628" ht="72" customHeight="1">
      <c r="A1628" s="16" t="inlineStr">
        <is>
          <t>TC-MM-0585</t>
        </is>
      </c>
      <c r="B1628" s="16" t="inlineStr">
        <is>
          <t>Method x Body Matrix</t>
        </is>
      </c>
      <c r="C1628" s="16" t="inlineStr">
        <is>
          <t>OPTIONS + OAuth2ClientCreds + x-www-form-urlencoded</t>
        </is>
      </c>
      <c r="D1628" s="16" t="inlineStr">
        <is>
          <t>Functional</t>
        </is>
      </c>
      <c r="E1628" s="16" t="inlineStr">
        <is>
          <t>OPTIONS with OAuth2ClientCreds auth and x-www-form-urlencoded body</t>
        </is>
      </c>
      <c r="F1628" s="16" t="inlineStr">
        <is>
          <t>Editor open.</t>
        </is>
      </c>
      <c r="G1628" s="16" t="inlineStr">
        <is>
          <t>1. New request; method OPTIONS; URL to an echo endpoint.
2. Auth type OAuth2ClientCreds; configure minimum credentials.
3. Body type x-www-form-urlencoded; provide minimum valid content.
4. Send and inspect outgoing wire request (DevTools/proxy).</t>
        </is>
      </c>
      <c r="H1628" s="16" t="inlineStr">
        <is>
          <t>method=OPTIONS auth=OAuth2ClientCreds body=x-www-form-urlencoded</t>
        </is>
      </c>
      <c r="I1628" s="16" t="inlineStr">
        <is>
          <t>Access token acquired (or refreshed); attached as Bearer; OPTIONS sent with x-www-form-urlencoded body; server returns expected status.</t>
        </is>
      </c>
      <c r="J1628" s="16" t="inlineStr"/>
      <c r="K1628" s="16" t="inlineStr">
        <is>
          <t>Not Run</t>
        </is>
      </c>
      <c r="L1628" s="16" t="inlineStr">
        <is>
          <t>Medium</t>
        </is>
      </c>
      <c r="M1628" s="16" t="inlineStr"/>
      <c r="N1628" s="16" t="inlineStr"/>
      <c r="O1628" s="16" t="inlineStr"/>
    </row>
    <row r="1629" ht="72" customHeight="1">
      <c r="A1629" s="16" t="inlineStr">
        <is>
          <t>TC-MM-0586</t>
        </is>
      </c>
      <c r="B1629" s="16" t="inlineStr">
        <is>
          <t>Method x Body Matrix</t>
        </is>
      </c>
      <c r="C1629" s="16" t="inlineStr">
        <is>
          <t>OPTIONS + OAuth2ClientCreds + raw-json</t>
        </is>
      </c>
      <c r="D1629" s="16" t="inlineStr">
        <is>
          <t>Functional</t>
        </is>
      </c>
      <c r="E1629" s="16" t="inlineStr">
        <is>
          <t>OPTIONS with OAuth2ClientCreds auth and raw-json body</t>
        </is>
      </c>
      <c r="F1629" s="16" t="inlineStr">
        <is>
          <t>Editor open.</t>
        </is>
      </c>
      <c r="G1629" s="16" t="inlineStr">
        <is>
          <t>1. New request; method OPTIONS; URL to an echo endpoint.
2. Auth type OAuth2ClientCreds; configure minimum credentials.
3. Body type raw-json; provide minimum valid content.
4. Send and inspect outgoing wire request (DevTools/proxy).</t>
        </is>
      </c>
      <c r="H1629" s="16" t="inlineStr">
        <is>
          <t>method=OPTIONS auth=OAuth2ClientCreds body=raw-json</t>
        </is>
      </c>
      <c r="I1629" s="16" t="inlineStr">
        <is>
          <t>Access token acquired (or refreshed); attached as Bearer; OPTIONS sent with raw-json body; server returns expected status.</t>
        </is>
      </c>
      <c r="J1629" s="16" t="inlineStr"/>
      <c r="K1629" s="16" t="inlineStr">
        <is>
          <t>Not Run</t>
        </is>
      </c>
      <c r="L1629" s="16" t="inlineStr">
        <is>
          <t>Medium</t>
        </is>
      </c>
      <c r="M1629" s="16" t="inlineStr"/>
      <c r="N1629" s="16" t="inlineStr"/>
      <c r="O1629" s="16" t="inlineStr"/>
    </row>
    <row r="1630" ht="72" customHeight="1">
      <c r="A1630" s="16" t="inlineStr">
        <is>
          <t>TC-MM-0587</t>
        </is>
      </c>
      <c r="B1630" s="16" t="inlineStr">
        <is>
          <t>Method x Body Matrix</t>
        </is>
      </c>
      <c r="C1630" s="16" t="inlineStr">
        <is>
          <t>OPTIONS + OAuth2ClientCreds + raw-xml</t>
        </is>
      </c>
      <c r="D1630" s="16" t="inlineStr">
        <is>
          <t>Functional</t>
        </is>
      </c>
      <c r="E1630" s="16" t="inlineStr">
        <is>
          <t>OPTIONS with OAuth2ClientCreds auth and raw-xml body</t>
        </is>
      </c>
      <c r="F1630" s="16" t="inlineStr">
        <is>
          <t>Editor open.</t>
        </is>
      </c>
      <c r="G1630" s="16" t="inlineStr">
        <is>
          <t>1. New request; method OPTIONS; URL to an echo endpoint.
2. Auth type OAuth2ClientCreds; configure minimum credentials.
3. Body type raw-xml; provide minimum valid content.
4. Send and inspect outgoing wire request (DevTools/proxy).</t>
        </is>
      </c>
      <c r="H1630" s="16" t="inlineStr">
        <is>
          <t>method=OPTIONS auth=OAuth2ClientCreds body=raw-xml</t>
        </is>
      </c>
      <c r="I1630" s="16" t="inlineStr">
        <is>
          <t>Access token acquired (or refreshed); attached as Bearer; OPTIONS sent with raw-xml body; server returns expected status.</t>
        </is>
      </c>
      <c r="J1630" s="16" t="inlineStr"/>
      <c r="K1630" s="16" t="inlineStr">
        <is>
          <t>Not Run</t>
        </is>
      </c>
      <c r="L1630" s="16" t="inlineStr">
        <is>
          <t>Medium</t>
        </is>
      </c>
      <c r="M1630" s="16" t="inlineStr"/>
      <c r="N1630" s="16" t="inlineStr"/>
      <c r="O1630" s="16" t="inlineStr"/>
    </row>
    <row r="1631" ht="72" customHeight="1">
      <c r="A1631" s="16" t="inlineStr">
        <is>
          <t>TC-MM-0588</t>
        </is>
      </c>
      <c r="B1631" s="16" t="inlineStr">
        <is>
          <t>Method x Body Matrix</t>
        </is>
      </c>
      <c r="C1631" s="16" t="inlineStr">
        <is>
          <t>OPTIONS + OAuth2ClientCreds + raw-text</t>
        </is>
      </c>
      <c r="D1631" s="16" t="inlineStr">
        <is>
          <t>Functional</t>
        </is>
      </c>
      <c r="E1631" s="16" t="inlineStr">
        <is>
          <t>OPTIONS with OAuth2ClientCreds auth and raw-text body</t>
        </is>
      </c>
      <c r="F1631" s="16" t="inlineStr">
        <is>
          <t>Editor open.</t>
        </is>
      </c>
      <c r="G1631" s="16" t="inlineStr">
        <is>
          <t>1. New request; method OPTIONS; URL to an echo endpoint.
2. Auth type OAuth2ClientCreds; configure minimum credentials.
3. Body type raw-text; provide minimum valid content.
4. Send and inspect outgoing wire request (DevTools/proxy).</t>
        </is>
      </c>
      <c r="H1631" s="16" t="inlineStr">
        <is>
          <t>method=OPTIONS auth=OAuth2ClientCreds body=raw-text</t>
        </is>
      </c>
      <c r="I1631" s="16" t="inlineStr">
        <is>
          <t>Access token acquired (or refreshed); attached as Bearer; OPTIONS sent with raw-text body; server returns expected status.</t>
        </is>
      </c>
      <c r="J1631" s="16" t="inlineStr"/>
      <c r="K1631" s="16" t="inlineStr">
        <is>
          <t>Not Run</t>
        </is>
      </c>
      <c r="L1631" s="16" t="inlineStr">
        <is>
          <t>Medium</t>
        </is>
      </c>
      <c r="M1631" s="16" t="inlineStr"/>
      <c r="N1631" s="16" t="inlineStr"/>
      <c r="O1631" s="16" t="inlineStr"/>
    </row>
    <row r="1632" ht="72" customHeight="1">
      <c r="A1632" s="16" t="inlineStr">
        <is>
          <t>TC-MM-0589</t>
        </is>
      </c>
      <c r="B1632" s="16" t="inlineStr">
        <is>
          <t>Method x Body Matrix</t>
        </is>
      </c>
      <c r="C1632" s="16" t="inlineStr">
        <is>
          <t>OPTIONS + OAuth2ClientCreds + binary</t>
        </is>
      </c>
      <c r="D1632" s="16" t="inlineStr">
        <is>
          <t>Functional</t>
        </is>
      </c>
      <c r="E1632" s="16" t="inlineStr">
        <is>
          <t>OPTIONS with OAuth2ClientCreds auth and binary body</t>
        </is>
      </c>
      <c r="F1632" s="16" t="inlineStr">
        <is>
          <t>Editor open.</t>
        </is>
      </c>
      <c r="G1632" s="16" t="inlineStr">
        <is>
          <t>1. New request; method OPTIONS; URL to an echo endpoint.
2. Auth type OAuth2ClientCreds; configure minimum credentials.
3. Body type binary; provide minimum valid content.
4. Send and inspect outgoing wire request (DevTools/proxy).</t>
        </is>
      </c>
      <c r="H1632" s="16" t="inlineStr">
        <is>
          <t>method=OPTIONS auth=OAuth2ClientCreds body=binary</t>
        </is>
      </c>
      <c r="I1632" s="16" t="inlineStr">
        <is>
          <t>Access token acquired (or refreshed); attached as Bearer; OPTIONS sent with binary body; server returns expected status.</t>
        </is>
      </c>
      <c r="J1632" s="16" t="inlineStr"/>
      <c r="K1632" s="16" t="inlineStr">
        <is>
          <t>Not Run</t>
        </is>
      </c>
      <c r="L1632" s="16" t="inlineStr">
        <is>
          <t>Medium</t>
        </is>
      </c>
      <c r="M1632" s="16" t="inlineStr"/>
      <c r="N1632" s="16" t="inlineStr"/>
      <c r="O1632" s="16" t="inlineStr"/>
    </row>
    <row r="1633" ht="72" customHeight="1">
      <c r="A1633" s="16" t="inlineStr">
        <is>
          <t>TC-MM-0590</t>
        </is>
      </c>
      <c r="B1633" s="16" t="inlineStr">
        <is>
          <t>Method x Body Matrix</t>
        </is>
      </c>
      <c r="C1633" s="16" t="inlineStr">
        <is>
          <t>OPTIONS + OAuth2PKCE + none</t>
        </is>
      </c>
      <c r="D1633" s="16" t="inlineStr">
        <is>
          <t>Functional</t>
        </is>
      </c>
      <c r="E1633" s="16" t="inlineStr">
        <is>
          <t>OPTIONS with OAuth2PKCE auth and none body</t>
        </is>
      </c>
      <c r="F1633" s="16" t="inlineStr">
        <is>
          <t>Editor open.</t>
        </is>
      </c>
      <c r="G1633" s="16" t="inlineStr">
        <is>
          <t>1. New request; method OPTIONS; URL to an echo endpoint.
2. Auth type OAuth2PKCE; configure minimum credentials.
3. Body type none; provide minimum valid content.
4. Send and inspect outgoing wire request (DevTools/proxy).</t>
        </is>
      </c>
      <c r="H1633" s="16" t="inlineStr">
        <is>
          <t>method=OPTIONS auth=OAuth2PKCE body=none</t>
        </is>
      </c>
      <c r="I1633" s="16" t="inlineStr">
        <is>
          <t>Access token acquired (or refreshed); attached as Bearer; OPTIONS sent with none body; server returns expected status.</t>
        </is>
      </c>
      <c r="J1633" s="16" t="inlineStr"/>
      <c r="K1633" s="16" t="inlineStr">
        <is>
          <t>Not Run</t>
        </is>
      </c>
      <c r="L1633" s="16" t="inlineStr">
        <is>
          <t>Medium</t>
        </is>
      </c>
      <c r="M1633" s="16" t="inlineStr"/>
      <c r="N1633" s="16" t="inlineStr"/>
      <c r="O1633" s="16" t="inlineStr"/>
    </row>
    <row r="1634" ht="72" customHeight="1">
      <c r="A1634" s="16" t="inlineStr">
        <is>
          <t>TC-MM-0591</t>
        </is>
      </c>
      <c r="B1634" s="16" t="inlineStr">
        <is>
          <t>Method x Body Matrix</t>
        </is>
      </c>
      <c r="C1634" s="16" t="inlineStr">
        <is>
          <t>OPTIONS + OAuth2PKCE + form-data</t>
        </is>
      </c>
      <c r="D1634" s="16" t="inlineStr">
        <is>
          <t>Functional</t>
        </is>
      </c>
      <c r="E1634" s="16" t="inlineStr">
        <is>
          <t>OPTIONS with OAuth2PKCE auth and form-data body</t>
        </is>
      </c>
      <c r="F1634" s="16" t="inlineStr">
        <is>
          <t>Editor open.</t>
        </is>
      </c>
      <c r="G1634" s="16" t="inlineStr">
        <is>
          <t>1. New request; method OPTIONS; URL to an echo endpoint.
2. Auth type OAuth2PKCE; configure minimum credentials.
3. Body type form-data; provide minimum valid content.
4. Send and inspect outgoing wire request (DevTools/proxy).</t>
        </is>
      </c>
      <c r="H1634" s="16" t="inlineStr">
        <is>
          <t>method=OPTIONS auth=OAuth2PKCE body=form-data</t>
        </is>
      </c>
      <c r="I1634" s="16" t="inlineStr">
        <is>
          <t>Access token acquired (or refreshed); attached as Bearer; OPTIONS sent with form-data body; server returns expected status.</t>
        </is>
      </c>
      <c r="J1634" s="16" t="inlineStr"/>
      <c r="K1634" s="16" t="inlineStr">
        <is>
          <t>Not Run</t>
        </is>
      </c>
      <c r="L1634" s="16" t="inlineStr">
        <is>
          <t>Medium</t>
        </is>
      </c>
      <c r="M1634" s="16" t="inlineStr"/>
      <c r="N1634" s="16" t="inlineStr"/>
      <c r="O1634" s="16" t="inlineStr"/>
    </row>
    <row r="1635" ht="72" customHeight="1">
      <c r="A1635" s="16" t="inlineStr">
        <is>
          <t>TC-MM-0592</t>
        </is>
      </c>
      <c r="B1635" s="16" t="inlineStr">
        <is>
          <t>Method x Body Matrix</t>
        </is>
      </c>
      <c r="C1635" s="16" t="inlineStr">
        <is>
          <t>OPTIONS + OAuth2PKCE + x-www-form-urlencoded</t>
        </is>
      </c>
      <c r="D1635" s="16" t="inlineStr">
        <is>
          <t>Functional</t>
        </is>
      </c>
      <c r="E1635" s="16" t="inlineStr">
        <is>
          <t>OPTIONS with OAuth2PKCE auth and x-www-form-urlencoded body</t>
        </is>
      </c>
      <c r="F1635" s="16" t="inlineStr">
        <is>
          <t>Editor open.</t>
        </is>
      </c>
      <c r="G1635" s="16" t="inlineStr">
        <is>
          <t>1. New request; method OPTIONS; URL to an echo endpoint.
2. Auth type OAuth2PKCE; configure minimum credentials.
3. Body type x-www-form-urlencoded; provide minimum valid content.
4. Send and inspect outgoing wire request (DevTools/proxy).</t>
        </is>
      </c>
      <c r="H1635" s="16" t="inlineStr">
        <is>
          <t>method=OPTIONS auth=OAuth2PKCE body=x-www-form-urlencoded</t>
        </is>
      </c>
      <c r="I1635" s="16" t="inlineStr">
        <is>
          <t>Access token acquired (or refreshed); attached as Bearer; OPTIONS sent with x-www-form-urlencoded body; server returns expected status.</t>
        </is>
      </c>
      <c r="J1635" s="16" t="inlineStr"/>
      <c r="K1635" s="16" t="inlineStr">
        <is>
          <t>Not Run</t>
        </is>
      </c>
      <c r="L1635" s="16" t="inlineStr">
        <is>
          <t>Medium</t>
        </is>
      </c>
      <c r="M1635" s="16" t="inlineStr"/>
      <c r="N1635" s="16" t="inlineStr"/>
      <c r="O1635" s="16" t="inlineStr"/>
    </row>
    <row r="1636" ht="72" customHeight="1">
      <c r="A1636" s="16" t="inlineStr">
        <is>
          <t>TC-MM-0593</t>
        </is>
      </c>
      <c r="B1636" s="16" t="inlineStr">
        <is>
          <t>Method x Body Matrix</t>
        </is>
      </c>
      <c r="C1636" s="16" t="inlineStr">
        <is>
          <t>OPTIONS + OAuth2PKCE + raw-json</t>
        </is>
      </c>
      <c r="D1636" s="16" t="inlineStr">
        <is>
          <t>Functional</t>
        </is>
      </c>
      <c r="E1636" s="16" t="inlineStr">
        <is>
          <t>OPTIONS with OAuth2PKCE auth and raw-json body</t>
        </is>
      </c>
      <c r="F1636" s="16" t="inlineStr">
        <is>
          <t>Editor open.</t>
        </is>
      </c>
      <c r="G1636" s="16" t="inlineStr">
        <is>
          <t>1. New request; method OPTIONS; URL to an echo endpoint.
2. Auth type OAuth2PKCE; configure minimum credentials.
3. Body type raw-json; provide minimum valid content.
4. Send and inspect outgoing wire request (DevTools/proxy).</t>
        </is>
      </c>
      <c r="H1636" s="16" t="inlineStr">
        <is>
          <t>method=OPTIONS auth=OAuth2PKCE body=raw-json</t>
        </is>
      </c>
      <c r="I1636" s="16" t="inlineStr">
        <is>
          <t>Access token acquired (or refreshed); attached as Bearer; OPTIONS sent with raw-json body; server returns expected status.</t>
        </is>
      </c>
      <c r="J1636" s="16" t="inlineStr"/>
      <c r="K1636" s="16" t="inlineStr">
        <is>
          <t>Not Run</t>
        </is>
      </c>
      <c r="L1636" s="16" t="inlineStr">
        <is>
          <t>Medium</t>
        </is>
      </c>
      <c r="M1636" s="16" t="inlineStr"/>
      <c r="N1636" s="16" t="inlineStr"/>
      <c r="O1636" s="16" t="inlineStr"/>
    </row>
    <row r="1637" ht="72" customHeight="1">
      <c r="A1637" s="16" t="inlineStr">
        <is>
          <t>TC-MM-0594</t>
        </is>
      </c>
      <c r="B1637" s="16" t="inlineStr">
        <is>
          <t>Method x Body Matrix</t>
        </is>
      </c>
      <c r="C1637" s="16" t="inlineStr">
        <is>
          <t>OPTIONS + OAuth2PKCE + raw-xml</t>
        </is>
      </c>
      <c r="D1637" s="16" t="inlineStr">
        <is>
          <t>Functional</t>
        </is>
      </c>
      <c r="E1637" s="16" t="inlineStr">
        <is>
          <t>OPTIONS with OAuth2PKCE auth and raw-xml body</t>
        </is>
      </c>
      <c r="F1637" s="16" t="inlineStr">
        <is>
          <t>Editor open.</t>
        </is>
      </c>
      <c r="G1637" s="16" t="inlineStr">
        <is>
          <t>1. New request; method OPTIONS; URL to an echo endpoint.
2. Auth type OAuth2PKCE; configure minimum credentials.
3. Body type raw-xml; provide minimum valid content.
4. Send and inspect outgoing wire request (DevTools/proxy).</t>
        </is>
      </c>
      <c r="H1637" s="16" t="inlineStr">
        <is>
          <t>method=OPTIONS auth=OAuth2PKCE body=raw-xml</t>
        </is>
      </c>
      <c r="I1637" s="16" t="inlineStr">
        <is>
          <t>Access token acquired (or refreshed); attached as Bearer; OPTIONS sent with raw-xml body; server returns expected status.</t>
        </is>
      </c>
      <c r="J1637" s="16" t="inlineStr"/>
      <c r="K1637" s="16" t="inlineStr">
        <is>
          <t>Not Run</t>
        </is>
      </c>
      <c r="L1637" s="16" t="inlineStr">
        <is>
          <t>Medium</t>
        </is>
      </c>
      <c r="M1637" s="16" t="inlineStr"/>
      <c r="N1637" s="16" t="inlineStr"/>
      <c r="O1637" s="16" t="inlineStr"/>
    </row>
    <row r="1638" ht="72" customHeight="1">
      <c r="A1638" s="16" t="inlineStr">
        <is>
          <t>TC-MM-0595</t>
        </is>
      </c>
      <c r="B1638" s="16" t="inlineStr">
        <is>
          <t>Method x Body Matrix</t>
        </is>
      </c>
      <c r="C1638" s="16" t="inlineStr">
        <is>
          <t>OPTIONS + OAuth2PKCE + raw-text</t>
        </is>
      </c>
      <c r="D1638" s="16" t="inlineStr">
        <is>
          <t>Functional</t>
        </is>
      </c>
      <c r="E1638" s="16" t="inlineStr">
        <is>
          <t>OPTIONS with OAuth2PKCE auth and raw-text body</t>
        </is>
      </c>
      <c r="F1638" s="16" t="inlineStr">
        <is>
          <t>Editor open.</t>
        </is>
      </c>
      <c r="G1638" s="16" t="inlineStr">
        <is>
          <t>1. New request; method OPTIONS; URL to an echo endpoint.
2. Auth type OAuth2PKCE; configure minimum credentials.
3. Body type raw-text; provide minimum valid content.
4. Send and inspect outgoing wire request (DevTools/proxy).</t>
        </is>
      </c>
      <c r="H1638" s="16" t="inlineStr">
        <is>
          <t>method=OPTIONS auth=OAuth2PKCE body=raw-text</t>
        </is>
      </c>
      <c r="I1638" s="16" t="inlineStr">
        <is>
          <t>Access token acquired (or refreshed); attached as Bearer; OPTIONS sent with raw-text body; server returns expected status.</t>
        </is>
      </c>
      <c r="J1638" s="16" t="inlineStr"/>
      <c r="K1638" s="16" t="inlineStr">
        <is>
          <t>Not Run</t>
        </is>
      </c>
      <c r="L1638" s="16" t="inlineStr">
        <is>
          <t>Medium</t>
        </is>
      </c>
      <c r="M1638" s="16" t="inlineStr"/>
      <c r="N1638" s="16" t="inlineStr"/>
      <c r="O1638" s="16" t="inlineStr"/>
    </row>
    <row r="1639" ht="72" customHeight="1">
      <c r="A1639" s="16" t="inlineStr">
        <is>
          <t>TC-MM-0596</t>
        </is>
      </c>
      <c r="B1639" s="16" t="inlineStr">
        <is>
          <t>Method x Body Matrix</t>
        </is>
      </c>
      <c r="C1639" s="16" t="inlineStr">
        <is>
          <t>OPTIONS + OAuth2PKCE + binary</t>
        </is>
      </c>
      <c r="D1639" s="16" t="inlineStr">
        <is>
          <t>Functional</t>
        </is>
      </c>
      <c r="E1639" s="16" t="inlineStr">
        <is>
          <t>OPTIONS with OAuth2PKCE auth and binary body</t>
        </is>
      </c>
      <c r="F1639" s="16" t="inlineStr">
        <is>
          <t>Editor open.</t>
        </is>
      </c>
      <c r="G1639" s="16" t="inlineStr">
        <is>
          <t>1. New request; method OPTIONS; URL to an echo endpoint.
2. Auth type OAuth2PKCE; configure minimum credentials.
3. Body type binary; provide minimum valid content.
4. Send and inspect outgoing wire request (DevTools/proxy).</t>
        </is>
      </c>
      <c r="H1639" s="16" t="inlineStr">
        <is>
          <t>method=OPTIONS auth=OAuth2PKCE body=binary</t>
        </is>
      </c>
      <c r="I1639" s="16" t="inlineStr">
        <is>
          <t>Access token acquired (or refreshed); attached as Bearer; OPTIONS sent with binary body; server returns expected status.</t>
        </is>
      </c>
      <c r="J1639" s="16" t="inlineStr"/>
      <c r="K1639" s="16" t="inlineStr">
        <is>
          <t>Not Run</t>
        </is>
      </c>
      <c r="L1639" s="16" t="inlineStr">
        <is>
          <t>Medium</t>
        </is>
      </c>
      <c r="M1639" s="16" t="inlineStr"/>
      <c r="N1639" s="16" t="inlineStr"/>
      <c r="O1639" s="16" t="inlineStr"/>
    </row>
    <row r="1640" ht="72" customHeight="1">
      <c r="A1640" s="16" t="inlineStr">
        <is>
          <t>TC-MM-0597</t>
        </is>
      </c>
      <c r="B1640" s="16" t="inlineStr">
        <is>
          <t>Method x Body Matrix</t>
        </is>
      </c>
      <c r="C1640" s="16" t="inlineStr">
        <is>
          <t>OPTIONS + Digest + none</t>
        </is>
      </c>
      <c r="D1640" s="16" t="inlineStr">
        <is>
          <t>Functional</t>
        </is>
      </c>
      <c r="E1640" s="16" t="inlineStr">
        <is>
          <t>OPTIONS with Digest auth and none body</t>
        </is>
      </c>
      <c r="F1640" s="16" t="inlineStr">
        <is>
          <t>Editor open.</t>
        </is>
      </c>
      <c r="G1640" s="16" t="inlineStr">
        <is>
          <t>1. New request; method OPTIONS; URL to an echo endpoint.
2. Auth type Digest; configure minimum credentials.
3. Body type none; provide minimum valid content.
4. Send and inspect outgoing wire request (DevTools/proxy).</t>
        </is>
      </c>
      <c r="H1640" s="16" t="inlineStr">
        <is>
          <t>method=OPTIONS auth=Digest body=none</t>
        </is>
      </c>
      <c r="I1640" s="16" t="inlineStr">
        <is>
          <t>Digest auth applied correctly; none body sent with right Content-Type; server returns expected status.</t>
        </is>
      </c>
      <c r="J1640" s="16" t="inlineStr"/>
      <c r="K1640" s="16" t="inlineStr">
        <is>
          <t>Not Run</t>
        </is>
      </c>
      <c r="L1640" s="16" t="inlineStr">
        <is>
          <t>Medium</t>
        </is>
      </c>
      <c r="M1640" s="16" t="inlineStr"/>
      <c r="N1640" s="16" t="inlineStr"/>
      <c r="O1640" s="16" t="inlineStr"/>
    </row>
    <row r="1641" ht="72" customHeight="1">
      <c r="A1641" s="16" t="inlineStr">
        <is>
          <t>TC-MM-0598</t>
        </is>
      </c>
      <c r="B1641" s="16" t="inlineStr">
        <is>
          <t>Method x Body Matrix</t>
        </is>
      </c>
      <c r="C1641" s="16" t="inlineStr">
        <is>
          <t>OPTIONS + Digest + form-data</t>
        </is>
      </c>
      <c r="D1641" s="16" t="inlineStr">
        <is>
          <t>Edge Case</t>
        </is>
      </c>
      <c r="E1641" s="16" t="inlineStr">
        <is>
          <t>OPTIONS with Digest auth and form-data body</t>
        </is>
      </c>
      <c r="F1641" s="16" t="inlineStr">
        <is>
          <t>Editor open.</t>
        </is>
      </c>
      <c r="G1641" s="16" t="inlineStr">
        <is>
          <t>1. New request; method OPTIONS; URL to an echo endpoint.
2. Auth type Digest; configure minimum credentials.
3. Body type form-data; provide minimum valid content.
4. Send and inspect outgoing wire request (DevTools/proxy).</t>
        </is>
      </c>
      <c r="H1641" s="16" t="inlineStr">
        <is>
          <t>method=OPTIONS auth=Digest body=form-data</t>
        </is>
      </c>
      <c r="I1641" s="16" t="inlineStr">
        <is>
          <t>App allows configuring form-data body for OPTIONS; verifies wire behavior (sent or stripped) is consistent. Auth header sent regardless.</t>
        </is>
      </c>
      <c r="J1641" s="16" t="inlineStr"/>
      <c r="K1641" s="16" t="inlineStr">
        <is>
          <t>Not Run</t>
        </is>
      </c>
      <c r="L1641" s="16" t="inlineStr">
        <is>
          <t>Low</t>
        </is>
      </c>
      <c r="M1641" s="16" t="inlineStr"/>
      <c r="N1641" s="16" t="inlineStr"/>
      <c r="O1641" s="16" t="inlineStr"/>
    </row>
    <row r="1642" ht="72" customHeight="1">
      <c r="A1642" s="16" t="inlineStr">
        <is>
          <t>TC-MM-0599</t>
        </is>
      </c>
      <c r="B1642" s="16" t="inlineStr">
        <is>
          <t>Method x Body Matrix</t>
        </is>
      </c>
      <c r="C1642" s="16" t="inlineStr">
        <is>
          <t>OPTIONS + Digest + x-www-form-urlencoded</t>
        </is>
      </c>
      <c r="D1642" s="16" t="inlineStr">
        <is>
          <t>Edge Case</t>
        </is>
      </c>
      <c r="E1642" s="16" t="inlineStr">
        <is>
          <t>OPTIONS with Digest auth and x-www-form-urlencoded body</t>
        </is>
      </c>
      <c r="F1642" s="16" t="inlineStr">
        <is>
          <t>Editor open.</t>
        </is>
      </c>
      <c r="G1642" s="16" t="inlineStr">
        <is>
          <t>1. New request; method OPTIONS; URL to an echo endpoint.
2. Auth type Digest; configure minimum credentials.
3. Body type x-www-form-urlencoded; provide minimum valid content.
4. Send and inspect outgoing wire request (DevTools/proxy).</t>
        </is>
      </c>
      <c r="H1642" s="16" t="inlineStr">
        <is>
          <t>method=OPTIONS auth=Digest body=x-www-form-urlencoded</t>
        </is>
      </c>
      <c r="I1642" s="16" t="inlineStr">
        <is>
          <t>App allows configuring x-www-form-urlencoded body for OPTIONS; verifies wire behavior (sent or stripped) is consistent. Auth header sent regardless.</t>
        </is>
      </c>
      <c r="J1642" s="16" t="inlineStr"/>
      <c r="K1642" s="16" t="inlineStr">
        <is>
          <t>Not Run</t>
        </is>
      </c>
      <c r="L1642" s="16" t="inlineStr">
        <is>
          <t>Low</t>
        </is>
      </c>
      <c r="M1642" s="16" t="inlineStr"/>
      <c r="N1642" s="16" t="inlineStr"/>
      <c r="O1642" s="16" t="inlineStr"/>
    </row>
    <row r="1643" ht="72" customHeight="1">
      <c r="A1643" s="16" t="inlineStr">
        <is>
          <t>TC-MM-0600</t>
        </is>
      </c>
      <c r="B1643" s="16" t="inlineStr">
        <is>
          <t>Method x Body Matrix</t>
        </is>
      </c>
      <c r="C1643" s="16" t="inlineStr">
        <is>
          <t>OPTIONS + Digest + raw-json</t>
        </is>
      </c>
      <c r="D1643" s="16" t="inlineStr">
        <is>
          <t>Edge Case</t>
        </is>
      </c>
      <c r="E1643" s="16" t="inlineStr">
        <is>
          <t>OPTIONS with Digest auth and raw-json body</t>
        </is>
      </c>
      <c r="F1643" s="16" t="inlineStr">
        <is>
          <t>Editor open.</t>
        </is>
      </c>
      <c r="G1643" s="16" t="inlineStr">
        <is>
          <t>1. New request; method OPTIONS; URL to an echo endpoint.
2. Auth type Digest; configure minimum credentials.
3. Body type raw-json; provide minimum valid content.
4. Send and inspect outgoing wire request (DevTools/proxy).</t>
        </is>
      </c>
      <c r="H1643" s="16" t="inlineStr">
        <is>
          <t>method=OPTIONS auth=Digest body=raw-json</t>
        </is>
      </c>
      <c r="I1643" s="16" t="inlineStr">
        <is>
          <t>App allows configuring raw-json body for OPTIONS; verifies wire behavior (sent or stripped) is consistent. Auth header sent regardless.</t>
        </is>
      </c>
      <c r="J1643" s="16" t="inlineStr"/>
      <c r="K1643" s="16" t="inlineStr">
        <is>
          <t>Not Run</t>
        </is>
      </c>
      <c r="L1643" s="16" t="inlineStr">
        <is>
          <t>Low</t>
        </is>
      </c>
      <c r="M1643" s="16" t="inlineStr"/>
      <c r="N1643" s="16" t="inlineStr"/>
      <c r="O1643" s="16" t="inlineStr"/>
    </row>
    <row r="1644" ht="72" customHeight="1">
      <c r="A1644" s="16" t="inlineStr">
        <is>
          <t>TC-MM-0601</t>
        </is>
      </c>
      <c r="B1644" s="16" t="inlineStr">
        <is>
          <t>Method x Body Matrix</t>
        </is>
      </c>
      <c r="C1644" s="16" t="inlineStr">
        <is>
          <t>OPTIONS + Digest + raw-xml</t>
        </is>
      </c>
      <c r="D1644" s="16" t="inlineStr">
        <is>
          <t>Edge Case</t>
        </is>
      </c>
      <c r="E1644" s="16" t="inlineStr">
        <is>
          <t>OPTIONS with Digest auth and raw-xml body</t>
        </is>
      </c>
      <c r="F1644" s="16" t="inlineStr">
        <is>
          <t>Editor open.</t>
        </is>
      </c>
      <c r="G1644" s="16" t="inlineStr">
        <is>
          <t>1. New request; method OPTIONS; URL to an echo endpoint.
2. Auth type Digest; configure minimum credentials.
3. Body type raw-xml; provide minimum valid content.
4. Send and inspect outgoing wire request (DevTools/proxy).</t>
        </is>
      </c>
      <c r="H1644" s="16" t="inlineStr">
        <is>
          <t>method=OPTIONS auth=Digest body=raw-xml</t>
        </is>
      </c>
      <c r="I1644" s="16" t="inlineStr">
        <is>
          <t>App allows configuring raw-xml body for OPTIONS; verifies wire behavior (sent or stripped) is consistent. Auth header sent regardless.</t>
        </is>
      </c>
      <c r="J1644" s="16" t="inlineStr"/>
      <c r="K1644" s="16" t="inlineStr">
        <is>
          <t>Not Run</t>
        </is>
      </c>
      <c r="L1644" s="16" t="inlineStr">
        <is>
          <t>Low</t>
        </is>
      </c>
      <c r="M1644" s="16" t="inlineStr"/>
      <c r="N1644" s="16" t="inlineStr"/>
      <c r="O1644" s="16" t="inlineStr"/>
    </row>
    <row r="1645" ht="72" customHeight="1">
      <c r="A1645" s="16" t="inlineStr">
        <is>
          <t>TC-MM-0602</t>
        </is>
      </c>
      <c r="B1645" s="16" t="inlineStr">
        <is>
          <t>Method x Body Matrix</t>
        </is>
      </c>
      <c r="C1645" s="16" t="inlineStr">
        <is>
          <t>OPTIONS + Digest + raw-text</t>
        </is>
      </c>
      <c r="D1645" s="16" t="inlineStr">
        <is>
          <t>Edge Case</t>
        </is>
      </c>
      <c r="E1645" s="16" t="inlineStr">
        <is>
          <t>OPTIONS with Digest auth and raw-text body</t>
        </is>
      </c>
      <c r="F1645" s="16" t="inlineStr">
        <is>
          <t>Editor open.</t>
        </is>
      </c>
      <c r="G1645" s="16" t="inlineStr">
        <is>
          <t>1. New request; method OPTIONS; URL to an echo endpoint.
2. Auth type Digest; configure minimum credentials.
3. Body type raw-text; provide minimum valid content.
4. Send and inspect outgoing wire request (DevTools/proxy).</t>
        </is>
      </c>
      <c r="H1645" s="16" t="inlineStr">
        <is>
          <t>method=OPTIONS auth=Digest body=raw-text</t>
        </is>
      </c>
      <c r="I1645" s="16" t="inlineStr">
        <is>
          <t>App allows configuring raw-text body for OPTIONS; verifies wire behavior (sent or stripped) is consistent. Auth header sent regardless.</t>
        </is>
      </c>
      <c r="J1645" s="16" t="inlineStr"/>
      <c r="K1645" s="16" t="inlineStr">
        <is>
          <t>Not Run</t>
        </is>
      </c>
      <c r="L1645" s="16" t="inlineStr">
        <is>
          <t>Low</t>
        </is>
      </c>
      <c r="M1645" s="16" t="inlineStr"/>
      <c r="N1645" s="16" t="inlineStr"/>
      <c r="O1645" s="16" t="inlineStr"/>
    </row>
    <row r="1646" ht="72" customHeight="1">
      <c r="A1646" s="16" t="inlineStr">
        <is>
          <t>TC-MM-0603</t>
        </is>
      </c>
      <c r="B1646" s="16" t="inlineStr">
        <is>
          <t>Method x Body Matrix</t>
        </is>
      </c>
      <c r="C1646" s="16" t="inlineStr">
        <is>
          <t>OPTIONS + Digest + binary</t>
        </is>
      </c>
      <c r="D1646" s="16" t="inlineStr">
        <is>
          <t>Edge Case</t>
        </is>
      </c>
      <c r="E1646" s="16" t="inlineStr">
        <is>
          <t>OPTIONS with Digest auth and binary body</t>
        </is>
      </c>
      <c r="F1646" s="16" t="inlineStr">
        <is>
          <t>Editor open.</t>
        </is>
      </c>
      <c r="G1646" s="16" t="inlineStr">
        <is>
          <t>1. New request; method OPTIONS; URL to an echo endpoint.
2. Auth type Digest; configure minimum credentials.
3. Body type binary; provide minimum valid content.
4. Send and inspect outgoing wire request (DevTools/proxy).</t>
        </is>
      </c>
      <c r="H1646" s="16" t="inlineStr">
        <is>
          <t>method=OPTIONS auth=Digest body=binary</t>
        </is>
      </c>
      <c r="I1646" s="16" t="inlineStr">
        <is>
          <t>App allows configuring binary body for OPTIONS; verifies wire behavior (sent or stripped) is consistent. Auth header sent regardless.</t>
        </is>
      </c>
      <c r="J1646" s="16" t="inlineStr"/>
      <c r="K1646" s="16" t="inlineStr">
        <is>
          <t>Not Run</t>
        </is>
      </c>
      <c r="L1646" s="16" t="inlineStr">
        <is>
          <t>Low</t>
        </is>
      </c>
      <c r="M1646" s="16" t="inlineStr"/>
      <c r="N1646" s="16" t="inlineStr"/>
      <c r="O1646" s="16" t="inlineStr"/>
    </row>
    <row r="1647" ht="72" customHeight="1">
      <c r="A1647" s="16" t="inlineStr">
        <is>
          <t>TC-MM-0604</t>
        </is>
      </c>
      <c r="B1647" s="16" t="inlineStr">
        <is>
          <t>Method x Body Matrix</t>
        </is>
      </c>
      <c r="C1647" s="16" t="inlineStr">
        <is>
          <t>OPTIONS + NTLM + none</t>
        </is>
      </c>
      <c r="D1647" s="16" t="inlineStr">
        <is>
          <t>Functional</t>
        </is>
      </c>
      <c r="E1647" s="16" t="inlineStr">
        <is>
          <t>OPTIONS with NTLM auth and none body</t>
        </is>
      </c>
      <c r="F1647" s="16" t="inlineStr">
        <is>
          <t>Editor open.</t>
        </is>
      </c>
      <c r="G1647" s="16" t="inlineStr">
        <is>
          <t>1. New request; method OPTIONS; URL to an echo endpoint.
2. Auth type NTLM; configure minimum credentials.
3. Body type none; provide minimum valid content.
4. Send and inspect outgoing wire request (DevTools/proxy).</t>
        </is>
      </c>
      <c r="H1647" s="16" t="inlineStr">
        <is>
          <t>method=OPTIONS auth=NTLM body=none</t>
        </is>
      </c>
      <c r="I1647" s="16" t="inlineStr">
        <is>
          <t>NTLM auth applied correctly; none body sent with right Content-Type; server returns expected status.</t>
        </is>
      </c>
      <c r="J1647" s="16" t="inlineStr"/>
      <c r="K1647" s="16" t="inlineStr">
        <is>
          <t>Not Run</t>
        </is>
      </c>
      <c r="L1647" s="16" t="inlineStr">
        <is>
          <t>Medium</t>
        </is>
      </c>
      <c r="M1647" s="16" t="inlineStr"/>
      <c r="N1647" s="16" t="inlineStr"/>
      <c r="O1647" s="16" t="inlineStr"/>
    </row>
    <row r="1648" ht="72" customHeight="1">
      <c r="A1648" s="16" t="inlineStr">
        <is>
          <t>TC-MM-0605</t>
        </is>
      </c>
      <c r="B1648" s="16" t="inlineStr">
        <is>
          <t>Method x Body Matrix</t>
        </is>
      </c>
      <c r="C1648" s="16" t="inlineStr">
        <is>
          <t>OPTIONS + NTLM + form-data</t>
        </is>
      </c>
      <c r="D1648" s="16" t="inlineStr">
        <is>
          <t>Edge Case</t>
        </is>
      </c>
      <c r="E1648" s="16" t="inlineStr">
        <is>
          <t>OPTIONS with NTLM auth and form-data body</t>
        </is>
      </c>
      <c r="F1648" s="16" t="inlineStr">
        <is>
          <t>Editor open.</t>
        </is>
      </c>
      <c r="G1648" s="16" t="inlineStr">
        <is>
          <t>1. New request; method OPTIONS; URL to an echo endpoint.
2. Auth type NTLM; configure minimum credentials.
3. Body type form-data; provide minimum valid content.
4. Send and inspect outgoing wire request (DevTools/proxy).</t>
        </is>
      </c>
      <c r="H1648" s="16" t="inlineStr">
        <is>
          <t>method=OPTIONS auth=NTLM body=form-data</t>
        </is>
      </c>
      <c r="I1648" s="16" t="inlineStr">
        <is>
          <t>App allows configuring form-data body for OPTIONS; verifies wire behavior (sent or stripped) is consistent. Auth header sent regardless.</t>
        </is>
      </c>
      <c r="J1648" s="16" t="inlineStr"/>
      <c r="K1648" s="16" t="inlineStr">
        <is>
          <t>Not Run</t>
        </is>
      </c>
      <c r="L1648" s="16" t="inlineStr">
        <is>
          <t>Low</t>
        </is>
      </c>
      <c r="M1648" s="16" t="inlineStr"/>
      <c r="N1648" s="16" t="inlineStr"/>
      <c r="O1648" s="16" t="inlineStr"/>
    </row>
    <row r="1649" ht="72" customHeight="1">
      <c r="A1649" s="16" t="inlineStr">
        <is>
          <t>TC-MM-0606</t>
        </is>
      </c>
      <c r="B1649" s="16" t="inlineStr">
        <is>
          <t>Method x Body Matrix</t>
        </is>
      </c>
      <c r="C1649" s="16" t="inlineStr">
        <is>
          <t>OPTIONS + NTLM + x-www-form-urlencoded</t>
        </is>
      </c>
      <c r="D1649" s="16" t="inlineStr">
        <is>
          <t>Edge Case</t>
        </is>
      </c>
      <c r="E1649" s="16" t="inlineStr">
        <is>
          <t>OPTIONS with NTLM auth and x-www-form-urlencoded body</t>
        </is>
      </c>
      <c r="F1649" s="16" t="inlineStr">
        <is>
          <t>Editor open.</t>
        </is>
      </c>
      <c r="G1649" s="16" t="inlineStr">
        <is>
          <t>1. New request; method OPTIONS; URL to an echo endpoint.
2. Auth type NTLM; configure minimum credentials.
3. Body type x-www-form-urlencoded; provide minimum valid content.
4. Send and inspect outgoing wire request (DevTools/proxy).</t>
        </is>
      </c>
      <c r="H1649" s="16" t="inlineStr">
        <is>
          <t>method=OPTIONS auth=NTLM body=x-www-form-urlencoded</t>
        </is>
      </c>
      <c r="I1649" s="16" t="inlineStr">
        <is>
          <t>App allows configuring x-www-form-urlencoded body for OPTIONS; verifies wire behavior (sent or stripped) is consistent. Auth header sent regardless.</t>
        </is>
      </c>
      <c r="J1649" s="16" t="inlineStr"/>
      <c r="K1649" s="16" t="inlineStr">
        <is>
          <t>Not Run</t>
        </is>
      </c>
      <c r="L1649" s="16" t="inlineStr">
        <is>
          <t>Low</t>
        </is>
      </c>
      <c r="M1649" s="16" t="inlineStr"/>
      <c r="N1649" s="16" t="inlineStr"/>
      <c r="O1649" s="16" t="inlineStr"/>
    </row>
    <row r="1650" ht="72" customHeight="1">
      <c r="A1650" s="16" t="inlineStr">
        <is>
          <t>TC-MM-0607</t>
        </is>
      </c>
      <c r="B1650" s="16" t="inlineStr">
        <is>
          <t>Method x Body Matrix</t>
        </is>
      </c>
      <c r="C1650" s="16" t="inlineStr">
        <is>
          <t>OPTIONS + NTLM + raw-json</t>
        </is>
      </c>
      <c r="D1650" s="16" t="inlineStr">
        <is>
          <t>Edge Case</t>
        </is>
      </c>
      <c r="E1650" s="16" t="inlineStr">
        <is>
          <t>OPTIONS with NTLM auth and raw-json body</t>
        </is>
      </c>
      <c r="F1650" s="16" t="inlineStr">
        <is>
          <t>Editor open.</t>
        </is>
      </c>
      <c r="G1650" s="16" t="inlineStr">
        <is>
          <t>1. New request; method OPTIONS; URL to an echo endpoint.
2. Auth type NTLM; configure minimum credentials.
3. Body type raw-json; provide minimum valid content.
4. Send and inspect outgoing wire request (DevTools/proxy).</t>
        </is>
      </c>
      <c r="H1650" s="16" t="inlineStr">
        <is>
          <t>method=OPTIONS auth=NTLM body=raw-json</t>
        </is>
      </c>
      <c r="I1650" s="16" t="inlineStr">
        <is>
          <t>App allows configuring raw-json body for OPTIONS; verifies wire behavior (sent or stripped) is consistent. Auth header sent regardless.</t>
        </is>
      </c>
      <c r="J1650" s="16" t="inlineStr"/>
      <c r="K1650" s="16" t="inlineStr">
        <is>
          <t>Not Run</t>
        </is>
      </c>
      <c r="L1650" s="16" t="inlineStr">
        <is>
          <t>Low</t>
        </is>
      </c>
      <c r="M1650" s="16" t="inlineStr"/>
      <c r="N1650" s="16" t="inlineStr"/>
      <c r="O1650" s="16" t="inlineStr"/>
    </row>
    <row r="1651" ht="72" customHeight="1">
      <c r="A1651" s="16" t="inlineStr">
        <is>
          <t>TC-MM-0608</t>
        </is>
      </c>
      <c r="B1651" s="16" t="inlineStr">
        <is>
          <t>Method x Body Matrix</t>
        </is>
      </c>
      <c r="C1651" s="16" t="inlineStr">
        <is>
          <t>OPTIONS + NTLM + raw-xml</t>
        </is>
      </c>
      <c r="D1651" s="16" t="inlineStr">
        <is>
          <t>Edge Case</t>
        </is>
      </c>
      <c r="E1651" s="16" t="inlineStr">
        <is>
          <t>OPTIONS with NTLM auth and raw-xml body</t>
        </is>
      </c>
      <c r="F1651" s="16" t="inlineStr">
        <is>
          <t>Editor open.</t>
        </is>
      </c>
      <c r="G1651" s="16" t="inlineStr">
        <is>
          <t>1. New request; method OPTIONS; URL to an echo endpoint.
2. Auth type NTLM; configure minimum credentials.
3. Body type raw-xml; provide minimum valid content.
4. Send and inspect outgoing wire request (DevTools/proxy).</t>
        </is>
      </c>
      <c r="H1651" s="16" t="inlineStr">
        <is>
          <t>method=OPTIONS auth=NTLM body=raw-xml</t>
        </is>
      </c>
      <c r="I1651" s="16" t="inlineStr">
        <is>
          <t>App allows configuring raw-xml body for OPTIONS; verifies wire behavior (sent or stripped) is consistent. Auth header sent regardless.</t>
        </is>
      </c>
      <c r="J1651" s="16" t="inlineStr"/>
      <c r="K1651" s="16" t="inlineStr">
        <is>
          <t>Not Run</t>
        </is>
      </c>
      <c r="L1651" s="16" t="inlineStr">
        <is>
          <t>Low</t>
        </is>
      </c>
      <c r="M1651" s="16" t="inlineStr"/>
      <c r="N1651" s="16" t="inlineStr"/>
      <c r="O1651" s="16" t="inlineStr"/>
    </row>
    <row r="1652" ht="72" customHeight="1">
      <c r="A1652" s="16" t="inlineStr">
        <is>
          <t>TC-MM-0609</t>
        </is>
      </c>
      <c r="B1652" s="16" t="inlineStr">
        <is>
          <t>Method x Body Matrix</t>
        </is>
      </c>
      <c r="C1652" s="16" t="inlineStr">
        <is>
          <t>OPTIONS + NTLM + raw-text</t>
        </is>
      </c>
      <c r="D1652" s="16" t="inlineStr">
        <is>
          <t>Edge Case</t>
        </is>
      </c>
      <c r="E1652" s="16" t="inlineStr">
        <is>
          <t>OPTIONS with NTLM auth and raw-text body</t>
        </is>
      </c>
      <c r="F1652" s="16" t="inlineStr">
        <is>
          <t>Editor open.</t>
        </is>
      </c>
      <c r="G1652" s="16" t="inlineStr">
        <is>
          <t>1. New request; method OPTIONS; URL to an echo endpoint.
2. Auth type NTLM; configure minimum credentials.
3. Body type raw-text; provide minimum valid content.
4. Send and inspect outgoing wire request (DevTools/proxy).</t>
        </is>
      </c>
      <c r="H1652" s="16" t="inlineStr">
        <is>
          <t>method=OPTIONS auth=NTLM body=raw-text</t>
        </is>
      </c>
      <c r="I1652" s="16" t="inlineStr">
        <is>
          <t>App allows configuring raw-text body for OPTIONS; verifies wire behavior (sent or stripped) is consistent. Auth header sent regardless.</t>
        </is>
      </c>
      <c r="J1652" s="16" t="inlineStr"/>
      <c r="K1652" s="16" t="inlineStr">
        <is>
          <t>Not Run</t>
        </is>
      </c>
      <c r="L1652" s="16" t="inlineStr">
        <is>
          <t>Low</t>
        </is>
      </c>
      <c r="M1652" s="16" t="inlineStr"/>
      <c r="N1652" s="16" t="inlineStr"/>
      <c r="O1652" s="16" t="inlineStr"/>
    </row>
    <row r="1653" ht="72" customHeight="1">
      <c r="A1653" s="16" t="inlineStr">
        <is>
          <t>TC-MM-0610</t>
        </is>
      </c>
      <c r="B1653" s="16" t="inlineStr">
        <is>
          <t>Method x Body Matrix</t>
        </is>
      </c>
      <c r="C1653" s="16" t="inlineStr">
        <is>
          <t>OPTIONS + NTLM + binary</t>
        </is>
      </c>
      <c r="D1653" s="16" t="inlineStr">
        <is>
          <t>Edge Case</t>
        </is>
      </c>
      <c r="E1653" s="16" t="inlineStr">
        <is>
          <t>OPTIONS with NTLM auth and binary body</t>
        </is>
      </c>
      <c r="F1653" s="16" t="inlineStr">
        <is>
          <t>Editor open.</t>
        </is>
      </c>
      <c r="G1653" s="16" t="inlineStr">
        <is>
          <t>1. New request; method OPTIONS; URL to an echo endpoint.
2. Auth type NTLM; configure minimum credentials.
3. Body type binary; provide minimum valid content.
4. Send and inspect outgoing wire request (DevTools/proxy).</t>
        </is>
      </c>
      <c r="H1653" s="16" t="inlineStr">
        <is>
          <t>method=OPTIONS auth=NTLM body=binary</t>
        </is>
      </c>
      <c r="I1653" s="16" t="inlineStr">
        <is>
          <t>App allows configuring binary body for OPTIONS; verifies wire behavior (sent or stripped) is consistent. Auth header sent regardless.</t>
        </is>
      </c>
      <c r="J1653" s="16" t="inlineStr"/>
      <c r="K1653" s="16" t="inlineStr">
        <is>
          <t>Not Run</t>
        </is>
      </c>
      <c r="L1653" s="16" t="inlineStr">
        <is>
          <t>Low</t>
        </is>
      </c>
      <c r="M1653" s="16" t="inlineStr"/>
      <c r="N1653" s="16" t="inlineStr"/>
      <c r="O1653" s="16" t="inlineStr"/>
    </row>
    <row r="1654" ht="72" customHeight="1">
      <c r="A1654" s="16" t="inlineStr">
        <is>
          <t>TC-RP-0019</t>
        </is>
      </c>
      <c r="B1654" s="16" t="inlineStr">
        <is>
          <t>Response Panel</t>
        </is>
      </c>
      <c r="C1654" s="16" t="inlineStr">
        <is>
          <t>Status Matrix</t>
        </is>
      </c>
      <c r="D1654" s="16" t="inlineStr">
        <is>
          <t>Functional</t>
        </is>
      </c>
      <c r="E1654" s="16" t="inlineStr">
        <is>
          <t>Response 200 (OK) for GET</t>
        </is>
      </c>
      <c r="F1654" s="16" t="inlineStr">
        <is>
          <t>Editor open; endpoint configured.</t>
        </is>
      </c>
      <c r="G1654" s="16" t="inlineStr">
        <is>
          <t>1. GET to endpoint that returns 200.
2. Inspect response panel.</t>
        </is>
      </c>
      <c r="H1654" s="16" t="inlineStr">
        <is>
          <t>status=200 method=GET</t>
        </is>
      </c>
      <c r="I1654" s="16" t="inlineStr">
        <is>
          <t>Response panel shows status 200 with appropriate badge color (2xx green, 3xx blue, 4xx orange, 5xx red); body and headers rendered. History entry records correctly.</t>
        </is>
      </c>
      <c r="J1654" s="16" t="inlineStr"/>
      <c r="K1654" s="16" t="inlineStr">
        <is>
          <t>Not Run</t>
        </is>
      </c>
      <c r="L1654" s="16" t="inlineStr">
        <is>
          <t>Medium</t>
        </is>
      </c>
      <c r="M1654" s="16" t="inlineStr"/>
      <c r="N1654" s="16" t="inlineStr"/>
      <c r="O1654" s="16" t="inlineStr"/>
    </row>
    <row r="1655" ht="72" customHeight="1">
      <c r="A1655" s="16" t="inlineStr">
        <is>
          <t>TC-RP-0020</t>
        </is>
      </c>
      <c r="B1655" s="16" t="inlineStr">
        <is>
          <t>Response Panel</t>
        </is>
      </c>
      <c r="C1655" s="16" t="inlineStr">
        <is>
          <t>Status Matrix</t>
        </is>
      </c>
      <c r="D1655" s="16" t="inlineStr">
        <is>
          <t>Functional</t>
        </is>
      </c>
      <c r="E1655" s="16" t="inlineStr">
        <is>
          <t>Response 200 (OK) for POST</t>
        </is>
      </c>
      <c r="F1655" s="16" t="inlineStr">
        <is>
          <t>Editor open; endpoint configured.</t>
        </is>
      </c>
      <c r="G1655" s="16" t="inlineStr">
        <is>
          <t>1. POST to endpoint that returns 200.
2. Inspect response panel.</t>
        </is>
      </c>
      <c r="H1655" s="16" t="inlineStr">
        <is>
          <t>status=200 method=POST</t>
        </is>
      </c>
      <c r="I1655" s="16" t="inlineStr">
        <is>
          <t>Response panel shows status 200 with appropriate badge color (2xx green, 3xx blue, 4xx orange, 5xx red); body and headers rendered. History entry records correctly.</t>
        </is>
      </c>
      <c r="J1655" s="16" t="inlineStr"/>
      <c r="K1655" s="16" t="inlineStr">
        <is>
          <t>Not Run</t>
        </is>
      </c>
      <c r="L1655" s="16" t="inlineStr">
        <is>
          <t>Medium</t>
        </is>
      </c>
      <c r="M1655" s="16" t="inlineStr"/>
      <c r="N1655" s="16" t="inlineStr"/>
      <c r="O1655" s="16" t="inlineStr"/>
    </row>
    <row r="1656" ht="72" customHeight="1">
      <c r="A1656" s="16" t="inlineStr">
        <is>
          <t>TC-RP-0021</t>
        </is>
      </c>
      <c r="B1656" s="16" t="inlineStr">
        <is>
          <t>Response Panel</t>
        </is>
      </c>
      <c r="C1656" s="16" t="inlineStr">
        <is>
          <t>Status Matrix</t>
        </is>
      </c>
      <c r="D1656" s="16" t="inlineStr">
        <is>
          <t>Functional</t>
        </is>
      </c>
      <c r="E1656" s="16" t="inlineStr">
        <is>
          <t>Response 200 (OK) for PUT</t>
        </is>
      </c>
      <c r="F1656" s="16" t="inlineStr">
        <is>
          <t>Editor open; endpoint configured.</t>
        </is>
      </c>
      <c r="G1656" s="16" t="inlineStr">
        <is>
          <t>1. PUT to endpoint that returns 200.
2. Inspect response panel.</t>
        </is>
      </c>
      <c r="H1656" s="16" t="inlineStr">
        <is>
          <t>status=200 method=PUT</t>
        </is>
      </c>
      <c r="I1656" s="16" t="inlineStr">
        <is>
          <t>Response panel shows status 200 with appropriate badge color (2xx green, 3xx blue, 4xx orange, 5xx red); body and headers rendered. History entry records correctly.</t>
        </is>
      </c>
      <c r="J1656" s="16" t="inlineStr"/>
      <c r="K1656" s="16" t="inlineStr">
        <is>
          <t>Not Run</t>
        </is>
      </c>
      <c r="L1656" s="16" t="inlineStr">
        <is>
          <t>Medium</t>
        </is>
      </c>
      <c r="M1656" s="16" t="inlineStr"/>
      <c r="N1656" s="16" t="inlineStr"/>
      <c r="O1656" s="16" t="inlineStr"/>
    </row>
    <row r="1657" ht="72" customHeight="1">
      <c r="A1657" s="16" t="inlineStr">
        <is>
          <t>TC-RP-0022</t>
        </is>
      </c>
      <c r="B1657" s="16" t="inlineStr">
        <is>
          <t>Response Panel</t>
        </is>
      </c>
      <c r="C1657" s="16" t="inlineStr">
        <is>
          <t>Status Matrix</t>
        </is>
      </c>
      <c r="D1657" s="16" t="inlineStr">
        <is>
          <t>Functional</t>
        </is>
      </c>
      <c r="E1657" s="16" t="inlineStr">
        <is>
          <t>Response 200 (OK) for DELETE</t>
        </is>
      </c>
      <c r="F1657" s="16" t="inlineStr">
        <is>
          <t>Editor open; endpoint configured.</t>
        </is>
      </c>
      <c r="G1657" s="16" t="inlineStr">
        <is>
          <t>1. DELETE to endpoint that returns 200.
2. Inspect response panel.</t>
        </is>
      </c>
      <c r="H1657" s="16" t="inlineStr">
        <is>
          <t>status=200 method=DELETE</t>
        </is>
      </c>
      <c r="I1657" s="16" t="inlineStr">
        <is>
          <t>Response panel shows status 200 with appropriate badge color (2xx green, 3xx blue, 4xx orange, 5xx red); body and headers rendered. History entry records correctly.</t>
        </is>
      </c>
      <c r="J1657" s="16" t="inlineStr"/>
      <c r="K1657" s="16" t="inlineStr">
        <is>
          <t>Not Run</t>
        </is>
      </c>
      <c r="L1657" s="16" t="inlineStr">
        <is>
          <t>Medium</t>
        </is>
      </c>
      <c r="M1657" s="16" t="inlineStr"/>
      <c r="N1657" s="16" t="inlineStr"/>
      <c r="O1657" s="16" t="inlineStr"/>
    </row>
    <row r="1658" ht="72" customHeight="1">
      <c r="A1658" s="16" t="inlineStr">
        <is>
          <t>TC-RP-0023</t>
        </is>
      </c>
      <c r="B1658" s="16" t="inlineStr">
        <is>
          <t>Response Panel</t>
        </is>
      </c>
      <c r="C1658" s="16" t="inlineStr">
        <is>
          <t>Status Matrix</t>
        </is>
      </c>
      <c r="D1658" s="16" t="inlineStr">
        <is>
          <t>Functional</t>
        </is>
      </c>
      <c r="E1658" s="16" t="inlineStr">
        <is>
          <t>Response 201 (Created) for GET</t>
        </is>
      </c>
      <c r="F1658" s="16" t="inlineStr">
        <is>
          <t>Editor open; endpoint configured.</t>
        </is>
      </c>
      <c r="G1658" s="16" t="inlineStr">
        <is>
          <t>1. GET to endpoint that returns 201.
2. Inspect response panel.</t>
        </is>
      </c>
      <c r="H1658" s="16" t="inlineStr">
        <is>
          <t>status=201 method=GET</t>
        </is>
      </c>
      <c r="I1658" s="16" t="inlineStr">
        <is>
          <t>Response panel shows status 201 with appropriate badge color (2xx green, 3xx blue, 4xx orange, 5xx red); body and headers rendered. History entry records correctly.</t>
        </is>
      </c>
      <c r="J1658" s="16" t="inlineStr"/>
      <c r="K1658" s="16" t="inlineStr">
        <is>
          <t>Not Run</t>
        </is>
      </c>
      <c r="L1658" s="16" t="inlineStr">
        <is>
          <t>Medium</t>
        </is>
      </c>
      <c r="M1658" s="16" t="inlineStr"/>
      <c r="N1658" s="16" t="inlineStr"/>
      <c r="O1658" s="16" t="inlineStr"/>
    </row>
    <row r="1659" ht="72" customHeight="1">
      <c r="A1659" s="16" t="inlineStr">
        <is>
          <t>TC-RP-0024</t>
        </is>
      </c>
      <c r="B1659" s="16" t="inlineStr">
        <is>
          <t>Response Panel</t>
        </is>
      </c>
      <c r="C1659" s="16" t="inlineStr">
        <is>
          <t>Status Matrix</t>
        </is>
      </c>
      <c r="D1659" s="16" t="inlineStr">
        <is>
          <t>Functional</t>
        </is>
      </c>
      <c r="E1659" s="16" t="inlineStr">
        <is>
          <t>Response 201 (Created) for POST</t>
        </is>
      </c>
      <c r="F1659" s="16" t="inlineStr">
        <is>
          <t>Editor open; endpoint configured.</t>
        </is>
      </c>
      <c r="G1659" s="16" t="inlineStr">
        <is>
          <t>1. POST to endpoint that returns 201.
2. Inspect response panel.</t>
        </is>
      </c>
      <c r="H1659" s="16" t="inlineStr">
        <is>
          <t>status=201 method=POST</t>
        </is>
      </c>
      <c r="I1659" s="16" t="inlineStr">
        <is>
          <t>Response panel shows status 201 with appropriate badge color (2xx green, 3xx blue, 4xx orange, 5xx red); body and headers rendered. History entry records correctly.</t>
        </is>
      </c>
      <c r="J1659" s="16" t="inlineStr"/>
      <c r="K1659" s="16" t="inlineStr">
        <is>
          <t>Not Run</t>
        </is>
      </c>
      <c r="L1659" s="16" t="inlineStr">
        <is>
          <t>Medium</t>
        </is>
      </c>
      <c r="M1659" s="16" t="inlineStr"/>
      <c r="N1659" s="16" t="inlineStr"/>
      <c r="O1659" s="16" t="inlineStr"/>
    </row>
    <row r="1660" ht="72" customHeight="1">
      <c r="A1660" s="16" t="inlineStr">
        <is>
          <t>TC-RP-0025</t>
        </is>
      </c>
      <c r="B1660" s="16" t="inlineStr">
        <is>
          <t>Response Panel</t>
        </is>
      </c>
      <c r="C1660" s="16" t="inlineStr">
        <is>
          <t>Status Matrix</t>
        </is>
      </c>
      <c r="D1660" s="16" t="inlineStr">
        <is>
          <t>Functional</t>
        </is>
      </c>
      <c r="E1660" s="16" t="inlineStr">
        <is>
          <t>Response 201 (Created) for PUT</t>
        </is>
      </c>
      <c r="F1660" s="16" t="inlineStr">
        <is>
          <t>Editor open; endpoint configured.</t>
        </is>
      </c>
      <c r="G1660" s="16" t="inlineStr">
        <is>
          <t>1. PUT to endpoint that returns 201.
2. Inspect response panel.</t>
        </is>
      </c>
      <c r="H1660" s="16" t="inlineStr">
        <is>
          <t>status=201 method=PUT</t>
        </is>
      </c>
      <c r="I1660" s="16" t="inlineStr">
        <is>
          <t>Response panel shows status 201 with appropriate badge color (2xx green, 3xx blue, 4xx orange, 5xx red); body and headers rendered. History entry records correctly.</t>
        </is>
      </c>
      <c r="J1660" s="16" t="inlineStr"/>
      <c r="K1660" s="16" t="inlineStr">
        <is>
          <t>Not Run</t>
        </is>
      </c>
      <c r="L1660" s="16" t="inlineStr">
        <is>
          <t>Medium</t>
        </is>
      </c>
      <c r="M1660" s="16" t="inlineStr"/>
      <c r="N1660" s="16" t="inlineStr"/>
      <c r="O1660" s="16" t="inlineStr"/>
    </row>
    <row r="1661" ht="72" customHeight="1">
      <c r="A1661" s="16" t="inlineStr">
        <is>
          <t>TC-RP-0026</t>
        </is>
      </c>
      <c r="B1661" s="16" t="inlineStr">
        <is>
          <t>Response Panel</t>
        </is>
      </c>
      <c r="C1661" s="16" t="inlineStr">
        <is>
          <t>Status Matrix</t>
        </is>
      </c>
      <c r="D1661" s="16" t="inlineStr">
        <is>
          <t>Functional</t>
        </is>
      </c>
      <c r="E1661" s="16" t="inlineStr">
        <is>
          <t>Response 201 (Created) for DELETE</t>
        </is>
      </c>
      <c r="F1661" s="16" t="inlineStr">
        <is>
          <t>Editor open; endpoint configured.</t>
        </is>
      </c>
      <c r="G1661" s="16" t="inlineStr">
        <is>
          <t>1. DELETE to endpoint that returns 201.
2. Inspect response panel.</t>
        </is>
      </c>
      <c r="H1661" s="16" t="inlineStr">
        <is>
          <t>status=201 method=DELETE</t>
        </is>
      </c>
      <c r="I1661" s="16" t="inlineStr">
        <is>
          <t>Response panel shows status 201 with appropriate badge color (2xx green, 3xx blue, 4xx orange, 5xx red); body and headers rendered. History entry records correctly.</t>
        </is>
      </c>
      <c r="J1661" s="16" t="inlineStr"/>
      <c r="K1661" s="16" t="inlineStr">
        <is>
          <t>Not Run</t>
        </is>
      </c>
      <c r="L1661" s="16" t="inlineStr">
        <is>
          <t>Medium</t>
        </is>
      </c>
      <c r="M1661" s="16" t="inlineStr"/>
      <c r="N1661" s="16" t="inlineStr"/>
      <c r="O1661" s="16" t="inlineStr"/>
    </row>
    <row r="1662" ht="72" customHeight="1">
      <c r="A1662" s="16" t="inlineStr">
        <is>
          <t>TC-RP-0027</t>
        </is>
      </c>
      <c r="B1662" s="16" t="inlineStr">
        <is>
          <t>Response Panel</t>
        </is>
      </c>
      <c r="C1662" s="16" t="inlineStr">
        <is>
          <t>Status Matrix</t>
        </is>
      </c>
      <c r="D1662" s="16" t="inlineStr">
        <is>
          <t>Functional</t>
        </is>
      </c>
      <c r="E1662" s="16" t="inlineStr">
        <is>
          <t>Response 202 (Accepted) for GET</t>
        </is>
      </c>
      <c r="F1662" s="16" t="inlineStr">
        <is>
          <t>Editor open; endpoint configured.</t>
        </is>
      </c>
      <c r="G1662" s="16" t="inlineStr">
        <is>
          <t>1. GET to endpoint that returns 202.
2. Inspect response panel.</t>
        </is>
      </c>
      <c r="H1662" s="16" t="inlineStr">
        <is>
          <t>status=202 method=GET</t>
        </is>
      </c>
      <c r="I1662" s="16" t="inlineStr">
        <is>
          <t>Response panel shows status 202 with appropriate badge color (2xx green, 3xx blue, 4xx orange, 5xx red); body and headers rendered. History entry records correctly.</t>
        </is>
      </c>
      <c r="J1662" s="16" t="inlineStr"/>
      <c r="K1662" s="16" t="inlineStr">
        <is>
          <t>Not Run</t>
        </is>
      </c>
      <c r="L1662" s="16" t="inlineStr">
        <is>
          <t>Low</t>
        </is>
      </c>
      <c r="M1662" s="16" t="inlineStr"/>
      <c r="N1662" s="16" t="inlineStr"/>
      <c r="O1662" s="16" t="inlineStr"/>
    </row>
    <row r="1663" ht="72" customHeight="1">
      <c r="A1663" s="16" t="inlineStr">
        <is>
          <t>TC-RP-0028</t>
        </is>
      </c>
      <c r="B1663" s="16" t="inlineStr">
        <is>
          <t>Response Panel</t>
        </is>
      </c>
      <c r="C1663" s="16" t="inlineStr">
        <is>
          <t>Status Matrix</t>
        </is>
      </c>
      <c r="D1663" s="16" t="inlineStr">
        <is>
          <t>Functional</t>
        </is>
      </c>
      <c r="E1663" s="16" t="inlineStr">
        <is>
          <t>Response 202 (Accepted) for POST</t>
        </is>
      </c>
      <c r="F1663" s="16" t="inlineStr">
        <is>
          <t>Editor open; endpoint configured.</t>
        </is>
      </c>
      <c r="G1663" s="16" t="inlineStr">
        <is>
          <t>1. POST to endpoint that returns 202.
2. Inspect response panel.</t>
        </is>
      </c>
      <c r="H1663" s="16" t="inlineStr">
        <is>
          <t>status=202 method=POST</t>
        </is>
      </c>
      <c r="I1663" s="16" t="inlineStr">
        <is>
          <t>Response panel shows status 202 with appropriate badge color (2xx green, 3xx blue, 4xx orange, 5xx red); body and headers rendered. History entry records correctly.</t>
        </is>
      </c>
      <c r="J1663" s="16" t="inlineStr"/>
      <c r="K1663" s="16" t="inlineStr">
        <is>
          <t>Not Run</t>
        </is>
      </c>
      <c r="L1663" s="16" t="inlineStr">
        <is>
          <t>Low</t>
        </is>
      </c>
      <c r="M1663" s="16" t="inlineStr"/>
      <c r="N1663" s="16" t="inlineStr"/>
      <c r="O1663" s="16" t="inlineStr"/>
    </row>
    <row r="1664" ht="72" customHeight="1">
      <c r="A1664" s="16" t="inlineStr">
        <is>
          <t>TC-RP-0029</t>
        </is>
      </c>
      <c r="B1664" s="16" t="inlineStr">
        <is>
          <t>Response Panel</t>
        </is>
      </c>
      <c r="C1664" s="16" t="inlineStr">
        <is>
          <t>Status Matrix</t>
        </is>
      </c>
      <c r="D1664" s="16" t="inlineStr">
        <is>
          <t>Functional</t>
        </is>
      </c>
      <c r="E1664" s="16" t="inlineStr">
        <is>
          <t>Response 202 (Accepted) for PUT</t>
        </is>
      </c>
      <c r="F1664" s="16" t="inlineStr">
        <is>
          <t>Editor open; endpoint configured.</t>
        </is>
      </c>
      <c r="G1664" s="16" t="inlineStr">
        <is>
          <t>1. PUT to endpoint that returns 202.
2. Inspect response panel.</t>
        </is>
      </c>
      <c r="H1664" s="16" t="inlineStr">
        <is>
          <t>status=202 method=PUT</t>
        </is>
      </c>
      <c r="I1664" s="16" t="inlineStr">
        <is>
          <t>Response panel shows status 202 with appropriate badge color (2xx green, 3xx blue, 4xx orange, 5xx red); body and headers rendered. History entry records correctly.</t>
        </is>
      </c>
      <c r="J1664" s="16" t="inlineStr"/>
      <c r="K1664" s="16" t="inlineStr">
        <is>
          <t>Not Run</t>
        </is>
      </c>
      <c r="L1664" s="16" t="inlineStr">
        <is>
          <t>Low</t>
        </is>
      </c>
      <c r="M1664" s="16" t="inlineStr"/>
      <c r="N1664" s="16" t="inlineStr"/>
      <c r="O1664" s="16" t="inlineStr"/>
    </row>
    <row r="1665" ht="72" customHeight="1">
      <c r="A1665" s="16" t="inlineStr">
        <is>
          <t>TC-RP-0030</t>
        </is>
      </c>
      <c r="B1665" s="16" t="inlineStr">
        <is>
          <t>Response Panel</t>
        </is>
      </c>
      <c r="C1665" s="16" t="inlineStr">
        <is>
          <t>Status Matrix</t>
        </is>
      </c>
      <c r="D1665" s="16" t="inlineStr">
        <is>
          <t>Functional</t>
        </is>
      </c>
      <c r="E1665" s="16" t="inlineStr">
        <is>
          <t>Response 202 (Accepted) for DELETE</t>
        </is>
      </c>
      <c r="F1665" s="16" t="inlineStr">
        <is>
          <t>Editor open; endpoint configured.</t>
        </is>
      </c>
      <c r="G1665" s="16" t="inlineStr">
        <is>
          <t>1. DELETE to endpoint that returns 202.
2. Inspect response panel.</t>
        </is>
      </c>
      <c r="H1665" s="16" t="inlineStr">
        <is>
          <t>status=202 method=DELETE</t>
        </is>
      </c>
      <c r="I1665" s="16" t="inlineStr">
        <is>
          <t>Response panel shows status 202 with appropriate badge color (2xx green, 3xx blue, 4xx orange, 5xx red); body and headers rendered. History entry records correctly.</t>
        </is>
      </c>
      <c r="J1665" s="16" t="inlineStr"/>
      <c r="K1665" s="16" t="inlineStr">
        <is>
          <t>Not Run</t>
        </is>
      </c>
      <c r="L1665" s="16" t="inlineStr">
        <is>
          <t>Low</t>
        </is>
      </c>
      <c r="M1665" s="16" t="inlineStr"/>
      <c r="N1665" s="16" t="inlineStr"/>
      <c r="O1665" s="16" t="inlineStr"/>
    </row>
    <row r="1666" ht="72" customHeight="1">
      <c r="A1666" s="16" t="inlineStr">
        <is>
          <t>TC-RP-0031</t>
        </is>
      </c>
      <c r="B1666" s="16" t="inlineStr">
        <is>
          <t>Response Panel</t>
        </is>
      </c>
      <c r="C1666" s="16" t="inlineStr">
        <is>
          <t>Status Matrix</t>
        </is>
      </c>
      <c r="D1666" s="16" t="inlineStr">
        <is>
          <t>Functional</t>
        </is>
      </c>
      <c r="E1666" s="16" t="inlineStr">
        <is>
          <t>Response 204 (No Content) for GET</t>
        </is>
      </c>
      <c r="F1666" s="16" t="inlineStr">
        <is>
          <t>Editor open; endpoint configured.</t>
        </is>
      </c>
      <c r="G1666" s="16" t="inlineStr">
        <is>
          <t>1. GET to endpoint that returns 204.
2. Inspect response panel.</t>
        </is>
      </c>
      <c r="H1666" s="16" t="inlineStr">
        <is>
          <t>status=204 method=GET</t>
        </is>
      </c>
      <c r="I1666" s="16" t="inlineStr">
        <is>
          <t>Response panel shows status 204 with appropriate badge color (2xx green, 3xx blue, 4xx orange, 5xx red); body and headers rendered. History entry records correctly.</t>
        </is>
      </c>
      <c r="J1666" s="16" t="inlineStr"/>
      <c r="K1666" s="16" t="inlineStr">
        <is>
          <t>Not Run</t>
        </is>
      </c>
      <c r="L1666" s="16" t="inlineStr">
        <is>
          <t>Medium</t>
        </is>
      </c>
      <c r="M1666" s="16" t="inlineStr"/>
      <c r="N1666" s="16" t="inlineStr"/>
      <c r="O1666" s="16" t="inlineStr"/>
    </row>
    <row r="1667" ht="72" customHeight="1">
      <c r="A1667" s="16" t="inlineStr">
        <is>
          <t>TC-RP-0032</t>
        </is>
      </c>
      <c r="B1667" s="16" t="inlineStr">
        <is>
          <t>Response Panel</t>
        </is>
      </c>
      <c r="C1667" s="16" t="inlineStr">
        <is>
          <t>Status Matrix</t>
        </is>
      </c>
      <c r="D1667" s="16" t="inlineStr">
        <is>
          <t>Functional</t>
        </is>
      </c>
      <c r="E1667" s="16" t="inlineStr">
        <is>
          <t>Response 204 (No Content) for POST</t>
        </is>
      </c>
      <c r="F1667" s="16" t="inlineStr">
        <is>
          <t>Editor open; endpoint configured.</t>
        </is>
      </c>
      <c r="G1667" s="16" t="inlineStr">
        <is>
          <t>1. POST to endpoint that returns 204.
2. Inspect response panel.</t>
        </is>
      </c>
      <c r="H1667" s="16" t="inlineStr">
        <is>
          <t>status=204 method=POST</t>
        </is>
      </c>
      <c r="I1667" s="16" t="inlineStr">
        <is>
          <t>Response panel shows status 204 with appropriate badge color (2xx green, 3xx blue, 4xx orange, 5xx red); body and headers rendered. History entry records correctly.</t>
        </is>
      </c>
      <c r="J1667" s="16" t="inlineStr"/>
      <c r="K1667" s="16" t="inlineStr">
        <is>
          <t>Not Run</t>
        </is>
      </c>
      <c r="L1667" s="16" t="inlineStr">
        <is>
          <t>Medium</t>
        </is>
      </c>
      <c r="M1667" s="16" t="inlineStr"/>
      <c r="N1667" s="16" t="inlineStr"/>
      <c r="O1667" s="16" t="inlineStr"/>
    </row>
    <row r="1668" ht="72" customHeight="1">
      <c r="A1668" s="16" t="inlineStr">
        <is>
          <t>TC-RP-0033</t>
        </is>
      </c>
      <c r="B1668" s="16" t="inlineStr">
        <is>
          <t>Response Panel</t>
        </is>
      </c>
      <c r="C1668" s="16" t="inlineStr">
        <is>
          <t>Status Matrix</t>
        </is>
      </c>
      <c r="D1668" s="16" t="inlineStr">
        <is>
          <t>Functional</t>
        </is>
      </c>
      <c r="E1668" s="16" t="inlineStr">
        <is>
          <t>Response 204 (No Content) for PUT</t>
        </is>
      </c>
      <c r="F1668" s="16" t="inlineStr">
        <is>
          <t>Editor open; endpoint configured.</t>
        </is>
      </c>
      <c r="G1668" s="16" t="inlineStr">
        <is>
          <t>1. PUT to endpoint that returns 204.
2. Inspect response panel.</t>
        </is>
      </c>
      <c r="H1668" s="16" t="inlineStr">
        <is>
          <t>status=204 method=PUT</t>
        </is>
      </c>
      <c r="I1668" s="16" t="inlineStr">
        <is>
          <t>Response panel shows status 204 with appropriate badge color (2xx green, 3xx blue, 4xx orange, 5xx red); body and headers rendered. History entry records correctly.</t>
        </is>
      </c>
      <c r="J1668" s="16" t="inlineStr"/>
      <c r="K1668" s="16" t="inlineStr">
        <is>
          <t>Not Run</t>
        </is>
      </c>
      <c r="L1668" s="16" t="inlineStr">
        <is>
          <t>Medium</t>
        </is>
      </c>
      <c r="M1668" s="16" t="inlineStr"/>
      <c r="N1668" s="16" t="inlineStr"/>
      <c r="O1668" s="16" t="inlineStr"/>
    </row>
    <row r="1669" ht="72" customHeight="1">
      <c r="A1669" s="16" t="inlineStr">
        <is>
          <t>TC-RP-0034</t>
        </is>
      </c>
      <c r="B1669" s="16" t="inlineStr">
        <is>
          <t>Response Panel</t>
        </is>
      </c>
      <c r="C1669" s="16" t="inlineStr">
        <is>
          <t>Status Matrix</t>
        </is>
      </c>
      <c r="D1669" s="16" t="inlineStr">
        <is>
          <t>Functional</t>
        </is>
      </c>
      <c r="E1669" s="16" t="inlineStr">
        <is>
          <t>Response 204 (No Content) for DELETE</t>
        </is>
      </c>
      <c r="F1669" s="16" t="inlineStr">
        <is>
          <t>Editor open; endpoint configured.</t>
        </is>
      </c>
      <c r="G1669" s="16" t="inlineStr">
        <is>
          <t>1. DELETE to endpoint that returns 204.
2. Inspect response panel.</t>
        </is>
      </c>
      <c r="H1669" s="16" t="inlineStr">
        <is>
          <t>status=204 method=DELETE</t>
        </is>
      </c>
      <c r="I1669" s="16" t="inlineStr">
        <is>
          <t>Response panel shows status 204 with appropriate badge color (2xx green, 3xx blue, 4xx orange, 5xx red); body and headers rendered. History entry records correctly.</t>
        </is>
      </c>
      <c r="J1669" s="16" t="inlineStr"/>
      <c r="K1669" s="16" t="inlineStr">
        <is>
          <t>Not Run</t>
        </is>
      </c>
      <c r="L1669" s="16" t="inlineStr">
        <is>
          <t>Medium</t>
        </is>
      </c>
      <c r="M1669" s="16" t="inlineStr"/>
      <c r="N1669" s="16" t="inlineStr"/>
      <c r="O1669" s="16" t="inlineStr"/>
    </row>
    <row r="1670" ht="72" customHeight="1">
      <c r="A1670" s="16" t="inlineStr">
        <is>
          <t>TC-RP-0035</t>
        </is>
      </c>
      <c r="B1670" s="16" t="inlineStr">
        <is>
          <t>Response Panel</t>
        </is>
      </c>
      <c r="C1670" s="16" t="inlineStr">
        <is>
          <t>Status Matrix</t>
        </is>
      </c>
      <c r="D1670" s="16" t="inlineStr">
        <is>
          <t>Functional</t>
        </is>
      </c>
      <c r="E1670" s="16" t="inlineStr">
        <is>
          <t>Response 301 (Moved Permanently) for GET</t>
        </is>
      </c>
      <c r="F1670" s="16" t="inlineStr">
        <is>
          <t>Editor open; endpoint configured.</t>
        </is>
      </c>
      <c r="G1670" s="16" t="inlineStr">
        <is>
          <t>1. GET to endpoint that returns 301.
2. Inspect response panel.</t>
        </is>
      </c>
      <c r="H1670" s="16" t="inlineStr">
        <is>
          <t>status=301 method=GET</t>
        </is>
      </c>
      <c r="I1670" s="16" t="inlineStr">
        <is>
          <t>Response panel shows status 301 with appropriate badge color (2xx green, 3xx blue, 4xx orange, 5xx red); body and headers rendered. History entry records correctly.</t>
        </is>
      </c>
      <c r="J1670" s="16" t="inlineStr"/>
      <c r="K1670" s="16" t="inlineStr">
        <is>
          <t>Not Run</t>
        </is>
      </c>
      <c r="L1670" s="16" t="inlineStr">
        <is>
          <t>Low</t>
        </is>
      </c>
      <c r="M1670" s="16" t="inlineStr"/>
      <c r="N1670" s="16" t="inlineStr"/>
      <c r="O1670" s="16" t="inlineStr"/>
    </row>
    <row r="1671" ht="72" customHeight="1">
      <c r="A1671" s="16" t="inlineStr">
        <is>
          <t>TC-RP-0036</t>
        </is>
      </c>
      <c r="B1671" s="16" t="inlineStr">
        <is>
          <t>Response Panel</t>
        </is>
      </c>
      <c r="C1671" s="16" t="inlineStr">
        <is>
          <t>Status Matrix</t>
        </is>
      </c>
      <c r="D1671" s="16" t="inlineStr">
        <is>
          <t>Functional</t>
        </is>
      </c>
      <c r="E1671" s="16" t="inlineStr">
        <is>
          <t>Response 301 (Moved Permanently) for POST</t>
        </is>
      </c>
      <c r="F1671" s="16" t="inlineStr">
        <is>
          <t>Editor open; endpoint configured.</t>
        </is>
      </c>
      <c r="G1671" s="16" t="inlineStr">
        <is>
          <t>1. POST to endpoint that returns 301.
2. Inspect response panel.</t>
        </is>
      </c>
      <c r="H1671" s="16" t="inlineStr">
        <is>
          <t>status=301 method=POST</t>
        </is>
      </c>
      <c r="I1671" s="16" t="inlineStr">
        <is>
          <t>Response panel shows status 301 with appropriate badge color (2xx green, 3xx blue, 4xx orange, 5xx red); body and headers rendered. History entry records correctly.</t>
        </is>
      </c>
      <c r="J1671" s="16" t="inlineStr"/>
      <c r="K1671" s="16" t="inlineStr">
        <is>
          <t>Not Run</t>
        </is>
      </c>
      <c r="L1671" s="16" t="inlineStr">
        <is>
          <t>Low</t>
        </is>
      </c>
      <c r="M1671" s="16" t="inlineStr"/>
      <c r="N1671" s="16" t="inlineStr"/>
      <c r="O1671" s="16" t="inlineStr"/>
    </row>
    <row r="1672" ht="72" customHeight="1">
      <c r="A1672" s="16" t="inlineStr">
        <is>
          <t>TC-RP-0037</t>
        </is>
      </c>
      <c r="B1672" s="16" t="inlineStr">
        <is>
          <t>Response Panel</t>
        </is>
      </c>
      <c r="C1672" s="16" t="inlineStr">
        <is>
          <t>Status Matrix</t>
        </is>
      </c>
      <c r="D1672" s="16" t="inlineStr">
        <is>
          <t>Functional</t>
        </is>
      </c>
      <c r="E1672" s="16" t="inlineStr">
        <is>
          <t>Response 301 (Moved Permanently) for PUT</t>
        </is>
      </c>
      <c r="F1672" s="16" t="inlineStr">
        <is>
          <t>Editor open; endpoint configured.</t>
        </is>
      </c>
      <c r="G1672" s="16" t="inlineStr">
        <is>
          <t>1. PUT to endpoint that returns 301.
2. Inspect response panel.</t>
        </is>
      </c>
      <c r="H1672" s="16" t="inlineStr">
        <is>
          <t>status=301 method=PUT</t>
        </is>
      </c>
      <c r="I1672" s="16" t="inlineStr">
        <is>
          <t>Response panel shows status 301 with appropriate badge color (2xx green, 3xx blue, 4xx orange, 5xx red); body and headers rendered. History entry records correctly.</t>
        </is>
      </c>
      <c r="J1672" s="16" t="inlineStr"/>
      <c r="K1672" s="16" t="inlineStr">
        <is>
          <t>Not Run</t>
        </is>
      </c>
      <c r="L1672" s="16" t="inlineStr">
        <is>
          <t>Low</t>
        </is>
      </c>
      <c r="M1672" s="16" t="inlineStr"/>
      <c r="N1672" s="16" t="inlineStr"/>
      <c r="O1672" s="16" t="inlineStr"/>
    </row>
    <row r="1673" ht="72" customHeight="1">
      <c r="A1673" s="16" t="inlineStr">
        <is>
          <t>TC-RP-0038</t>
        </is>
      </c>
      <c r="B1673" s="16" t="inlineStr">
        <is>
          <t>Response Panel</t>
        </is>
      </c>
      <c r="C1673" s="16" t="inlineStr">
        <is>
          <t>Status Matrix</t>
        </is>
      </c>
      <c r="D1673" s="16" t="inlineStr">
        <is>
          <t>Functional</t>
        </is>
      </c>
      <c r="E1673" s="16" t="inlineStr">
        <is>
          <t>Response 301 (Moved Permanently) for DELETE</t>
        </is>
      </c>
      <c r="F1673" s="16" t="inlineStr">
        <is>
          <t>Editor open; endpoint configured.</t>
        </is>
      </c>
      <c r="G1673" s="16" t="inlineStr">
        <is>
          <t>1. DELETE to endpoint that returns 301.
2. Inspect response panel.</t>
        </is>
      </c>
      <c r="H1673" s="16" t="inlineStr">
        <is>
          <t>status=301 method=DELETE</t>
        </is>
      </c>
      <c r="I1673" s="16" t="inlineStr">
        <is>
          <t>Response panel shows status 301 with appropriate badge color (2xx green, 3xx blue, 4xx orange, 5xx red); body and headers rendered. History entry records correctly.</t>
        </is>
      </c>
      <c r="J1673" s="16" t="inlineStr"/>
      <c r="K1673" s="16" t="inlineStr">
        <is>
          <t>Not Run</t>
        </is>
      </c>
      <c r="L1673" s="16" t="inlineStr">
        <is>
          <t>Low</t>
        </is>
      </c>
      <c r="M1673" s="16" t="inlineStr"/>
      <c r="N1673" s="16" t="inlineStr"/>
      <c r="O1673" s="16" t="inlineStr"/>
    </row>
    <row r="1674" ht="72" customHeight="1">
      <c r="A1674" s="16" t="inlineStr">
        <is>
          <t>TC-RP-0039</t>
        </is>
      </c>
      <c r="B1674" s="16" t="inlineStr">
        <is>
          <t>Response Panel</t>
        </is>
      </c>
      <c r="C1674" s="16" t="inlineStr">
        <is>
          <t>Status Matrix</t>
        </is>
      </c>
      <c r="D1674" s="16" t="inlineStr">
        <is>
          <t>Functional</t>
        </is>
      </c>
      <c r="E1674" s="16" t="inlineStr">
        <is>
          <t>Response 302 (Found) for GET</t>
        </is>
      </c>
      <c r="F1674" s="16" t="inlineStr">
        <is>
          <t>Editor open; endpoint configured.</t>
        </is>
      </c>
      <c r="G1674" s="16" t="inlineStr">
        <is>
          <t>1. GET to endpoint that returns 302.
2. Inspect response panel.</t>
        </is>
      </c>
      <c r="H1674" s="16" t="inlineStr">
        <is>
          <t>status=302 method=GET</t>
        </is>
      </c>
      <c r="I1674" s="16" t="inlineStr">
        <is>
          <t>Response panel shows status 302 with appropriate badge color (2xx green, 3xx blue, 4xx orange, 5xx red); body and headers rendered. History entry records correctly.</t>
        </is>
      </c>
      <c r="J1674" s="16" t="inlineStr"/>
      <c r="K1674" s="16" t="inlineStr">
        <is>
          <t>Not Run</t>
        </is>
      </c>
      <c r="L1674" s="16" t="inlineStr">
        <is>
          <t>Low</t>
        </is>
      </c>
      <c r="M1674" s="16" t="inlineStr"/>
      <c r="N1674" s="16" t="inlineStr"/>
      <c r="O1674" s="16" t="inlineStr"/>
    </row>
    <row r="1675" ht="72" customHeight="1">
      <c r="A1675" s="16" t="inlineStr">
        <is>
          <t>TC-RP-0040</t>
        </is>
      </c>
      <c r="B1675" s="16" t="inlineStr">
        <is>
          <t>Response Panel</t>
        </is>
      </c>
      <c r="C1675" s="16" t="inlineStr">
        <is>
          <t>Status Matrix</t>
        </is>
      </c>
      <c r="D1675" s="16" t="inlineStr">
        <is>
          <t>Functional</t>
        </is>
      </c>
      <c r="E1675" s="16" t="inlineStr">
        <is>
          <t>Response 302 (Found) for POST</t>
        </is>
      </c>
      <c r="F1675" s="16" t="inlineStr">
        <is>
          <t>Editor open; endpoint configured.</t>
        </is>
      </c>
      <c r="G1675" s="16" t="inlineStr">
        <is>
          <t>1. POST to endpoint that returns 302.
2. Inspect response panel.</t>
        </is>
      </c>
      <c r="H1675" s="16" t="inlineStr">
        <is>
          <t>status=302 method=POST</t>
        </is>
      </c>
      <c r="I1675" s="16" t="inlineStr">
        <is>
          <t>Response panel shows status 302 with appropriate badge color (2xx green, 3xx blue, 4xx orange, 5xx red); body and headers rendered. History entry records correctly.</t>
        </is>
      </c>
      <c r="J1675" s="16" t="inlineStr"/>
      <c r="K1675" s="16" t="inlineStr">
        <is>
          <t>Not Run</t>
        </is>
      </c>
      <c r="L1675" s="16" t="inlineStr">
        <is>
          <t>Low</t>
        </is>
      </c>
      <c r="M1675" s="16" t="inlineStr"/>
      <c r="N1675" s="16" t="inlineStr"/>
      <c r="O1675" s="16" t="inlineStr"/>
    </row>
    <row r="1676" ht="72" customHeight="1">
      <c r="A1676" s="16" t="inlineStr">
        <is>
          <t>TC-RP-0041</t>
        </is>
      </c>
      <c r="B1676" s="16" t="inlineStr">
        <is>
          <t>Response Panel</t>
        </is>
      </c>
      <c r="C1676" s="16" t="inlineStr">
        <is>
          <t>Status Matrix</t>
        </is>
      </c>
      <c r="D1676" s="16" t="inlineStr">
        <is>
          <t>Functional</t>
        </is>
      </c>
      <c r="E1676" s="16" t="inlineStr">
        <is>
          <t>Response 302 (Found) for PUT</t>
        </is>
      </c>
      <c r="F1676" s="16" t="inlineStr">
        <is>
          <t>Editor open; endpoint configured.</t>
        </is>
      </c>
      <c r="G1676" s="16" t="inlineStr">
        <is>
          <t>1. PUT to endpoint that returns 302.
2. Inspect response panel.</t>
        </is>
      </c>
      <c r="H1676" s="16" t="inlineStr">
        <is>
          <t>status=302 method=PUT</t>
        </is>
      </c>
      <c r="I1676" s="16" t="inlineStr">
        <is>
          <t>Response panel shows status 302 with appropriate badge color (2xx green, 3xx blue, 4xx orange, 5xx red); body and headers rendered. History entry records correctly.</t>
        </is>
      </c>
      <c r="J1676" s="16" t="inlineStr"/>
      <c r="K1676" s="16" t="inlineStr">
        <is>
          <t>Not Run</t>
        </is>
      </c>
      <c r="L1676" s="16" t="inlineStr">
        <is>
          <t>Low</t>
        </is>
      </c>
      <c r="M1676" s="16" t="inlineStr"/>
      <c r="N1676" s="16" t="inlineStr"/>
      <c r="O1676" s="16" t="inlineStr"/>
    </row>
    <row r="1677" ht="72" customHeight="1">
      <c r="A1677" s="16" t="inlineStr">
        <is>
          <t>TC-RP-0042</t>
        </is>
      </c>
      <c r="B1677" s="16" t="inlineStr">
        <is>
          <t>Response Panel</t>
        </is>
      </c>
      <c r="C1677" s="16" t="inlineStr">
        <is>
          <t>Status Matrix</t>
        </is>
      </c>
      <c r="D1677" s="16" t="inlineStr">
        <is>
          <t>Functional</t>
        </is>
      </c>
      <c r="E1677" s="16" t="inlineStr">
        <is>
          <t>Response 302 (Found) for DELETE</t>
        </is>
      </c>
      <c r="F1677" s="16" t="inlineStr">
        <is>
          <t>Editor open; endpoint configured.</t>
        </is>
      </c>
      <c r="G1677" s="16" t="inlineStr">
        <is>
          <t>1. DELETE to endpoint that returns 302.
2. Inspect response panel.</t>
        </is>
      </c>
      <c r="H1677" s="16" t="inlineStr">
        <is>
          <t>status=302 method=DELETE</t>
        </is>
      </c>
      <c r="I1677" s="16" t="inlineStr">
        <is>
          <t>Response panel shows status 302 with appropriate badge color (2xx green, 3xx blue, 4xx orange, 5xx red); body and headers rendered. History entry records correctly.</t>
        </is>
      </c>
      <c r="J1677" s="16" t="inlineStr"/>
      <c r="K1677" s="16" t="inlineStr">
        <is>
          <t>Not Run</t>
        </is>
      </c>
      <c r="L1677" s="16" t="inlineStr">
        <is>
          <t>Low</t>
        </is>
      </c>
      <c r="M1677" s="16" t="inlineStr"/>
      <c r="N1677" s="16" t="inlineStr"/>
      <c r="O1677" s="16" t="inlineStr"/>
    </row>
    <row r="1678" ht="72" customHeight="1">
      <c r="A1678" s="16" t="inlineStr">
        <is>
          <t>TC-RP-0043</t>
        </is>
      </c>
      <c r="B1678" s="16" t="inlineStr">
        <is>
          <t>Response Panel</t>
        </is>
      </c>
      <c r="C1678" s="16" t="inlineStr">
        <is>
          <t>Status Matrix</t>
        </is>
      </c>
      <c r="D1678" s="16" t="inlineStr">
        <is>
          <t>Functional</t>
        </is>
      </c>
      <c r="E1678" s="16" t="inlineStr">
        <is>
          <t>Response 304 (Not Modified) for GET</t>
        </is>
      </c>
      <c r="F1678" s="16" t="inlineStr">
        <is>
          <t>Editor open; endpoint configured.</t>
        </is>
      </c>
      <c r="G1678" s="16" t="inlineStr">
        <is>
          <t>1. GET to endpoint that returns 304.
2. Inspect response panel.</t>
        </is>
      </c>
      <c r="H1678" s="16" t="inlineStr">
        <is>
          <t>status=304 method=GET</t>
        </is>
      </c>
      <c r="I1678" s="16" t="inlineStr">
        <is>
          <t>Response panel shows status 304 with appropriate badge color (2xx green, 3xx blue, 4xx orange, 5xx red); body and headers rendered. History entry records correctly.</t>
        </is>
      </c>
      <c r="J1678" s="16" t="inlineStr"/>
      <c r="K1678" s="16" t="inlineStr">
        <is>
          <t>Not Run</t>
        </is>
      </c>
      <c r="L1678" s="16" t="inlineStr">
        <is>
          <t>Low</t>
        </is>
      </c>
      <c r="M1678" s="16" t="inlineStr"/>
      <c r="N1678" s="16" t="inlineStr"/>
      <c r="O1678" s="16" t="inlineStr"/>
    </row>
    <row r="1679" ht="72" customHeight="1">
      <c r="A1679" s="16" t="inlineStr">
        <is>
          <t>TC-RP-0044</t>
        </is>
      </c>
      <c r="B1679" s="16" t="inlineStr">
        <is>
          <t>Response Panel</t>
        </is>
      </c>
      <c r="C1679" s="16" t="inlineStr">
        <is>
          <t>Status Matrix</t>
        </is>
      </c>
      <c r="D1679" s="16" t="inlineStr">
        <is>
          <t>Functional</t>
        </is>
      </c>
      <c r="E1679" s="16" t="inlineStr">
        <is>
          <t>Response 304 (Not Modified) for POST</t>
        </is>
      </c>
      <c r="F1679" s="16" t="inlineStr">
        <is>
          <t>Editor open; endpoint configured.</t>
        </is>
      </c>
      <c r="G1679" s="16" t="inlineStr">
        <is>
          <t>1. POST to endpoint that returns 304.
2. Inspect response panel.</t>
        </is>
      </c>
      <c r="H1679" s="16" t="inlineStr">
        <is>
          <t>status=304 method=POST</t>
        </is>
      </c>
      <c r="I1679" s="16" t="inlineStr">
        <is>
          <t>Response panel shows status 304 with appropriate badge color (2xx green, 3xx blue, 4xx orange, 5xx red); body and headers rendered. History entry records correctly.</t>
        </is>
      </c>
      <c r="J1679" s="16" t="inlineStr"/>
      <c r="K1679" s="16" t="inlineStr">
        <is>
          <t>Not Run</t>
        </is>
      </c>
      <c r="L1679" s="16" t="inlineStr">
        <is>
          <t>Low</t>
        </is>
      </c>
      <c r="M1679" s="16" t="inlineStr"/>
      <c r="N1679" s="16" t="inlineStr"/>
      <c r="O1679" s="16" t="inlineStr"/>
    </row>
    <row r="1680" ht="72" customHeight="1">
      <c r="A1680" s="16" t="inlineStr">
        <is>
          <t>TC-RP-0045</t>
        </is>
      </c>
      <c r="B1680" s="16" t="inlineStr">
        <is>
          <t>Response Panel</t>
        </is>
      </c>
      <c r="C1680" s="16" t="inlineStr">
        <is>
          <t>Status Matrix</t>
        </is>
      </c>
      <c r="D1680" s="16" t="inlineStr">
        <is>
          <t>Functional</t>
        </is>
      </c>
      <c r="E1680" s="16" t="inlineStr">
        <is>
          <t>Response 304 (Not Modified) for PUT</t>
        </is>
      </c>
      <c r="F1680" s="16" t="inlineStr">
        <is>
          <t>Editor open; endpoint configured.</t>
        </is>
      </c>
      <c r="G1680" s="16" t="inlineStr">
        <is>
          <t>1. PUT to endpoint that returns 304.
2. Inspect response panel.</t>
        </is>
      </c>
      <c r="H1680" s="16" t="inlineStr">
        <is>
          <t>status=304 method=PUT</t>
        </is>
      </c>
      <c r="I1680" s="16" t="inlineStr">
        <is>
          <t>Response panel shows status 304 with appropriate badge color (2xx green, 3xx blue, 4xx orange, 5xx red); body and headers rendered. History entry records correctly.</t>
        </is>
      </c>
      <c r="J1680" s="16" t="inlineStr"/>
      <c r="K1680" s="16" t="inlineStr">
        <is>
          <t>Not Run</t>
        </is>
      </c>
      <c r="L1680" s="16" t="inlineStr">
        <is>
          <t>Low</t>
        </is>
      </c>
      <c r="M1680" s="16" t="inlineStr"/>
      <c r="N1680" s="16" t="inlineStr"/>
      <c r="O1680" s="16" t="inlineStr"/>
    </row>
    <row r="1681" ht="72" customHeight="1">
      <c r="A1681" s="16" t="inlineStr">
        <is>
          <t>TC-RP-0046</t>
        </is>
      </c>
      <c r="B1681" s="16" t="inlineStr">
        <is>
          <t>Response Panel</t>
        </is>
      </c>
      <c r="C1681" s="16" t="inlineStr">
        <is>
          <t>Status Matrix</t>
        </is>
      </c>
      <c r="D1681" s="16" t="inlineStr">
        <is>
          <t>Functional</t>
        </is>
      </c>
      <c r="E1681" s="16" t="inlineStr">
        <is>
          <t>Response 304 (Not Modified) for DELETE</t>
        </is>
      </c>
      <c r="F1681" s="16" t="inlineStr">
        <is>
          <t>Editor open; endpoint configured.</t>
        </is>
      </c>
      <c r="G1681" s="16" t="inlineStr">
        <is>
          <t>1. DELETE to endpoint that returns 304.
2. Inspect response panel.</t>
        </is>
      </c>
      <c r="H1681" s="16" t="inlineStr">
        <is>
          <t>status=304 method=DELETE</t>
        </is>
      </c>
      <c r="I1681" s="16" t="inlineStr">
        <is>
          <t>Response panel shows status 304 with appropriate badge color (2xx green, 3xx blue, 4xx orange, 5xx red); body and headers rendered. History entry records correctly.</t>
        </is>
      </c>
      <c r="J1681" s="16" t="inlineStr"/>
      <c r="K1681" s="16" t="inlineStr">
        <is>
          <t>Not Run</t>
        </is>
      </c>
      <c r="L1681" s="16" t="inlineStr">
        <is>
          <t>Low</t>
        </is>
      </c>
      <c r="M1681" s="16" t="inlineStr"/>
      <c r="N1681" s="16" t="inlineStr"/>
      <c r="O1681" s="16" t="inlineStr"/>
    </row>
    <row r="1682" ht="72" customHeight="1">
      <c r="A1682" s="16" t="inlineStr">
        <is>
          <t>TC-RP-0047</t>
        </is>
      </c>
      <c r="B1682" s="16" t="inlineStr">
        <is>
          <t>Response Panel</t>
        </is>
      </c>
      <c r="C1682" s="16" t="inlineStr">
        <is>
          <t>Status Matrix</t>
        </is>
      </c>
      <c r="D1682" s="16" t="inlineStr">
        <is>
          <t>Functional</t>
        </is>
      </c>
      <c r="E1682" s="16" t="inlineStr">
        <is>
          <t>Response 307 (Temporary Redirect) for GET</t>
        </is>
      </c>
      <c r="F1682" s="16" t="inlineStr">
        <is>
          <t>Editor open; endpoint configured.</t>
        </is>
      </c>
      <c r="G1682" s="16" t="inlineStr">
        <is>
          <t>1. GET to endpoint that returns 307.
2. Inspect response panel.</t>
        </is>
      </c>
      <c r="H1682" s="16" t="inlineStr">
        <is>
          <t>status=307 method=GET</t>
        </is>
      </c>
      <c r="I1682" s="16" t="inlineStr">
        <is>
          <t>Response panel shows status 307 with appropriate badge color (2xx green, 3xx blue, 4xx orange, 5xx red); body and headers rendered. History entry records correctly.</t>
        </is>
      </c>
      <c r="J1682" s="16" t="inlineStr"/>
      <c r="K1682" s="16" t="inlineStr">
        <is>
          <t>Not Run</t>
        </is>
      </c>
      <c r="L1682" s="16" t="inlineStr">
        <is>
          <t>Low</t>
        </is>
      </c>
      <c r="M1682" s="16" t="inlineStr"/>
      <c r="N1682" s="16" t="inlineStr"/>
      <c r="O1682" s="16" t="inlineStr"/>
    </row>
    <row r="1683" ht="72" customHeight="1">
      <c r="A1683" s="16" t="inlineStr">
        <is>
          <t>TC-RP-0048</t>
        </is>
      </c>
      <c r="B1683" s="16" t="inlineStr">
        <is>
          <t>Response Panel</t>
        </is>
      </c>
      <c r="C1683" s="16" t="inlineStr">
        <is>
          <t>Status Matrix</t>
        </is>
      </c>
      <c r="D1683" s="16" t="inlineStr">
        <is>
          <t>Functional</t>
        </is>
      </c>
      <c r="E1683" s="16" t="inlineStr">
        <is>
          <t>Response 307 (Temporary Redirect) for POST</t>
        </is>
      </c>
      <c r="F1683" s="16" t="inlineStr">
        <is>
          <t>Editor open; endpoint configured.</t>
        </is>
      </c>
      <c r="G1683" s="16" t="inlineStr">
        <is>
          <t>1. POST to endpoint that returns 307.
2. Inspect response panel.</t>
        </is>
      </c>
      <c r="H1683" s="16" t="inlineStr">
        <is>
          <t>status=307 method=POST</t>
        </is>
      </c>
      <c r="I1683" s="16" t="inlineStr">
        <is>
          <t>Response panel shows status 307 with appropriate badge color (2xx green, 3xx blue, 4xx orange, 5xx red); body and headers rendered. History entry records correctly.</t>
        </is>
      </c>
      <c r="J1683" s="16" t="inlineStr"/>
      <c r="K1683" s="16" t="inlineStr">
        <is>
          <t>Not Run</t>
        </is>
      </c>
      <c r="L1683" s="16" t="inlineStr">
        <is>
          <t>Low</t>
        </is>
      </c>
      <c r="M1683" s="16" t="inlineStr"/>
      <c r="N1683" s="16" t="inlineStr"/>
      <c r="O1683" s="16" t="inlineStr"/>
    </row>
    <row r="1684" ht="72" customHeight="1">
      <c r="A1684" s="16" t="inlineStr">
        <is>
          <t>TC-RP-0049</t>
        </is>
      </c>
      <c r="B1684" s="16" t="inlineStr">
        <is>
          <t>Response Panel</t>
        </is>
      </c>
      <c r="C1684" s="16" t="inlineStr">
        <is>
          <t>Status Matrix</t>
        </is>
      </c>
      <c r="D1684" s="16" t="inlineStr">
        <is>
          <t>Functional</t>
        </is>
      </c>
      <c r="E1684" s="16" t="inlineStr">
        <is>
          <t>Response 307 (Temporary Redirect) for PUT</t>
        </is>
      </c>
      <c r="F1684" s="16" t="inlineStr">
        <is>
          <t>Editor open; endpoint configured.</t>
        </is>
      </c>
      <c r="G1684" s="16" t="inlineStr">
        <is>
          <t>1. PUT to endpoint that returns 307.
2. Inspect response panel.</t>
        </is>
      </c>
      <c r="H1684" s="16" t="inlineStr">
        <is>
          <t>status=307 method=PUT</t>
        </is>
      </c>
      <c r="I1684" s="16" t="inlineStr">
        <is>
          <t>Response panel shows status 307 with appropriate badge color (2xx green, 3xx blue, 4xx orange, 5xx red); body and headers rendered. History entry records correctly.</t>
        </is>
      </c>
      <c r="J1684" s="16" t="inlineStr"/>
      <c r="K1684" s="16" t="inlineStr">
        <is>
          <t>Not Run</t>
        </is>
      </c>
      <c r="L1684" s="16" t="inlineStr">
        <is>
          <t>Low</t>
        </is>
      </c>
      <c r="M1684" s="16" t="inlineStr"/>
      <c r="N1684" s="16" t="inlineStr"/>
      <c r="O1684" s="16" t="inlineStr"/>
    </row>
    <row r="1685" ht="72" customHeight="1">
      <c r="A1685" s="16" t="inlineStr">
        <is>
          <t>TC-RP-0050</t>
        </is>
      </c>
      <c r="B1685" s="16" t="inlineStr">
        <is>
          <t>Response Panel</t>
        </is>
      </c>
      <c r="C1685" s="16" t="inlineStr">
        <is>
          <t>Status Matrix</t>
        </is>
      </c>
      <c r="D1685" s="16" t="inlineStr">
        <is>
          <t>Functional</t>
        </is>
      </c>
      <c r="E1685" s="16" t="inlineStr">
        <is>
          <t>Response 307 (Temporary Redirect) for DELETE</t>
        </is>
      </c>
      <c r="F1685" s="16" t="inlineStr">
        <is>
          <t>Editor open; endpoint configured.</t>
        </is>
      </c>
      <c r="G1685" s="16" t="inlineStr">
        <is>
          <t>1. DELETE to endpoint that returns 307.
2. Inspect response panel.</t>
        </is>
      </c>
      <c r="H1685" s="16" t="inlineStr">
        <is>
          <t>status=307 method=DELETE</t>
        </is>
      </c>
      <c r="I1685" s="16" t="inlineStr">
        <is>
          <t>Response panel shows status 307 with appropriate badge color (2xx green, 3xx blue, 4xx orange, 5xx red); body and headers rendered. History entry records correctly.</t>
        </is>
      </c>
      <c r="J1685" s="16" t="inlineStr"/>
      <c r="K1685" s="16" t="inlineStr">
        <is>
          <t>Not Run</t>
        </is>
      </c>
      <c r="L1685" s="16" t="inlineStr">
        <is>
          <t>Low</t>
        </is>
      </c>
      <c r="M1685" s="16" t="inlineStr"/>
      <c r="N1685" s="16" t="inlineStr"/>
      <c r="O1685" s="16" t="inlineStr"/>
    </row>
    <row r="1686" ht="72" customHeight="1">
      <c r="A1686" s="16" t="inlineStr">
        <is>
          <t>TC-RP-0051</t>
        </is>
      </c>
      <c r="B1686" s="16" t="inlineStr">
        <is>
          <t>Response Panel</t>
        </is>
      </c>
      <c r="C1686" s="16" t="inlineStr">
        <is>
          <t>Status Matrix</t>
        </is>
      </c>
      <c r="D1686" s="16" t="inlineStr">
        <is>
          <t>Functional</t>
        </is>
      </c>
      <c r="E1686" s="16" t="inlineStr">
        <is>
          <t>Response 308 (Permanent Redirect) for GET</t>
        </is>
      </c>
      <c r="F1686" s="16" t="inlineStr">
        <is>
          <t>Editor open; endpoint configured.</t>
        </is>
      </c>
      <c r="G1686" s="16" t="inlineStr">
        <is>
          <t>1. GET to endpoint that returns 308.
2. Inspect response panel.</t>
        </is>
      </c>
      <c r="H1686" s="16" t="inlineStr">
        <is>
          <t>status=308 method=GET</t>
        </is>
      </c>
      <c r="I1686" s="16" t="inlineStr">
        <is>
          <t>Response panel shows status 308 with appropriate badge color (2xx green, 3xx blue, 4xx orange, 5xx red); body and headers rendered. History entry records correctly.</t>
        </is>
      </c>
      <c r="J1686" s="16" t="inlineStr"/>
      <c r="K1686" s="16" t="inlineStr">
        <is>
          <t>Not Run</t>
        </is>
      </c>
      <c r="L1686" s="16" t="inlineStr">
        <is>
          <t>Low</t>
        </is>
      </c>
      <c r="M1686" s="16" t="inlineStr"/>
      <c r="N1686" s="16" t="inlineStr"/>
      <c r="O1686" s="16" t="inlineStr"/>
    </row>
    <row r="1687" ht="72" customHeight="1">
      <c r="A1687" s="16" t="inlineStr">
        <is>
          <t>TC-RP-0052</t>
        </is>
      </c>
      <c r="B1687" s="16" t="inlineStr">
        <is>
          <t>Response Panel</t>
        </is>
      </c>
      <c r="C1687" s="16" t="inlineStr">
        <is>
          <t>Status Matrix</t>
        </is>
      </c>
      <c r="D1687" s="16" t="inlineStr">
        <is>
          <t>Functional</t>
        </is>
      </c>
      <c r="E1687" s="16" t="inlineStr">
        <is>
          <t>Response 308 (Permanent Redirect) for POST</t>
        </is>
      </c>
      <c r="F1687" s="16" t="inlineStr">
        <is>
          <t>Editor open; endpoint configured.</t>
        </is>
      </c>
      <c r="G1687" s="16" t="inlineStr">
        <is>
          <t>1. POST to endpoint that returns 308.
2. Inspect response panel.</t>
        </is>
      </c>
      <c r="H1687" s="16" t="inlineStr">
        <is>
          <t>status=308 method=POST</t>
        </is>
      </c>
      <c r="I1687" s="16" t="inlineStr">
        <is>
          <t>Response panel shows status 308 with appropriate badge color (2xx green, 3xx blue, 4xx orange, 5xx red); body and headers rendered. History entry records correctly.</t>
        </is>
      </c>
      <c r="J1687" s="16" t="inlineStr"/>
      <c r="K1687" s="16" t="inlineStr">
        <is>
          <t>Not Run</t>
        </is>
      </c>
      <c r="L1687" s="16" t="inlineStr">
        <is>
          <t>Low</t>
        </is>
      </c>
      <c r="M1687" s="16" t="inlineStr"/>
      <c r="N1687" s="16" t="inlineStr"/>
      <c r="O1687" s="16" t="inlineStr"/>
    </row>
    <row r="1688" ht="72" customHeight="1">
      <c r="A1688" s="16" t="inlineStr">
        <is>
          <t>TC-RP-0053</t>
        </is>
      </c>
      <c r="B1688" s="16" t="inlineStr">
        <is>
          <t>Response Panel</t>
        </is>
      </c>
      <c r="C1688" s="16" t="inlineStr">
        <is>
          <t>Status Matrix</t>
        </is>
      </c>
      <c r="D1688" s="16" t="inlineStr">
        <is>
          <t>Functional</t>
        </is>
      </c>
      <c r="E1688" s="16" t="inlineStr">
        <is>
          <t>Response 308 (Permanent Redirect) for PUT</t>
        </is>
      </c>
      <c r="F1688" s="16" t="inlineStr">
        <is>
          <t>Editor open; endpoint configured.</t>
        </is>
      </c>
      <c r="G1688" s="16" t="inlineStr">
        <is>
          <t>1. PUT to endpoint that returns 308.
2. Inspect response panel.</t>
        </is>
      </c>
      <c r="H1688" s="16" t="inlineStr">
        <is>
          <t>status=308 method=PUT</t>
        </is>
      </c>
      <c r="I1688" s="16" t="inlineStr">
        <is>
          <t>Response panel shows status 308 with appropriate badge color (2xx green, 3xx blue, 4xx orange, 5xx red); body and headers rendered. History entry records correctly.</t>
        </is>
      </c>
      <c r="J1688" s="16" t="inlineStr"/>
      <c r="K1688" s="16" t="inlineStr">
        <is>
          <t>Not Run</t>
        </is>
      </c>
      <c r="L1688" s="16" t="inlineStr">
        <is>
          <t>Low</t>
        </is>
      </c>
      <c r="M1688" s="16" t="inlineStr"/>
      <c r="N1688" s="16" t="inlineStr"/>
      <c r="O1688" s="16" t="inlineStr"/>
    </row>
    <row r="1689" ht="72" customHeight="1">
      <c r="A1689" s="16" t="inlineStr">
        <is>
          <t>TC-RP-0054</t>
        </is>
      </c>
      <c r="B1689" s="16" t="inlineStr">
        <is>
          <t>Response Panel</t>
        </is>
      </c>
      <c r="C1689" s="16" t="inlineStr">
        <is>
          <t>Status Matrix</t>
        </is>
      </c>
      <c r="D1689" s="16" t="inlineStr">
        <is>
          <t>Functional</t>
        </is>
      </c>
      <c r="E1689" s="16" t="inlineStr">
        <is>
          <t>Response 308 (Permanent Redirect) for DELETE</t>
        </is>
      </c>
      <c r="F1689" s="16" t="inlineStr">
        <is>
          <t>Editor open; endpoint configured.</t>
        </is>
      </c>
      <c r="G1689" s="16" t="inlineStr">
        <is>
          <t>1. DELETE to endpoint that returns 308.
2. Inspect response panel.</t>
        </is>
      </c>
      <c r="H1689" s="16" t="inlineStr">
        <is>
          <t>status=308 method=DELETE</t>
        </is>
      </c>
      <c r="I1689" s="16" t="inlineStr">
        <is>
          <t>Response panel shows status 308 with appropriate badge color (2xx green, 3xx blue, 4xx orange, 5xx red); body and headers rendered. History entry records correctly.</t>
        </is>
      </c>
      <c r="J1689" s="16" t="inlineStr"/>
      <c r="K1689" s="16" t="inlineStr">
        <is>
          <t>Not Run</t>
        </is>
      </c>
      <c r="L1689" s="16" t="inlineStr">
        <is>
          <t>Low</t>
        </is>
      </c>
      <c r="M1689" s="16" t="inlineStr"/>
      <c r="N1689" s="16" t="inlineStr"/>
      <c r="O1689" s="16" t="inlineStr"/>
    </row>
    <row r="1690" ht="72" customHeight="1">
      <c r="A1690" s="16" t="inlineStr">
        <is>
          <t>TC-RP-0055</t>
        </is>
      </c>
      <c r="B1690" s="16" t="inlineStr">
        <is>
          <t>Response Panel</t>
        </is>
      </c>
      <c r="C1690" s="16" t="inlineStr">
        <is>
          <t>Status Matrix</t>
        </is>
      </c>
      <c r="D1690" s="16" t="inlineStr">
        <is>
          <t>Functional</t>
        </is>
      </c>
      <c r="E1690" s="16" t="inlineStr">
        <is>
          <t>Response 400 (Bad Request) for GET</t>
        </is>
      </c>
      <c r="F1690" s="16" t="inlineStr">
        <is>
          <t>Editor open; endpoint configured.</t>
        </is>
      </c>
      <c r="G1690" s="16" t="inlineStr">
        <is>
          <t>1. GET to endpoint that returns 400.
2. Inspect response panel.</t>
        </is>
      </c>
      <c r="H1690" s="16" t="inlineStr">
        <is>
          <t>status=400 method=GET</t>
        </is>
      </c>
      <c r="I1690" s="16" t="inlineStr">
        <is>
          <t>Response panel shows status 400 with appropriate badge color (2xx green, 3xx blue, 4xx orange, 5xx red); body and headers rendered. History entry records correctly.</t>
        </is>
      </c>
      <c r="J1690" s="16" t="inlineStr"/>
      <c r="K1690" s="16" t="inlineStr">
        <is>
          <t>Not Run</t>
        </is>
      </c>
      <c r="L1690" s="16" t="inlineStr">
        <is>
          <t>Medium</t>
        </is>
      </c>
      <c r="M1690" s="16" t="inlineStr"/>
      <c r="N1690" s="16" t="inlineStr"/>
      <c r="O1690" s="16" t="inlineStr"/>
    </row>
    <row r="1691" ht="72" customHeight="1">
      <c r="A1691" s="16" t="inlineStr">
        <is>
          <t>TC-RP-0056</t>
        </is>
      </c>
      <c r="B1691" s="16" t="inlineStr">
        <is>
          <t>Response Panel</t>
        </is>
      </c>
      <c r="C1691" s="16" t="inlineStr">
        <is>
          <t>Status Matrix</t>
        </is>
      </c>
      <c r="D1691" s="16" t="inlineStr">
        <is>
          <t>Functional</t>
        </is>
      </c>
      <c r="E1691" s="16" t="inlineStr">
        <is>
          <t>Response 400 (Bad Request) for POST</t>
        </is>
      </c>
      <c r="F1691" s="16" t="inlineStr">
        <is>
          <t>Editor open; endpoint configured.</t>
        </is>
      </c>
      <c r="G1691" s="16" t="inlineStr">
        <is>
          <t>1. POST to endpoint that returns 400.
2. Inspect response panel.</t>
        </is>
      </c>
      <c r="H1691" s="16" t="inlineStr">
        <is>
          <t>status=400 method=POST</t>
        </is>
      </c>
      <c r="I1691" s="16" t="inlineStr">
        <is>
          <t>Response panel shows status 400 with appropriate badge color (2xx green, 3xx blue, 4xx orange, 5xx red); body and headers rendered. History entry records correctly.</t>
        </is>
      </c>
      <c r="J1691" s="16" t="inlineStr"/>
      <c r="K1691" s="16" t="inlineStr">
        <is>
          <t>Not Run</t>
        </is>
      </c>
      <c r="L1691" s="16" t="inlineStr">
        <is>
          <t>Medium</t>
        </is>
      </c>
      <c r="M1691" s="16" t="inlineStr"/>
      <c r="N1691" s="16" t="inlineStr"/>
      <c r="O1691" s="16" t="inlineStr"/>
    </row>
    <row r="1692" ht="72" customHeight="1">
      <c r="A1692" s="16" t="inlineStr">
        <is>
          <t>TC-RP-0057</t>
        </is>
      </c>
      <c r="B1692" s="16" t="inlineStr">
        <is>
          <t>Response Panel</t>
        </is>
      </c>
      <c r="C1692" s="16" t="inlineStr">
        <is>
          <t>Status Matrix</t>
        </is>
      </c>
      <c r="D1692" s="16" t="inlineStr">
        <is>
          <t>Functional</t>
        </is>
      </c>
      <c r="E1692" s="16" t="inlineStr">
        <is>
          <t>Response 400 (Bad Request) for PUT</t>
        </is>
      </c>
      <c r="F1692" s="16" t="inlineStr">
        <is>
          <t>Editor open; endpoint configured.</t>
        </is>
      </c>
      <c r="G1692" s="16" t="inlineStr">
        <is>
          <t>1. PUT to endpoint that returns 400.
2. Inspect response panel.</t>
        </is>
      </c>
      <c r="H1692" s="16" t="inlineStr">
        <is>
          <t>status=400 method=PUT</t>
        </is>
      </c>
      <c r="I1692" s="16" t="inlineStr">
        <is>
          <t>Response panel shows status 400 with appropriate badge color (2xx green, 3xx blue, 4xx orange, 5xx red); body and headers rendered. History entry records correctly.</t>
        </is>
      </c>
      <c r="J1692" s="16" t="inlineStr"/>
      <c r="K1692" s="16" t="inlineStr">
        <is>
          <t>Not Run</t>
        </is>
      </c>
      <c r="L1692" s="16" t="inlineStr">
        <is>
          <t>Medium</t>
        </is>
      </c>
      <c r="M1692" s="16" t="inlineStr"/>
      <c r="N1692" s="16" t="inlineStr"/>
      <c r="O1692" s="16" t="inlineStr"/>
    </row>
    <row r="1693" ht="72" customHeight="1">
      <c r="A1693" s="16" t="inlineStr">
        <is>
          <t>TC-RP-0058</t>
        </is>
      </c>
      <c r="B1693" s="16" t="inlineStr">
        <is>
          <t>Response Panel</t>
        </is>
      </c>
      <c r="C1693" s="16" t="inlineStr">
        <is>
          <t>Status Matrix</t>
        </is>
      </c>
      <c r="D1693" s="16" t="inlineStr">
        <is>
          <t>Functional</t>
        </is>
      </c>
      <c r="E1693" s="16" t="inlineStr">
        <is>
          <t>Response 400 (Bad Request) for DELETE</t>
        </is>
      </c>
      <c r="F1693" s="16" t="inlineStr">
        <is>
          <t>Editor open; endpoint configured.</t>
        </is>
      </c>
      <c r="G1693" s="16" t="inlineStr">
        <is>
          <t>1. DELETE to endpoint that returns 400.
2. Inspect response panel.</t>
        </is>
      </c>
      <c r="H1693" s="16" t="inlineStr">
        <is>
          <t>status=400 method=DELETE</t>
        </is>
      </c>
      <c r="I1693" s="16" t="inlineStr">
        <is>
          <t>Response panel shows status 400 with appropriate badge color (2xx green, 3xx blue, 4xx orange, 5xx red); body and headers rendered. History entry records correctly.</t>
        </is>
      </c>
      <c r="J1693" s="16" t="inlineStr"/>
      <c r="K1693" s="16" t="inlineStr">
        <is>
          <t>Not Run</t>
        </is>
      </c>
      <c r="L1693" s="16" t="inlineStr">
        <is>
          <t>Medium</t>
        </is>
      </c>
      <c r="M1693" s="16" t="inlineStr"/>
      <c r="N1693" s="16" t="inlineStr"/>
      <c r="O1693" s="16" t="inlineStr"/>
    </row>
    <row r="1694" ht="72" customHeight="1">
      <c r="A1694" s="16" t="inlineStr">
        <is>
          <t>TC-RP-0059</t>
        </is>
      </c>
      <c r="B1694" s="16" t="inlineStr">
        <is>
          <t>Response Panel</t>
        </is>
      </c>
      <c r="C1694" s="16" t="inlineStr">
        <is>
          <t>Status Matrix</t>
        </is>
      </c>
      <c r="D1694" s="16" t="inlineStr">
        <is>
          <t>Functional</t>
        </is>
      </c>
      <c r="E1694" s="16" t="inlineStr">
        <is>
          <t>Response 401 (Unauthorized) for GET</t>
        </is>
      </c>
      <c r="F1694" s="16" t="inlineStr">
        <is>
          <t>Editor open; endpoint configured.</t>
        </is>
      </c>
      <c r="G1694" s="16" t="inlineStr">
        <is>
          <t>1. GET to endpoint that returns 401.
2. Inspect response panel.</t>
        </is>
      </c>
      <c r="H1694" s="16" t="inlineStr">
        <is>
          <t>status=401 method=GET</t>
        </is>
      </c>
      <c r="I1694" s="16" t="inlineStr">
        <is>
          <t>Response panel shows status 401 with appropriate badge color (2xx green, 3xx blue, 4xx orange, 5xx red); body and headers rendered. History entry records correctly.</t>
        </is>
      </c>
      <c r="J1694" s="16" t="inlineStr"/>
      <c r="K1694" s="16" t="inlineStr">
        <is>
          <t>Not Run</t>
        </is>
      </c>
      <c r="L1694" s="16" t="inlineStr">
        <is>
          <t>Medium</t>
        </is>
      </c>
      <c r="M1694" s="16" t="inlineStr"/>
      <c r="N1694" s="16" t="inlineStr"/>
      <c r="O1694" s="16" t="inlineStr"/>
    </row>
    <row r="1695" ht="72" customHeight="1">
      <c r="A1695" s="16" t="inlineStr">
        <is>
          <t>TC-RP-0060</t>
        </is>
      </c>
      <c r="B1695" s="16" t="inlineStr">
        <is>
          <t>Response Panel</t>
        </is>
      </c>
      <c r="C1695" s="16" t="inlineStr">
        <is>
          <t>Status Matrix</t>
        </is>
      </c>
      <c r="D1695" s="16" t="inlineStr">
        <is>
          <t>Functional</t>
        </is>
      </c>
      <c r="E1695" s="16" t="inlineStr">
        <is>
          <t>Response 401 (Unauthorized) for POST</t>
        </is>
      </c>
      <c r="F1695" s="16" t="inlineStr">
        <is>
          <t>Editor open; endpoint configured.</t>
        </is>
      </c>
      <c r="G1695" s="16" t="inlineStr">
        <is>
          <t>1. POST to endpoint that returns 401.
2. Inspect response panel.</t>
        </is>
      </c>
      <c r="H1695" s="16" t="inlineStr">
        <is>
          <t>status=401 method=POST</t>
        </is>
      </c>
      <c r="I1695" s="16" t="inlineStr">
        <is>
          <t>Response panel shows status 401 with appropriate badge color (2xx green, 3xx blue, 4xx orange, 5xx red); body and headers rendered. History entry records correctly.</t>
        </is>
      </c>
      <c r="J1695" s="16" t="inlineStr"/>
      <c r="K1695" s="16" t="inlineStr">
        <is>
          <t>Not Run</t>
        </is>
      </c>
      <c r="L1695" s="16" t="inlineStr">
        <is>
          <t>Medium</t>
        </is>
      </c>
      <c r="M1695" s="16" t="inlineStr"/>
      <c r="N1695" s="16" t="inlineStr"/>
      <c r="O1695" s="16" t="inlineStr"/>
    </row>
    <row r="1696" ht="72" customHeight="1">
      <c r="A1696" s="16" t="inlineStr">
        <is>
          <t>TC-RP-0061</t>
        </is>
      </c>
      <c r="B1696" s="16" t="inlineStr">
        <is>
          <t>Response Panel</t>
        </is>
      </c>
      <c r="C1696" s="16" t="inlineStr">
        <is>
          <t>Status Matrix</t>
        </is>
      </c>
      <c r="D1696" s="16" t="inlineStr">
        <is>
          <t>Functional</t>
        </is>
      </c>
      <c r="E1696" s="16" t="inlineStr">
        <is>
          <t>Response 401 (Unauthorized) for PUT</t>
        </is>
      </c>
      <c r="F1696" s="16" t="inlineStr">
        <is>
          <t>Editor open; endpoint configured.</t>
        </is>
      </c>
      <c r="G1696" s="16" t="inlineStr">
        <is>
          <t>1. PUT to endpoint that returns 401.
2. Inspect response panel.</t>
        </is>
      </c>
      <c r="H1696" s="16" t="inlineStr">
        <is>
          <t>status=401 method=PUT</t>
        </is>
      </c>
      <c r="I1696" s="16" t="inlineStr">
        <is>
          <t>Response panel shows status 401 with appropriate badge color (2xx green, 3xx blue, 4xx orange, 5xx red); body and headers rendered. History entry records correctly.</t>
        </is>
      </c>
      <c r="J1696" s="16" t="inlineStr"/>
      <c r="K1696" s="16" t="inlineStr">
        <is>
          <t>Not Run</t>
        </is>
      </c>
      <c r="L1696" s="16" t="inlineStr">
        <is>
          <t>Medium</t>
        </is>
      </c>
      <c r="M1696" s="16" t="inlineStr"/>
      <c r="N1696" s="16" t="inlineStr"/>
      <c r="O1696" s="16" t="inlineStr"/>
    </row>
    <row r="1697" ht="72" customHeight="1">
      <c r="A1697" s="16" t="inlineStr">
        <is>
          <t>TC-RP-0062</t>
        </is>
      </c>
      <c r="B1697" s="16" t="inlineStr">
        <is>
          <t>Response Panel</t>
        </is>
      </c>
      <c r="C1697" s="16" t="inlineStr">
        <is>
          <t>Status Matrix</t>
        </is>
      </c>
      <c r="D1697" s="16" t="inlineStr">
        <is>
          <t>Functional</t>
        </is>
      </c>
      <c r="E1697" s="16" t="inlineStr">
        <is>
          <t>Response 401 (Unauthorized) for DELETE</t>
        </is>
      </c>
      <c r="F1697" s="16" t="inlineStr">
        <is>
          <t>Editor open; endpoint configured.</t>
        </is>
      </c>
      <c r="G1697" s="16" t="inlineStr">
        <is>
          <t>1. DELETE to endpoint that returns 401.
2. Inspect response panel.</t>
        </is>
      </c>
      <c r="H1697" s="16" t="inlineStr">
        <is>
          <t>status=401 method=DELETE</t>
        </is>
      </c>
      <c r="I1697" s="16" t="inlineStr">
        <is>
          <t>Response panel shows status 401 with appropriate badge color (2xx green, 3xx blue, 4xx orange, 5xx red); body and headers rendered. History entry records correctly.</t>
        </is>
      </c>
      <c r="J1697" s="16" t="inlineStr"/>
      <c r="K1697" s="16" t="inlineStr">
        <is>
          <t>Not Run</t>
        </is>
      </c>
      <c r="L1697" s="16" t="inlineStr">
        <is>
          <t>Medium</t>
        </is>
      </c>
      <c r="M1697" s="16" t="inlineStr"/>
      <c r="N1697" s="16" t="inlineStr"/>
      <c r="O1697" s="16" t="inlineStr"/>
    </row>
    <row r="1698" ht="72" customHeight="1">
      <c r="A1698" s="16" t="inlineStr">
        <is>
          <t>TC-RP-0063</t>
        </is>
      </c>
      <c r="B1698" s="16" t="inlineStr">
        <is>
          <t>Response Panel</t>
        </is>
      </c>
      <c r="C1698" s="16" t="inlineStr">
        <is>
          <t>Status Matrix</t>
        </is>
      </c>
      <c r="D1698" s="16" t="inlineStr">
        <is>
          <t>Functional</t>
        </is>
      </c>
      <c r="E1698" s="16" t="inlineStr">
        <is>
          <t>Response 403 (Forbidden) for GET</t>
        </is>
      </c>
      <c r="F1698" s="16" t="inlineStr">
        <is>
          <t>Editor open; endpoint configured.</t>
        </is>
      </c>
      <c r="G1698" s="16" t="inlineStr">
        <is>
          <t>1. GET to endpoint that returns 403.
2. Inspect response panel.</t>
        </is>
      </c>
      <c r="H1698" s="16" t="inlineStr">
        <is>
          <t>status=403 method=GET</t>
        </is>
      </c>
      <c r="I1698" s="16" t="inlineStr">
        <is>
          <t>Response panel shows status 403 with appropriate badge color (2xx green, 3xx blue, 4xx orange, 5xx red); body and headers rendered. History entry records correctly.</t>
        </is>
      </c>
      <c r="J1698" s="16" t="inlineStr"/>
      <c r="K1698" s="16" t="inlineStr">
        <is>
          <t>Not Run</t>
        </is>
      </c>
      <c r="L1698" s="16" t="inlineStr">
        <is>
          <t>Low</t>
        </is>
      </c>
      <c r="M1698" s="16" t="inlineStr"/>
      <c r="N1698" s="16" t="inlineStr"/>
      <c r="O1698" s="16" t="inlineStr"/>
    </row>
    <row r="1699" ht="72" customHeight="1">
      <c r="A1699" s="16" t="inlineStr">
        <is>
          <t>TC-RP-0064</t>
        </is>
      </c>
      <c r="B1699" s="16" t="inlineStr">
        <is>
          <t>Response Panel</t>
        </is>
      </c>
      <c r="C1699" s="16" t="inlineStr">
        <is>
          <t>Status Matrix</t>
        </is>
      </c>
      <c r="D1699" s="16" t="inlineStr">
        <is>
          <t>Functional</t>
        </is>
      </c>
      <c r="E1699" s="16" t="inlineStr">
        <is>
          <t>Response 403 (Forbidden) for POST</t>
        </is>
      </c>
      <c r="F1699" s="16" t="inlineStr">
        <is>
          <t>Editor open; endpoint configured.</t>
        </is>
      </c>
      <c r="G1699" s="16" t="inlineStr">
        <is>
          <t>1. POST to endpoint that returns 403.
2. Inspect response panel.</t>
        </is>
      </c>
      <c r="H1699" s="16" t="inlineStr">
        <is>
          <t>status=403 method=POST</t>
        </is>
      </c>
      <c r="I1699" s="16" t="inlineStr">
        <is>
          <t>Response panel shows status 403 with appropriate badge color (2xx green, 3xx blue, 4xx orange, 5xx red); body and headers rendered. History entry records correctly.</t>
        </is>
      </c>
      <c r="J1699" s="16" t="inlineStr"/>
      <c r="K1699" s="16" t="inlineStr">
        <is>
          <t>Not Run</t>
        </is>
      </c>
      <c r="L1699" s="16" t="inlineStr">
        <is>
          <t>Low</t>
        </is>
      </c>
      <c r="M1699" s="16" t="inlineStr"/>
      <c r="N1699" s="16" t="inlineStr"/>
      <c r="O1699" s="16" t="inlineStr"/>
    </row>
    <row r="1700" ht="72" customHeight="1">
      <c r="A1700" s="16" t="inlineStr">
        <is>
          <t>TC-RP-0065</t>
        </is>
      </c>
      <c r="B1700" s="16" t="inlineStr">
        <is>
          <t>Response Panel</t>
        </is>
      </c>
      <c r="C1700" s="16" t="inlineStr">
        <is>
          <t>Status Matrix</t>
        </is>
      </c>
      <c r="D1700" s="16" t="inlineStr">
        <is>
          <t>Functional</t>
        </is>
      </c>
      <c r="E1700" s="16" t="inlineStr">
        <is>
          <t>Response 403 (Forbidden) for PUT</t>
        </is>
      </c>
      <c r="F1700" s="16" t="inlineStr">
        <is>
          <t>Editor open; endpoint configured.</t>
        </is>
      </c>
      <c r="G1700" s="16" t="inlineStr">
        <is>
          <t>1. PUT to endpoint that returns 403.
2. Inspect response panel.</t>
        </is>
      </c>
      <c r="H1700" s="16" t="inlineStr">
        <is>
          <t>status=403 method=PUT</t>
        </is>
      </c>
      <c r="I1700" s="16" t="inlineStr">
        <is>
          <t>Response panel shows status 403 with appropriate badge color (2xx green, 3xx blue, 4xx orange, 5xx red); body and headers rendered. History entry records correctly.</t>
        </is>
      </c>
      <c r="J1700" s="16" t="inlineStr"/>
      <c r="K1700" s="16" t="inlineStr">
        <is>
          <t>Not Run</t>
        </is>
      </c>
      <c r="L1700" s="16" t="inlineStr">
        <is>
          <t>Low</t>
        </is>
      </c>
      <c r="M1700" s="16" t="inlineStr"/>
      <c r="N1700" s="16" t="inlineStr"/>
      <c r="O1700" s="16" t="inlineStr"/>
    </row>
    <row r="1701" ht="72" customHeight="1">
      <c r="A1701" s="16" t="inlineStr">
        <is>
          <t>TC-RP-0066</t>
        </is>
      </c>
      <c r="B1701" s="16" t="inlineStr">
        <is>
          <t>Response Panel</t>
        </is>
      </c>
      <c r="C1701" s="16" t="inlineStr">
        <is>
          <t>Status Matrix</t>
        </is>
      </c>
      <c r="D1701" s="16" t="inlineStr">
        <is>
          <t>Functional</t>
        </is>
      </c>
      <c r="E1701" s="16" t="inlineStr">
        <is>
          <t>Response 403 (Forbidden) for DELETE</t>
        </is>
      </c>
      <c r="F1701" s="16" t="inlineStr">
        <is>
          <t>Editor open; endpoint configured.</t>
        </is>
      </c>
      <c r="G1701" s="16" t="inlineStr">
        <is>
          <t>1. DELETE to endpoint that returns 403.
2. Inspect response panel.</t>
        </is>
      </c>
      <c r="H1701" s="16" t="inlineStr">
        <is>
          <t>status=403 method=DELETE</t>
        </is>
      </c>
      <c r="I1701" s="16" t="inlineStr">
        <is>
          <t>Response panel shows status 403 with appropriate badge color (2xx green, 3xx blue, 4xx orange, 5xx red); body and headers rendered. History entry records correctly.</t>
        </is>
      </c>
      <c r="J1701" s="16" t="inlineStr"/>
      <c r="K1701" s="16" t="inlineStr">
        <is>
          <t>Not Run</t>
        </is>
      </c>
      <c r="L1701" s="16" t="inlineStr">
        <is>
          <t>Low</t>
        </is>
      </c>
      <c r="M1701" s="16" t="inlineStr"/>
      <c r="N1701" s="16" t="inlineStr"/>
      <c r="O1701" s="16" t="inlineStr"/>
    </row>
    <row r="1702" ht="72" customHeight="1">
      <c r="A1702" s="16" t="inlineStr">
        <is>
          <t>TC-RP-0067</t>
        </is>
      </c>
      <c r="B1702" s="16" t="inlineStr">
        <is>
          <t>Response Panel</t>
        </is>
      </c>
      <c r="C1702" s="16" t="inlineStr">
        <is>
          <t>Status Matrix</t>
        </is>
      </c>
      <c r="D1702" s="16" t="inlineStr">
        <is>
          <t>Functional</t>
        </is>
      </c>
      <c r="E1702" s="16" t="inlineStr">
        <is>
          <t>Response 404 (Not Found) for GET</t>
        </is>
      </c>
      <c r="F1702" s="16" t="inlineStr">
        <is>
          <t>Editor open; endpoint configured.</t>
        </is>
      </c>
      <c r="G1702" s="16" t="inlineStr">
        <is>
          <t>1. GET to endpoint that returns 404.
2. Inspect response panel.</t>
        </is>
      </c>
      <c r="H1702" s="16" t="inlineStr">
        <is>
          <t>status=404 method=GET</t>
        </is>
      </c>
      <c r="I1702" s="16" t="inlineStr">
        <is>
          <t>Response panel shows status 404 with appropriate badge color (2xx green, 3xx blue, 4xx orange, 5xx red); body and headers rendered. History entry records correctly.</t>
        </is>
      </c>
      <c r="J1702" s="16" t="inlineStr"/>
      <c r="K1702" s="16" t="inlineStr">
        <is>
          <t>Not Run</t>
        </is>
      </c>
      <c r="L1702" s="16" t="inlineStr">
        <is>
          <t>Medium</t>
        </is>
      </c>
      <c r="M1702" s="16" t="inlineStr"/>
      <c r="N1702" s="16" t="inlineStr"/>
      <c r="O1702" s="16" t="inlineStr"/>
    </row>
    <row r="1703" ht="72" customHeight="1">
      <c r="A1703" s="16" t="inlineStr">
        <is>
          <t>TC-RP-0068</t>
        </is>
      </c>
      <c r="B1703" s="16" t="inlineStr">
        <is>
          <t>Response Panel</t>
        </is>
      </c>
      <c r="C1703" s="16" t="inlineStr">
        <is>
          <t>Status Matrix</t>
        </is>
      </c>
      <c r="D1703" s="16" t="inlineStr">
        <is>
          <t>Functional</t>
        </is>
      </c>
      <c r="E1703" s="16" t="inlineStr">
        <is>
          <t>Response 404 (Not Found) for POST</t>
        </is>
      </c>
      <c r="F1703" s="16" t="inlineStr">
        <is>
          <t>Editor open; endpoint configured.</t>
        </is>
      </c>
      <c r="G1703" s="16" t="inlineStr">
        <is>
          <t>1. POST to endpoint that returns 404.
2. Inspect response panel.</t>
        </is>
      </c>
      <c r="H1703" s="16" t="inlineStr">
        <is>
          <t>status=404 method=POST</t>
        </is>
      </c>
      <c r="I1703" s="16" t="inlineStr">
        <is>
          <t>Response panel shows status 404 with appropriate badge color (2xx green, 3xx blue, 4xx orange, 5xx red); body and headers rendered. History entry records correctly.</t>
        </is>
      </c>
      <c r="J1703" s="16" t="inlineStr"/>
      <c r="K1703" s="16" t="inlineStr">
        <is>
          <t>Not Run</t>
        </is>
      </c>
      <c r="L1703" s="16" t="inlineStr">
        <is>
          <t>Medium</t>
        </is>
      </c>
      <c r="M1703" s="16" t="inlineStr"/>
      <c r="N1703" s="16" t="inlineStr"/>
      <c r="O1703" s="16" t="inlineStr"/>
    </row>
    <row r="1704" ht="72" customHeight="1">
      <c r="A1704" s="16" t="inlineStr">
        <is>
          <t>TC-RP-0069</t>
        </is>
      </c>
      <c r="B1704" s="16" t="inlineStr">
        <is>
          <t>Response Panel</t>
        </is>
      </c>
      <c r="C1704" s="16" t="inlineStr">
        <is>
          <t>Status Matrix</t>
        </is>
      </c>
      <c r="D1704" s="16" t="inlineStr">
        <is>
          <t>Functional</t>
        </is>
      </c>
      <c r="E1704" s="16" t="inlineStr">
        <is>
          <t>Response 404 (Not Found) for PUT</t>
        </is>
      </c>
      <c r="F1704" s="16" t="inlineStr">
        <is>
          <t>Editor open; endpoint configured.</t>
        </is>
      </c>
      <c r="G1704" s="16" t="inlineStr">
        <is>
          <t>1. PUT to endpoint that returns 404.
2. Inspect response panel.</t>
        </is>
      </c>
      <c r="H1704" s="16" t="inlineStr">
        <is>
          <t>status=404 method=PUT</t>
        </is>
      </c>
      <c r="I1704" s="16" t="inlineStr">
        <is>
          <t>Response panel shows status 404 with appropriate badge color (2xx green, 3xx blue, 4xx orange, 5xx red); body and headers rendered. History entry records correctly.</t>
        </is>
      </c>
      <c r="J1704" s="16" t="inlineStr"/>
      <c r="K1704" s="16" t="inlineStr">
        <is>
          <t>Not Run</t>
        </is>
      </c>
      <c r="L1704" s="16" t="inlineStr">
        <is>
          <t>Medium</t>
        </is>
      </c>
      <c r="M1704" s="16" t="inlineStr"/>
      <c r="N1704" s="16" t="inlineStr"/>
      <c r="O1704" s="16" t="inlineStr"/>
    </row>
    <row r="1705" ht="72" customHeight="1">
      <c r="A1705" s="16" t="inlineStr">
        <is>
          <t>TC-RP-0070</t>
        </is>
      </c>
      <c r="B1705" s="16" t="inlineStr">
        <is>
          <t>Response Panel</t>
        </is>
      </c>
      <c r="C1705" s="16" t="inlineStr">
        <is>
          <t>Status Matrix</t>
        </is>
      </c>
      <c r="D1705" s="16" t="inlineStr">
        <is>
          <t>Functional</t>
        </is>
      </c>
      <c r="E1705" s="16" t="inlineStr">
        <is>
          <t>Response 404 (Not Found) for DELETE</t>
        </is>
      </c>
      <c r="F1705" s="16" t="inlineStr">
        <is>
          <t>Editor open; endpoint configured.</t>
        </is>
      </c>
      <c r="G1705" s="16" t="inlineStr">
        <is>
          <t>1. DELETE to endpoint that returns 404.
2. Inspect response panel.</t>
        </is>
      </c>
      <c r="H1705" s="16" t="inlineStr">
        <is>
          <t>status=404 method=DELETE</t>
        </is>
      </c>
      <c r="I1705" s="16" t="inlineStr">
        <is>
          <t>Response panel shows status 404 with appropriate badge color (2xx green, 3xx blue, 4xx orange, 5xx red); body and headers rendered. History entry records correctly.</t>
        </is>
      </c>
      <c r="J1705" s="16" t="inlineStr"/>
      <c r="K1705" s="16" t="inlineStr">
        <is>
          <t>Not Run</t>
        </is>
      </c>
      <c r="L1705" s="16" t="inlineStr">
        <is>
          <t>Medium</t>
        </is>
      </c>
      <c r="M1705" s="16" t="inlineStr"/>
      <c r="N1705" s="16" t="inlineStr"/>
      <c r="O1705" s="16" t="inlineStr"/>
    </row>
    <row r="1706" ht="72" customHeight="1">
      <c r="A1706" s="16" t="inlineStr">
        <is>
          <t>TC-RP-0071</t>
        </is>
      </c>
      <c r="B1706" s="16" t="inlineStr">
        <is>
          <t>Response Panel</t>
        </is>
      </c>
      <c r="C1706" s="16" t="inlineStr">
        <is>
          <t>Status Matrix</t>
        </is>
      </c>
      <c r="D1706" s="16" t="inlineStr">
        <is>
          <t>Functional</t>
        </is>
      </c>
      <c r="E1706" s="16" t="inlineStr">
        <is>
          <t>Response 405 (Method Not Allowed) for GET</t>
        </is>
      </c>
      <c r="F1706" s="16" t="inlineStr">
        <is>
          <t>Editor open; endpoint configured.</t>
        </is>
      </c>
      <c r="G1706" s="16" t="inlineStr">
        <is>
          <t>1. GET to endpoint that returns 405.
2. Inspect response panel.</t>
        </is>
      </c>
      <c r="H1706" s="16" t="inlineStr">
        <is>
          <t>status=405 method=GET</t>
        </is>
      </c>
      <c r="I1706" s="16" t="inlineStr">
        <is>
          <t>Response panel shows status 405 with appropriate badge color (2xx green, 3xx blue, 4xx orange, 5xx red); body and headers rendered. History entry records correctly.</t>
        </is>
      </c>
      <c r="J1706" s="16" t="inlineStr"/>
      <c r="K1706" s="16" t="inlineStr">
        <is>
          <t>Not Run</t>
        </is>
      </c>
      <c r="L1706" s="16" t="inlineStr">
        <is>
          <t>Low</t>
        </is>
      </c>
      <c r="M1706" s="16" t="inlineStr"/>
      <c r="N1706" s="16" t="inlineStr"/>
      <c r="O1706" s="16" t="inlineStr"/>
    </row>
    <row r="1707" ht="72" customHeight="1">
      <c r="A1707" s="16" t="inlineStr">
        <is>
          <t>TC-RP-0072</t>
        </is>
      </c>
      <c r="B1707" s="16" t="inlineStr">
        <is>
          <t>Response Panel</t>
        </is>
      </c>
      <c r="C1707" s="16" t="inlineStr">
        <is>
          <t>Status Matrix</t>
        </is>
      </c>
      <c r="D1707" s="16" t="inlineStr">
        <is>
          <t>Functional</t>
        </is>
      </c>
      <c r="E1707" s="16" t="inlineStr">
        <is>
          <t>Response 405 (Method Not Allowed) for POST</t>
        </is>
      </c>
      <c r="F1707" s="16" t="inlineStr">
        <is>
          <t>Editor open; endpoint configured.</t>
        </is>
      </c>
      <c r="G1707" s="16" t="inlineStr">
        <is>
          <t>1. POST to endpoint that returns 405.
2. Inspect response panel.</t>
        </is>
      </c>
      <c r="H1707" s="16" t="inlineStr">
        <is>
          <t>status=405 method=POST</t>
        </is>
      </c>
      <c r="I1707" s="16" t="inlineStr">
        <is>
          <t>Response panel shows status 405 with appropriate badge color (2xx green, 3xx blue, 4xx orange, 5xx red); body and headers rendered. History entry records correctly.</t>
        </is>
      </c>
      <c r="J1707" s="16" t="inlineStr"/>
      <c r="K1707" s="16" t="inlineStr">
        <is>
          <t>Not Run</t>
        </is>
      </c>
      <c r="L1707" s="16" t="inlineStr">
        <is>
          <t>Low</t>
        </is>
      </c>
      <c r="M1707" s="16" t="inlineStr"/>
      <c r="N1707" s="16" t="inlineStr"/>
      <c r="O1707" s="16" t="inlineStr"/>
    </row>
    <row r="1708" ht="72" customHeight="1">
      <c r="A1708" s="16" t="inlineStr">
        <is>
          <t>TC-RP-0073</t>
        </is>
      </c>
      <c r="B1708" s="16" t="inlineStr">
        <is>
          <t>Response Panel</t>
        </is>
      </c>
      <c r="C1708" s="16" t="inlineStr">
        <is>
          <t>Status Matrix</t>
        </is>
      </c>
      <c r="D1708" s="16" t="inlineStr">
        <is>
          <t>Functional</t>
        </is>
      </c>
      <c r="E1708" s="16" t="inlineStr">
        <is>
          <t>Response 405 (Method Not Allowed) for PUT</t>
        </is>
      </c>
      <c r="F1708" s="16" t="inlineStr">
        <is>
          <t>Editor open; endpoint configured.</t>
        </is>
      </c>
      <c r="G1708" s="16" t="inlineStr">
        <is>
          <t>1. PUT to endpoint that returns 405.
2. Inspect response panel.</t>
        </is>
      </c>
      <c r="H1708" s="16" t="inlineStr">
        <is>
          <t>status=405 method=PUT</t>
        </is>
      </c>
      <c r="I1708" s="16" t="inlineStr">
        <is>
          <t>Response panel shows status 405 with appropriate badge color (2xx green, 3xx blue, 4xx orange, 5xx red); body and headers rendered. History entry records correctly.</t>
        </is>
      </c>
      <c r="J1708" s="16" t="inlineStr"/>
      <c r="K1708" s="16" t="inlineStr">
        <is>
          <t>Not Run</t>
        </is>
      </c>
      <c r="L1708" s="16" t="inlineStr">
        <is>
          <t>Low</t>
        </is>
      </c>
      <c r="M1708" s="16" t="inlineStr"/>
      <c r="N1708" s="16" t="inlineStr"/>
      <c r="O1708" s="16" t="inlineStr"/>
    </row>
    <row r="1709" ht="72" customHeight="1">
      <c r="A1709" s="16" t="inlineStr">
        <is>
          <t>TC-RP-0074</t>
        </is>
      </c>
      <c r="B1709" s="16" t="inlineStr">
        <is>
          <t>Response Panel</t>
        </is>
      </c>
      <c r="C1709" s="16" t="inlineStr">
        <is>
          <t>Status Matrix</t>
        </is>
      </c>
      <c r="D1709" s="16" t="inlineStr">
        <is>
          <t>Functional</t>
        </is>
      </c>
      <c r="E1709" s="16" t="inlineStr">
        <is>
          <t>Response 405 (Method Not Allowed) for DELETE</t>
        </is>
      </c>
      <c r="F1709" s="16" t="inlineStr">
        <is>
          <t>Editor open; endpoint configured.</t>
        </is>
      </c>
      <c r="G1709" s="16" t="inlineStr">
        <is>
          <t>1. DELETE to endpoint that returns 405.
2. Inspect response panel.</t>
        </is>
      </c>
      <c r="H1709" s="16" t="inlineStr">
        <is>
          <t>status=405 method=DELETE</t>
        </is>
      </c>
      <c r="I1709" s="16" t="inlineStr">
        <is>
          <t>Response panel shows status 405 with appropriate badge color (2xx green, 3xx blue, 4xx orange, 5xx red); body and headers rendered. History entry records correctly.</t>
        </is>
      </c>
      <c r="J1709" s="16" t="inlineStr"/>
      <c r="K1709" s="16" t="inlineStr">
        <is>
          <t>Not Run</t>
        </is>
      </c>
      <c r="L1709" s="16" t="inlineStr">
        <is>
          <t>Low</t>
        </is>
      </c>
      <c r="M1709" s="16" t="inlineStr"/>
      <c r="N1709" s="16" t="inlineStr"/>
      <c r="O1709" s="16" t="inlineStr"/>
    </row>
    <row r="1710" ht="72" customHeight="1">
      <c r="A1710" s="16" t="inlineStr">
        <is>
          <t>TC-RP-0075</t>
        </is>
      </c>
      <c r="B1710" s="16" t="inlineStr">
        <is>
          <t>Response Panel</t>
        </is>
      </c>
      <c r="C1710" s="16" t="inlineStr">
        <is>
          <t>Status Matrix</t>
        </is>
      </c>
      <c r="D1710" s="16" t="inlineStr">
        <is>
          <t>Functional</t>
        </is>
      </c>
      <c r="E1710" s="16" t="inlineStr">
        <is>
          <t>Response 409 (Conflict) for GET</t>
        </is>
      </c>
      <c r="F1710" s="16" t="inlineStr">
        <is>
          <t>Editor open; endpoint configured.</t>
        </is>
      </c>
      <c r="G1710" s="16" t="inlineStr">
        <is>
          <t>1. GET to endpoint that returns 409.
2. Inspect response panel.</t>
        </is>
      </c>
      <c r="H1710" s="16" t="inlineStr">
        <is>
          <t>status=409 method=GET</t>
        </is>
      </c>
      <c r="I1710" s="16" t="inlineStr">
        <is>
          <t>Response panel shows status 409 with appropriate badge color (2xx green, 3xx blue, 4xx orange, 5xx red); body and headers rendered. History entry records correctly.</t>
        </is>
      </c>
      <c r="J1710" s="16" t="inlineStr"/>
      <c r="K1710" s="16" t="inlineStr">
        <is>
          <t>Not Run</t>
        </is>
      </c>
      <c r="L1710" s="16" t="inlineStr">
        <is>
          <t>Low</t>
        </is>
      </c>
      <c r="M1710" s="16" t="inlineStr"/>
      <c r="N1710" s="16" t="inlineStr"/>
      <c r="O1710" s="16" t="inlineStr"/>
    </row>
    <row r="1711" ht="72" customHeight="1">
      <c r="A1711" s="16" t="inlineStr">
        <is>
          <t>TC-RP-0076</t>
        </is>
      </c>
      <c r="B1711" s="16" t="inlineStr">
        <is>
          <t>Response Panel</t>
        </is>
      </c>
      <c r="C1711" s="16" t="inlineStr">
        <is>
          <t>Status Matrix</t>
        </is>
      </c>
      <c r="D1711" s="16" t="inlineStr">
        <is>
          <t>Functional</t>
        </is>
      </c>
      <c r="E1711" s="16" t="inlineStr">
        <is>
          <t>Response 409 (Conflict) for POST</t>
        </is>
      </c>
      <c r="F1711" s="16" t="inlineStr">
        <is>
          <t>Editor open; endpoint configured.</t>
        </is>
      </c>
      <c r="G1711" s="16" t="inlineStr">
        <is>
          <t>1. POST to endpoint that returns 409.
2. Inspect response panel.</t>
        </is>
      </c>
      <c r="H1711" s="16" t="inlineStr">
        <is>
          <t>status=409 method=POST</t>
        </is>
      </c>
      <c r="I1711" s="16" t="inlineStr">
        <is>
          <t>Response panel shows status 409 with appropriate badge color (2xx green, 3xx blue, 4xx orange, 5xx red); body and headers rendered. History entry records correctly.</t>
        </is>
      </c>
      <c r="J1711" s="16" t="inlineStr"/>
      <c r="K1711" s="16" t="inlineStr">
        <is>
          <t>Not Run</t>
        </is>
      </c>
      <c r="L1711" s="16" t="inlineStr">
        <is>
          <t>Low</t>
        </is>
      </c>
      <c r="M1711" s="16" t="inlineStr"/>
      <c r="N1711" s="16" t="inlineStr"/>
      <c r="O1711" s="16" t="inlineStr"/>
    </row>
    <row r="1712" ht="72" customHeight="1">
      <c r="A1712" s="16" t="inlineStr">
        <is>
          <t>TC-RP-0077</t>
        </is>
      </c>
      <c r="B1712" s="16" t="inlineStr">
        <is>
          <t>Response Panel</t>
        </is>
      </c>
      <c r="C1712" s="16" t="inlineStr">
        <is>
          <t>Status Matrix</t>
        </is>
      </c>
      <c r="D1712" s="16" t="inlineStr">
        <is>
          <t>Functional</t>
        </is>
      </c>
      <c r="E1712" s="16" t="inlineStr">
        <is>
          <t>Response 409 (Conflict) for PUT</t>
        </is>
      </c>
      <c r="F1712" s="16" t="inlineStr">
        <is>
          <t>Editor open; endpoint configured.</t>
        </is>
      </c>
      <c r="G1712" s="16" t="inlineStr">
        <is>
          <t>1. PUT to endpoint that returns 409.
2. Inspect response panel.</t>
        </is>
      </c>
      <c r="H1712" s="16" t="inlineStr">
        <is>
          <t>status=409 method=PUT</t>
        </is>
      </c>
      <c r="I1712" s="16" t="inlineStr">
        <is>
          <t>Response panel shows status 409 with appropriate badge color (2xx green, 3xx blue, 4xx orange, 5xx red); body and headers rendered. History entry records correctly.</t>
        </is>
      </c>
      <c r="J1712" s="16" t="inlineStr"/>
      <c r="K1712" s="16" t="inlineStr">
        <is>
          <t>Not Run</t>
        </is>
      </c>
      <c r="L1712" s="16" t="inlineStr">
        <is>
          <t>Low</t>
        </is>
      </c>
      <c r="M1712" s="16" t="inlineStr"/>
      <c r="N1712" s="16" t="inlineStr"/>
      <c r="O1712" s="16" t="inlineStr"/>
    </row>
    <row r="1713" ht="72" customHeight="1">
      <c r="A1713" s="16" t="inlineStr">
        <is>
          <t>TC-RP-0078</t>
        </is>
      </c>
      <c r="B1713" s="16" t="inlineStr">
        <is>
          <t>Response Panel</t>
        </is>
      </c>
      <c r="C1713" s="16" t="inlineStr">
        <is>
          <t>Status Matrix</t>
        </is>
      </c>
      <c r="D1713" s="16" t="inlineStr">
        <is>
          <t>Functional</t>
        </is>
      </c>
      <c r="E1713" s="16" t="inlineStr">
        <is>
          <t>Response 409 (Conflict) for DELETE</t>
        </is>
      </c>
      <c r="F1713" s="16" t="inlineStr">
        <is>
          <t>Editor open; endpoint configured.</t>
        </is>
      </c>
      <c r="G1713" s="16" t="inlineStr">
        <is>
          <t>1. DELETE to endpoint that returns 409.
2. Inspect response panel.</t>
        </is>
      </c>
      <c r="H1713" s="16" t="inlineStr">
        <is>
          <t>status=409 method=DELETE</t>
        </is>
      </c>
      <c r="I1713" s="16" t="inlineStr">
        <is>
          <t>Response panel shows status 409 with appropriate badge color (2xx green, 3xx blue, 4xx orange, 5xx red); body and headers rendered. History entry records correctly.</t>
        </is>
      </c>
      <c r="J1713" s="16" t="inlineStr"/>
      <c r="K1713" s="16" t="inlineStr">
        <is>
          <t>Not Run</t>
        </is>
      </c>
      <c r="L1713" s="16" t="inlineStr">
        <is>
          <t>Low</t>
        </is>
      </c>
      <c r="M1713" s="16" t="inlineStr"/>
      <c r="N1713" s="16" t="inlineStr"/>
      <c r="O1713" s="16" t="inlineStr"/>
    </row>
    <row r="1714" ht="72" customHeight="1">
      <c r="A1714" s="16" t="inlineStr">
        <is>
          <t>TC-RP-0079</t>
        </is>
      </c>
      <c r="B1714" s="16" t="inlineStr">
        <is>
          <t>Response Panel</t>
        </is>
      </c>
      <c r="C1714" s="16" t="inlineStr">
        <is>
          <t>Status Matrix</t>
        </is>
      </c>
      <c r="D1714" s="16" t="inlineStr">
        <is>
          <t>Functional</t>
        </is>
      </c>
      <c r="E1714" s="16" t="inlineStr">
        <is>
          <t>Response 410 (Gone) for GET</t>
        </is>
      </c>
      <c r="F1714" s="16" t="inlineStr">
        <is>
          <t>Editor open; endpoint configured.</t>
        </is>
      </c>
      <c r="G1714" s="16" t="inlineStr">
        <is>
          <t>1. GET to endpoint that returns 410.
2. Inspect response panel.</t>
        </is>
      </c>
      <c r="H1714" s="16" t="inlineStr">
        <is>
          <t>status=410 method=GET</t>
        </is>
      </c>
      <c r="I1714" s="16" t="inlineStr">
        <is>
          <t>Response panel shows status 410 with appropriate badge color (2xx green, 3xx blue, 4xx orange, 5xx red); body and headers rendered. History entry records correctly.</t>
        </is>
      </c>
      <c r="J1714" s="16" t="inlineStr"/>
      <c r="K1714" s="16" t="inlineStr">
        <is>
          <t>Not Run</t>
        </is>
      </c>
      <c r="L1714" s="16" t="inlineStr">
        <is>
          <t>Low</t>
        </is>
      </c>
      <c r="M1714" s="16" t="inlineStr"/>
      <c r="N1714" s="16" t="inlineStr"/>
      <c r="O1714" s="16" t="inlineStr"/>
    </row>
    <row r="1715" ht="72" customHeight="1">
      <c r="A1715" s="16" t="inlineStr">
        <is>
          <t>TC-RP-0080</t>
        </is>
      </c>
      <c r="B1715" s="16" t="inlineStr">
        <is>
          <t>Response Panel</t>
        </is>
      </c>
      <c r="C1715" s="16" t="inlineStr">
        <is>
          <t>Status Matrix</t>
        </is>
      </c>
      <c r="D1715" s="16" t="inlineStr">
        <is>
          <t>Functional</t>
        </is>
      </c>
      <c r="E1715" s="16" t="inlineStr">
        <is>
          <t>Response 410 (Gone) for POST</t>
        </is>
      </c>
      <c r="F1715" s="16" t="inlineStr">
        <is>
          <t>Editor open; endpoint configured.</t>
        </is>
      </c>
      <c r="G1715" s="16" t="inlineStr">
        <is>
          <t>1. POST to endpoint that returns 410.
2. Inspect response panel.</t>
        </is>
      </c>
      <c r="H1715" s="16" t="inlineStr">
        <is>
          <t>status=410 method=POST</t>
        </is>
      </c>
      <c r="I1715" s="16" t="inlineStr">
        <is>
          <t>Response panel shows status 410 with appropriate badge color (2xx green, 3xx blue, 4xx orange, 5xx red); body and headers rendered. History entry records correctly.</t>
        </is>
      </c>
      <c r="J1715" s="16" t="inlineStr"/>
      <c r="K1715" s="16" t="inlineStr">
        <is>
          <t>Not Run</t>
        </is>
      </c>
      <c r="L1715" s="16" t="inlineStr">
        <is>
          <t>Low</t>
        </is>
      </c>
      <c r="M1715" s="16" t="inlineStr"/>
      <c r="N1715" s="16" t="inlineStr"/>
      <c r="O1715" s="16" t="inlineStr"/>
    </row>
    <row r="1716" ht="72" customHeight="1">
      <c r="A1716" s="16" t="inlineStr">
        <is>
          <t>TC-RP-0081</t>
        </is>
      </c>
      <c r="B1716" s="16" t="inlineStr">
        <is>
          <t>Response Panel</t>
        </is>
      </c>
      <c r="C1716" s="16" t="inlineStr">
        <is>
          <t>Status Matrix</t>
        </is>
      </c>
      <c r="D1716" s="16" t="inlineStr">
        <is>
          <t>Functional</t>
        </is>
      </c>
      <c r="E1716" s="16" t="inlineStr">
        <is>
          <t>Response 410 (Gone) for PUT</t>
        </is>
      </c>
      <c r="F1716" s="16" t="inlineStr">
        <is>
          <t>Editor open; endpoint configured.</t>
        </is>
      </c>
      <c r="G1716" s="16" t="inlineStr">
        <is>
          <t>1. PUT to endpoint that returns 410.
2. Inspect response panel.</t>
        </is>
      </c>
      <c r="H1716" s="16" t="inlineStr">
        <is>
          <t>status=410 method=PUT</t>
        </is>
      </c>
      <c r="I1716" s="16" t="inlineStr">
        <is>
          <t>Response panel shows status 410 with appropriate badge color (2xx green, 3xx blue, 4xx orange, 5xx red); body and headers rendered. History entry records correctly.</t>
        </is>
      </c>
      <c r="J1716" s="16" t="inlineStr"/>
      <c r="K1716" s="16" t="inlineStr">
        <is>
          <t>Not Run</t>
        </is>
      </c>
      <c r="L1716" s="16" t="inlineStr">
        <is>
          <t>Low</t>
        </is>
      </c>
      <c r="M1716" s="16" t="inlineStr"/>
      <c r="N1716" s="16" t="inlineStr"/>
      <c r="O1716" s="16" t="inlineStr"/>
    </row>
    <row r="1717" ht="72" customHeight="1">
      <c r="A1717" s="16" t="inlineStr">
        <is>
          <t>TC-RP-0082</t>
        </is>
      </c>
      <c r="B1717" s="16" t="inlineStr">
        <is>
          <t>Response Panel</t>
        </is>
      </c>
      <c r="C1717" s="16" t="inlineStr">
        <is>
          <t>Status Matrix</t>
        </is>
      </c>
      <c r="D1717" s="16" t="inlineStr">
        <is>
          <t>Functional</t>
        </is>
      </c>
      <c r="E1717" s="16" t="inlineStr">
        <is>
          <t>Response 410 (Gone) for DELETE</t>
        </is>
      </c>
      <c r="F1717" s="16" t="inlineStr">
        <is>
          <t>Editor open; endpoint configured.</t>
        </is>
      </c>
      <c r="G1717" s="16" t="inlineStr">
        <is>
          <t>1. DELETE to endpoint that returns 410.
2. Inspect response panel.</t>
        </is>
      </c>
      <c r="H1717" s="16" t="inlineStr">
        <is>
          <t>status=410 method=DELETE</t>
        </is>
      </c>
      <c r="I1717" s="16" t="inlineStr">
        <is>
          <t>Response panel shows status 410 with appropriate badge color (2xx green, 3xx blue, 4xx orange, 5xx red); body and headers rendered. History entry records correctly.</t>
        </is>
      </c>
      <c r="J1717" s="16" t="inlineStr"/>
      <c r="K1717" s="16" t="inlineStr">
        <is>
          <t>Not Run</t>
        </is>
      </c>
      <c r="L1717" s="16" t="inlineStr">
        <is>
          <t>Low</t>
        </is>
      </c>
      <c r="M1717" s="16" t="inlineStr"/>
      <c r="N1717" s="16" t="inlineStr"/>
      <c r="O1717" s="16" t="inlineStr"/>
    </row>
    <row r="1718" ht="72" customHeight="1">
      <c r="A1718" s="16" t="inlineStr">
        <is>
          <t>TC-RP-0083</t>
        </is>
      </c>
      <c r="B1718" s="16" t="inlineStr">
        <is>
          <t>Response Panel</t>
        </is>
      </c>
      <c r="C1718" s="16" t="inlineStr">
        <is>
          <t>Status Matrix</t>
        </is>
      </c>
      <c r="D1718" s="16" t="inlineStr">
        <is>
          <t>Functional</t>
        </is>
      </c>
      <c r="E1718" s="16" t="inlineStr">
        <is>
          <t>Response 418 (I'm a teapot) for GET</t>
        </is>
      </c>
      <c r="F1718" s="16" t="inlineStr">
        <is>
          <t>Editor open; endpoint configured.</t>
        </is>
      </c>
      <c r="G1718" s="16" t="inlineStr">
        <is>
          <t>1. GET to endpoint that returns 418.
2. Inspect response panel.</t>
        </is>
      </c>
      <c r="H1718" s="16" t="inlineStr">
        <is>
          <t>status=418 method=GET</t>
        </is>
      </c>
      <c r="I1718" s="16" t="inlineStr">
        <is>
          <t>Response panel shows status 418 with appropriate badge color (2xx green, 3xx blue, 4xx orange, 5xx red); body and headers rendered. History entry records correctly.</t>
        </is>
      </c>
      <c r="J1718" s="16" t="inlineStr"/>
      <c r="K1718" s="16" t="inlineStr">
        <is>
          <t>Not Run</t>
        </is>
      </c>
      <c r="L1718" s="16" t="inlineStr">
        <is>
          <t>Low</t>
        </is>
      </c>
      <c r="M1718" s="16" t="inlineStr"/>
      <c r="N1718" s="16" t="inlineStr"/>
      <c r="O1718" s="16" t="inlineStr"/>
    </row>
    <row r="1719" ht="72" customHeight="1">
      <c r="A1719" s="16" t="inlineStr">
        <is>
          <t>TC-RP-0084</t>
        </is>
      </c>
      <c r="B1719" s="16" t="inlineStr">
        <is>
          <t>Response Panel</t>
        </is>
      </c>
      <c r="C1719" s="16" t="inlineStr">
        <is>
          <t>Status Matrix</t>
        </is>
      </c>
      <c r="D1719" s="16" t="inlineStr">
        <is>
          <t>Functional</t>
        </is>
      </c>
      <c r="E1719" s="16" t="inlineStr">
        <is>
          <t>Response 418 (I'm a teapot) for POST</t>
        </is>
      </c>
      <c r="F1719" s="16" t="inlineStr">
        <is>
          <t>Editor open; endpoint configured.</t>
        </is>
      </c>
      <c r="G1719" s="16" t="inlineStr">
        <is>
          <t>1. POST to endpoint that returns 418.
2. Inspect response panel.</t>
        </is>
      </c>
      <c r="H1719" s="16" t="inlineStr">
        <is>
          <t>status=418 method=POST</t>
        </is>
      </c>
      <c r="I1719" s="16" t="inlineStr">
        <is>
          <t>Response panel shows status 418 with appropriate badge color (2xx green, 3xx blue, 4xx orange, 5xx red); body and headers rendered. History entry records correctly.</t>
        </is>
      </c>
      <c r="J1719" s="16" t="inlineStr"/>
      <c r="K1719" s="16" t="inlineStr">
        <is>
          <t>Not Run</t>
        </is>
      </c>
      <c r="L1719" s="16" t="inlineStr">
        <is>
          <t>Low</t>
        </is>
      </c>
      <c r="M1719" s="16" t="inlineStr"/>
      <c r="N1719" s="16" t="inlineStr"/>
      <c r="O1719" s="16" t="inlineStr"/>
    </row>
    <row r="1720" ht="72" customHeight="1">
      <c r="A1720" s="16" t="inlineStr">
        <is>
          <t>TC-RP-0085</t>
        </is>
      </c>
      <c r="B1720" s="16" t="inlineStr">
        <is>
          <t>Response Panel</t>
        </is>
      </c>
      <c r="C1720" s="16" t="inlineStr">
        <is>
          <t>Status Matrix</t>
        </is>
      </c>
      <c r="D1720" s="16" t="inlineStr">
        <is>
          <t>Functional</t>
        </is>
      </c>
      <c r="E1720" s="16" t="inlineStr">
        <is>
          <t>Response 418 (I'm a teapot) for PUT</t>
        </is>
      </c>
      <c r="F1720" s="16" t="inlineStr">
        <is>
          <t>Editor open; endpoint configured.</t>
        </is>
      </c>
      <c r="G1720" s="16" t="inlineStr">
        <is>
          <t>1. PUT to endpoint that returns 418.
2. Inspect response panel.</t>
        </is>
      </c>
      <c r="H1720" s="16" t="inlineStr">
        <is>
          <t>status=418 method=PUT</t>
        </is>
      </c>
      <c r="I1720" s="16" t="inlineStr">
        <is>
          <t>Response panel shows status 418 with appropriate badge color (2xx green, 3xx blue, 4xx orange, 5xx red); body and headers rendered. History entry records correctly.</t>
        </is>
      </c>
      <c r="J1720" s="16" t="inlineStr"/>
      <c r="K1720" s="16" t="inlineStr">
        <is>
          <t>Not Run</t>
        </is>
      </c>
      <c r="L1720" s="16" t="inlineStr">
        <is>
          <t>Low</t>
        </is>
      </c>
      <c r="M1720" s="16" t="inlineStr"/>
      <c r="N1720" s="16" t="inlineStr"/>
      <c r="O1720" s="16" t="inlineStr"/>
    </row>
    <row r="1721" ht="72" customHeight="1">
      <c r="A1721" s="16" t="inlineStr">
        <is>
          <t>TC-RP-0086</t>
        </is>
      </c>
      <c r="B1721" s="16" t="inlineStr">
        <is>
          <t>Response Panel</t>
        </is>
      </c>
      <c r="C1721" s="16" t="inlineStr">
        <is>
          <t>Status Matrix</t>
        </is>
      </c>
      <c r="D1721" s="16" t="inlineStr">
        <is>
          <t>Functional</t>
        </is>
      </c>
      <c r="E1721" s="16" t="inlineStr">
        <is>
          <t>Response 418 (I'm a teapot) for DELETE</t>
        </is>
      </c>
      <c r="F1721" s="16" t="inlineStr">
        <is>
          <t>Editor open; endpoint configured.</t>
        </is>
      </c>
      <c r="G1721" s="16" t="inlineStr">
        <is>
          <t>1. DELETE to endpoint that returns 418.
2. Inspect response panel.</t>
        </is>
      </c>
      <c r="H1721" s="16" t="inlineStr">
        <is>
          <t>status=418 method=DELETE</t>
        </is>
      </c>
      <c r="I1721" s="16" t="inlineStr">
        <is>
          <t>Response panel shows status 418 with appropriate badge color (2xx green, 3xx blue, 4xx orange, 5xx red); body and headers rendered. History entry records correctly.</t>
        </is>
      </c>
      <c r="J1721" s="16" t="inlineStr"/>
      <c r="K1721" s="16" t="inlineStr">
        <is>
          <t>Not Run</t>
        </is>
      </c>
      <c r="L1721" s="16" t="inlineStr">
        <is>
          <t>Low</t>
        </is>
      </c>
      <c r="M1721" s="16" t="inlineStr"/>
      <c r="N1721" s="16" t="inlineStr"/>
      <c r="O1721" s="16" t="inlineStr"/>
    </row>
    <row r="1722" ht="72" customHeight="1">
      <c r="A1722" s="16" t="inlineStr">
        <is>
          <t>TC-RP-0087</t>
        </is>
      </c>
      <c r="B1722" s="16" t="inlineStr">
        <is>
          <t>Response Panel</t>
        </is>
      </c>
      <c r="C1722" s="16" t="inlineStr">
        <is>
          <t>Status Matrix</t>
        </is>
      </c>
      <c r="D1722" s="16" t="inlineStr">
        <is>
          <t>Functional</t>
        </is>
      </c>
      <c r="E1722" s="16" t="inlineStr">
        <is>
          <t>Response 422 (Unprocessable Entity) for GET</t>
        </is>
      </c>
      <c r="F1722" s="16" t="inlineStr">
        <is>
          <t>Editor open; endpoint configured.</t>
        </is>
      </c>
      <c r="G1722" s="16" t="inlineStr">
        <is>
          <t>1. GET to endpoint that returns 422.
2. Inspect response panel.</t>
        </is>
      </c>
      <c r="H1722" s="16" t="inlineStr">
        <is>
          <t>status=422 method=GET</t>
        </is>
      </c>
      <c r="I1722" s="16" t="inlineStr">
        <is>
          <t>Response panel shows status 422 with appropriate badge color (2xx green, 3xx blue, 4xx orange, 5xx red); body and headers rendered. History entry records correctly.</t>
        </is>
      </c>
      <c r="J1722" s="16" t="inlineStr"/>
      <c r="K1722" s="16" t="inlineStr">
        <is>
          <t>Not Run</t>
        </is>
      </c>
      <c r="L1722" s="16" t="inlineStr">
        <is>
          <t>Low</t>
        </is>
      </c>
      <c r="M1722" s="16" t="inlineStr"/>
      <c r="N1722" s="16" t="inlineStr"/>
      <c r="O1722" s="16" t="inlineStr"/>
    </row>
    <row r="1723" ht="72" customHeight="1">
      <c r="A1723" s="16" t="inlineStr">
        <is>
          <t>TC-RP-0088</t>
        </is>
      </c>
      <c r="B1723" s="16" t="inlineStr">
        <is>
          <t>Response Panel</t>
        </is>
      </c>
      <c r="C1723" s="16" t="inlineStr">
        <is>
          <t>Status Matrix</t>
        </is>
      </c>
      <c r="D1723" s="16" t="inlineStr">
        <is>
          <t>Functional</t>
        </is>
      </c>
      <c r="E1723" s="16" t="inlineStr">
        <is>
          <t>Response 422 (Unprocessable Entity) for POST</t>
        </is>
      </c>
      <c r="F1723" s="16" t="inlineStr">
        <is>
          <t>Editor open; endpoint configured.</t>
        </is>
      </c>
      <c r="G1723" s="16" t="inlineStr">
        <is>
          <t>1. POST to endpoint that returns 422.
2. Inspect response panel.</t>
        </is>
      </c>
      <c r="H1723" s="16" t="inlineStr">
        <is>
          <t>status=422 method=POST</t>
        </is>
      </c>
      <c r="I1723" s="16" t="inlineStr">
        <is>
          <t>Response panel shows status 422 with appropriate badge color (2xx green, 3xx blue, 4xx orange, 5xx red); body and headers rendered. History entry records correctly.</t>
        </is>
      </c>
      <c r="J1723" s="16" t="inlineStr"/>
      <c r="K1723" s="16" t="inlineStr">
        <is>
          <t>Not Run</t>
        </is>
      </c>
      <c r="L1723" s="16" t="inlineStr">
        <is>
          <t>Low</t>
        </is>
      </c>
      <c r="M1723" s="16" t="inlineStr"/>
      <c r="N1723" s="16" t="inlineStr"/>
      <c r="O1723" s="16" t="inlineStr"/>
    </row>
    <row r="1724" ht="72" customHeight="1">
      <c r="A1724" s="16" t="inlineStr">
        <is>
          <t>TC-RP-0089</t>
        </is>
      </c>
      <c r="B1724" s="16" t="inlineStr">
        <is>
          <t>Response Panel</t>
        </is>
      </c>
      <c r="C1724" s="16" t="inlineStr">
        <is>
          <t>Status Matrix</t>
        </is>
      </c>
      <c r="D1724" s="16" t="inlineStr">
        <is>
          <t>Functional</t>
        </is>
      </c>
      <c r="E1724" s="16" t="inlineStr">
        <is>
          <t>Response 422 (Unprocessable Entity) for PUT</t>
        </is>
      </c>
      <c r="F1724" s="16" t="inlineStr">
        <is>
          <t>Editor open; endpoint configured.</t>
        </is>
      </c>
      <c r="G1724" s="16" t="inlineStr">
        <is>
          <t>1. PUT to endpoint that returns 422.
2. Inspect response panel.</t>
        </is>
      </c>
      <c r="H1724" s="16" t="inlineStr">
        <is>
          <t>status=422 method=PUT</t>
        </is>
      </c>
      <c r="I1724" s="16" t="inlineStr">
        <is>
          <t>Response panel shows status 422 with appropriate badge color (2xx green, 3xx blue, 4xx orange, 5xx red); body and headers rendered. History entry records correctly.</t>
        </is>
      </c>
      <c r="J1724" s="16" t="inlineStr"/>
      <c r="K1724" s="16" t="inlineStr">
        <is>
          <t>Not Run</t>
        </is>
      </c>
      <c r="L1724" s="16" t="inlineStr">
        <is>
          <t>Low</t>
        </is>
      </c>
      <c r="M1724" s="16" t="inlineStr"/>
      <c r="N1724" s="16" t="inlineStr"/>
      <c r="O1724" s="16" t="inlineStr"/>
    </row>
    <row r="1725" ht="72" customHeight="1">
      <c r="A1725" s="16" t="inlineStr">
        <is>
          <t>TC-RP-0090</t>
        </is>
      </c>
      <c r="B1725" s="16" t="inlineStr">
        <is>
          <t>Response Panel</t>
        </is>
      </c>
      <c r="C1725" s="16" t="inlineStr">
        <is>
          <t>Status Matrix</t>
        </is>
      </c>
      <c r="D1725" s="16" t="inlineStr">
        <is>
          <t>Functional</t>
        </is>
      </c>
      <c r="E1725" s="16" t="inlineStr">
        <is>
          <t>Response 422 (Unprocessable Entity) for DELETE</t>
        </is>
      </c>
      <c r="F1725" s="16" t="inlineStr">
        <is>
          <t>Editor open; endpoint configured.</t>
        </is>
      </c>
      <c r="G1725" s="16" t="inlineStr">
        <is>
          <t>1. DELETE to endpoint that returns 422.
2. Inspect response panel.</t>
        </is>
      </c>
      <c r="H1725" s="16" t="inlineStr">
        <is>
          <t>status=422 method=DELETE</t>
        </is>
      </c>
      <c r="I1725" s="16" t="inlineStr">
        <is>
          <t>Response panel shows status 422 with appropriate badge color (2xx green, 3xx blue, 4xx orange, 5xx red); body and headers rendered. History entry records correctly.</t>
        </is>
      </c>
      <c r="J1725" s="16" t="inlineStr"/>
      <c r="K1725" s="16" t="inlineStr">
        <is>
          <t>Not Run</t>
        </is>
      </c>
      <c r="L1725" s="16" t="inlineStr">
        <is>
          <t>Low</t>
        </is>
      </c>
      <c r="M1725" s="16" t="inlineStr"/>
      <c r="N1725" s="16" t="inlineStr"/>
      <c r="O1725" s="16" t="inlineStr"/>
    </row>
    <row r="1726" ht="72" customHeight="1">
      <c r="A1726" s="16" t="inlineStr">
        <is>
          <t>TC-RP-0091</t>
        </is>
      </c>
      <c r="B1726" s="16" t="inlineStr">
        <is>
          <t>Response Panel</t>
        </is>
      </c>
      <c r="C1726" s="16" t="inlineStr">
        <is>
          <t>Status Matrix</t>
        </is>
      </c>
      <c r="D1726" s="16" t="inlineStr">
        <is>
          <t>Functional</t>
        </is>
      </c>
      <c r="E1726" s="16" t="inlineStr">
        <is>
          <t>Response 429 (Too Many Requests) for GET</t>
        </is>
      </c>
      <c r="F1726" s="16" t="inlineStr">
        <is>
          <t>Editor open; endpoint configured.</t>
        </is>
      </c>
      <c r="G1726" s="16" t="inlineStr">
        <is>
          <t>1. GET to endpoint that returns 429.
2. Inspect response panel.</t>
        </is>
      </c>
      <c r="H1726" s="16" t="inlineStr">
        <is>
          <t>status=429 method=GET</t>
        </is>
      </c>
      <c r="I1726" s="16" t="inlineStr">
        <is>
          <t>Response panel shows status 429 with appropriate badge color (2xx green, 3xx blue, 4xx orange, 5xx red); body and headers rendered. History entry records correctly.</t>
        </is>
      </c>
      <c r="J1726" s="16" t="inlineStr"/>
      <c r="K1726" s="16" t="inlineStr">
        <is>
          <t>Not Run</t>
        </is>
      </c>
      <c r="L1726" s="16" t="inlineStr">
        <is>
          <t>Low</t>
        </is>
      </c>
      <c r="M1726" s="16" t="inlineStr"/>
      <c r="N1726" s="16" t="inlineStr"/>
      <c r="O1726" s="16" t="inlineStr"/>
    </row>
    <row r="1727" ht="72" customHeight="1">
      <c r="A1727" s="16" t="inlineStr">
        <is>
          <t>TC-RP-0092</t>
        </is>
      </c>
      <c r="B1727" s="16" t="inlineStr">
        <is>
          <t>Response Panel</t>
        </is>
      </c>
      <c r="C1727" s="16" t="inlineStr">
        <is>
          <t>Status Matrix</t>
        </is>
      </c>
      <c r="D1727" s="16" t="inlineStr">
        <is>
          <t>Functional</t>
        </is>
      </c>
      <c r="E1727" s="16" t="inlineStr">
        <is>
          <t>Response 429 (Too Many Requests) for POST</t>
        </is>
      </c>
      <c r="F1727" s="16" t="inlineStr">
        <is>
          <t>Editor open; endpoint configured.</t>
        </is>
      </c>
      <c r="G1727" s="16" t="inlineStr">
        <is>
          <t>1. POST to endpoint that returns 429.
2. Inspect response panel.</t>
        </is>
      </c>
      <c r="H1727" s="16" t="inlineStr">
        <is>
          <t>status=429 method=POST</t>
        </is>
      </c>
      <c r="I1727" s="16" t="inlineStr">
        <is>
          <t>Response panel shows status 429 with appropriate badge color (2xx green, 3xx blue, 4xx orange, 5xx red); body and headers rendered. History entry records correctly.</t>
        </is>
      </c>
      <c r="J1727" s="16" t="inlineStr"/>
      <c r="K1727" s="16" t="inlineStr">
        <is>
          <t>Not Run</t>
        </is>
      </c>
      <c r="L1727" s="16" t="inlineStr">
        <is>
          <t>Low</t>
        </is>
      </c>
      <c r="M1727" s="16" t="inlineStr"/>
      <c r="N1727" s="16" t="inlineStr"/>
      <c r="O1727" s="16" t="inlineStr"/>
    </row>
    <row r="1728" ht="72" customHeight="1">
      <c r="A1728" s="16" t="inlineStr">
        <is>
          <t>TC-RP-0093</t>
        </is>
      </c>
      <c r="B1728" s="16" t="inlineStr">
        <is>
          <t>Response Panel</t>
        </is>
      </c>
      <c r="C1728" s="16" t="inlineStr">
        <is>
          <t>Status Matrix</t>
        </is>
      </c>
      <c r="D1728" s="16" t="inlineStr">
        <is>
          <t>Functional</t>
        </is>
      </c>
      <c r="E1728" s="16" t="inlineStr">
        <is>
          <t>Response 429 (Too Many Requests) for PUT</t>
        </is>
      </c>
      <c r="F1728" s="16" t="inlineStr">
        <is>
          <t>Editor open; endpoint configured.</t>
        </is>
      </c>
      <c r="G1728" s="16" t="inlineStr">
        <is>
          <t>1. PUT to endpoint that returns 429.
2. Inspect response panel.</t>
        </is>
      </c>
      <c r="H1728" s="16" t="inlineStr">
        <is>
          <t>status=429 method=PUT</t>
        </is>
      </c>
      <c r="I1728" s="16" t="inlineStr">
        <is>
          <t>Response panel shows status 429 with appropriate badge color (2xx green, 3xx blue, 4xx orange, 5xx red); body and headers rendered. History entry records correctly.</t>
        </is>
      </c>
      <c r="J1728" s="16" t="inlineStr"/>
      <c r="K1728" s="16" t="inlineStr">
        <is>
          <t>Not Run</t>
        </is>
      </c>
      <c r="L1728" s="16" t="inlineStr">
        <is>
          <t>Low</t>
        </is>
      </c>
      <c r="M1728" s="16" t="inlineStr"/>
      <c r="N1728" s="16" t="inlineStr"/>
      <c r="O1728" s="16" t="inlineStr"/>
    </row>
    <row r="1729" ht="72" customHeight="1">
      <c r="A1729" s="16" t="inlineStr">
        <is>
          <t>TC-RP-0094</t>
        </is>
      </c>
      <c r="B1729" s="16" t="inlineStr">
        <is>
          <t>Response Panel</t>
        </is>
      </c>
      <c r="C1729" s="16" t="inlineStr">
        <is>
          <t>Status Matrix</t>
        </is>
      </c>
      <c r="D1729" s="16" t="inlineStr">
        <is>
          <t>Functional</t>
        </is>
      </c>
      <c r="E1729" s="16" t="inlineStr">
        <is>
          <t>Response 429 (Too Many Requests) for DELETE</t>
        </is>
      </c>
      <c r="F1729" s="16" t="inlineStr">
        <is>
          <t>Editor open; endpoint configured.</t>
        </is>
      </c>
      <c r="G1729" s="16" t="inlineStr">
        <is>
          <t>1. DELETE to endpoint that returns 429.
2. Inspect response panel.</t>
        </is>
      </c>
      <c r="H1729" s="16" t="inlineStr">
        <is>
          <t>status=429 method=DELETE</t>
        </is>
      </c>
      <c r="I1729" s="16" t="inlineStr">
        <is>
          <t>Response panel shows status 429 with appropriate badge color (2xx green, 3xx blue, 4xx orange, 5xx red); body and headers rendered. History entry records correctly.</t>
        </is>
      </c>
      <c r="J1729" s="16" t="inlineStr"/>
      <c r="K1729" s="16" t="inlineStr">
        <is>
          <t>Not Run</t>
        </is>
      </c>
      <c r="L1729" s="16" t="inlineStr">
        <is>
          <t>Low</t>
        </is>
      </c>
      <c r="M1729" s="16" t="inlineStr"/>
      <c r="N1729" s="16" t="inlineStr"/>
      <c r="O1729" s="16" t="inlineStr"/>
    </row>
    <row r="1730" ht="72" customHeight="1">
      <c r="A1730" s="16" t="inlineStr">
        <is>
          <t>TC-RP-0095</t>
        </is>
      </c>
      <c r="B1730" s="16" t="inlineStr">
        <is>
          <t>Response Panel</t>
        </is>
      </c>
      <c r="C1730" s="16" t="inlineStr">
        <is>
          <t>Status Matrix</t>
        </is>
      </c>
      <c r="D1730" s="16" t="inlineStr">
        <is>
          <t>Functional</t>
        </is>
      </c>
      <c r="E1730" s="16" t="inlineStr">
        <is>
          <t>Response 500 (Internal Server Error) for GET</t>
        </is>
      </c>
      <c r="F1730" s="16" t="inlineStr">
        <is>
          <t>Editor open; endpoint configured.</t>
        </is>
      </c>
      <c r="G1730" s="16" t="inlineStr">
        <is>
          <t>1. GET to endpoint that returns 500.
2. Inspect response panel.</t>
        </is>
      </c>
      <c r="H1730" s="16" t="inlineStr">
        <is>
          <t>status=500 method=GET</t>
        </is>
      </c>
      <c r="I1730" s="16" t="inlineStr">
        <is>
          <t>Response panel shows status 500 with appropriate badge color (2xx green, 3xx blue, 4xx orange, 5xx red); body and headers rendered. History entry records correctly.</t>
        </is>
      </c>
      <c r="J1730" s="16" t="inlineStr"/>
      <c r="K1730" s="16" t="inlineStr">
        <is>
          <t>Not Run</t>
        </is>
      </c>
      <c r="L1730" s="16" t="inlineStr">
        <is>
          <t>Medium</t>
        </is>
      </c>
      <c r="M1730" s="16" t="inlineStr"/>
      <c r="N1730" s="16" t="inlineStr"/>
      <c r="O1730" s="16" t="inlineStr"/>
    </row>
    <row r="1731" ht="72" customHeight="1">
      <c r="A1731" s="16" t="inlineStr">
        <is>
          <t>TC-RP-0096</t>
        </is>
      </c>
      <c r="B1731" s="16" t="inlineStr">
        <is>
          <t>Response Panel</t>
        </is>
      </c>
      <c r="C1731" s="16" t="inlineStr">
        <is>
          <t>Status Matrix</t>
        </is>
      </c>
      <c r="D1731" s="16" t="inlineStr">
        <is>
          <t>Functional</t>
        </is>
      </c>
      <c r="E1731" s="16" t="inlineStr">
        <is>
          <t>Response 500 (Internal Server Error) for POST</t>
        </is>
      </c>
      <c r="F1731" s="16" t="inlineStr">
        <is>
          <t>Editor open; endpoint configured.</t>
        </is>
      </c>
      <c r="G1731" s="16" t="inlineStr">
        <is>
          <t>1. POST to endpoint that returns 500.
2. Inspect response panel.</t>
        </is>
      </c>
      <c r="H1731" s="16" t="inlineStr">
        <is>
          <t>status=500 method=POST</t>
        </is>
      </c>
      <c r="I1731" s="16" t="inlineStr">
        <is>
          <t>Response panel shows status 500 with appropriate badge color (2xx green, 3xx blue, 4xx orange, 5xx red); body and headers rendered. History entry records correctly.</t>
        </is>
      </c>
      <c r="J1731" s="16" t="inlineStr"/>
      <c r="K1731" s="16" t="inlineStr">
        <is>
          <t>Not Run</t>
        </is>
      </c>
      <c r="L1731" s="16" t="inlineStr">
        <is>
          <t>Medium</t>
        </is>
      </c>
      <c r="M1731" s="16" t="inlineStr"/>
      <c r="N1731" s="16" t="inlineStr"/>
      <c r="O1731" s="16" t="inlineStr"/>
    </row>
    <row r="1732" ht="72" customHeight="1">
      <c r="A1732" s="16" t="inlineStr">
        <is>
          <t>TC-RP-0097</t>
        </is>
      </c>
      <c r="B1732" s="16" t="inlineStr">
        <is>
          <t>Response Panel</t>
        </is>
      </c>
      <c r="C1732" s="16" t="inlineStr">
        <is>
          <t>Status Matrix</t>
        </is>
      </c>
      <c r="D1732" s="16" t="inlineStr">
        <is>
          <t>Functional</t>
        </is>
      </c>
      <c r="E1732" s="16" t="inlineStr">
        <is>
          <t>Response 500 (Internal Server Error) for PUT</t>
        </is>
      </c>
      <c r="F1732" s="16" t="inlineStr">
        <is>
          <t>Editor open; endpoint configured.</t>
        </is>
      </c>
      <c r="G1732" s="16" t="inlineStr">
        <is>
          <t>1. PUT to endpoint that returns 500.
2. Inspect response panel.</t>
        </is>
      </c>
      <c r="H1732" s="16" t="inlineStr">
        <is>
          <t>status=500 method=PUT</t>
        </is>
      </c>
      <c r="I1732" s="16" t="inlineStr">
        <is>
          <t>Response panel shows status 500 with appropriate badge color (2xx green, 3xx blue, 4xx orange, 5xx red); body and headers rendered. History entry records correctly.</t>
        </is>
      </c>
      <c r="J1732" s="16" t="inlineStr"/>
      <c r="K1732" s="16" t="inlineStr">
        <is>
          <t>Not Run</t>
        </is>
      </c>
      <c r="L1732" s="16" t="inlineStr">
        <is>
          <t>Medium</t>
        </is>
      </c>
      <c r="M1732" s="16" t="inlineStr"/>
      <c r="N1732" s="16" t="inlineStr"/>
      <c r="O1732" s="16" t="inlineStr"/>
    </row>
    <row r="1733" ht="72" customHeight="1">
      <c r="A1733" s="16" t="inlineStr">
        <is>
          <t>TC-RP-0098</t>
        </is>
      </c>
      <c r="B1733" s="16" t="inlineStr">
        <is>
          <t>Response Panel</t>
        </is>
      </c>
      <c r="C1733" s="16" t="inlineStr">
        <is>
          <t>Status Matrix</t>
        </is>
      </c>
      <c r="D1733" s="16" t="inlineStr">
        <is>
          <t>Functional</t>
        </is>
      </c>
      <c r="E1733" s="16" t="inlineStr">
        <is>
          <t>Response 500 (Internal Server Error) for DELETE</t>
        </is>
      </c>
      <c r="F1733" s="16" t="inlineStr">
        <is>
          <t>Editor open; endpoint configured.</t>
        </is>
      </c>
      <c r="G1733" s="16" t="inlineStr">
        <is>
          <t>1. DELETE to endpoint that returns 500.
2. Inspect response panel.</t>
        </is>
      </c>
      <c r="H1733" s="16" t="inlineStr">
        <is>
          <t>status=500 method=DELETE</t>
        </is>
      </c>
      <c r="I1733" s="16" t="inlineStr">
        <is>
          <t>Response panel shows status 500 with appropriate badge color (2xx green, 3xx blue, 4xx orange, 5xx red); body and headers rendered. History entry records correctly.</t>
        </is>
      </c>
      <c r="J1733" s="16" t="inlineStr"/>
      <c r="K1733" s="16" t="inlineStr">
        <is>
          <t>Not Run</t>
        </is>
      </c>
      <c r="L1733" s="16" t="inlineStr">
        <is>
          <t>Medium</t>
        </is>
      </c>
      <c r="M1733" s="16" t="inlineStr"/>
      <c r="N1733" s="16" t="inlineStr"/>
      <c r="O1733" s="16" t="inlineStr"/>
    </row>
    <row r="1734" ht="72" customHeight="1">
      <c r="A1734" s="16" t="inlineStr">
        <is>
          <t>TC-RP-0099</t>
        </is>
      </c>
      <c r="B1734" s="16" t="inlineStr">
        <is>
          <t>Response Panel</t>
        </is>
      </c>
      <c r="C1734" s="16" t="inlineStr">
        <is>
          <t>Status Matrix</t>
        </is>
      </c>
      <c r="D1734" s="16" t="inlineStr">
        <is>
          <t>Functional</t>
        </is>
      </c>
      <c r="E1734" s="16" t="inlineStr">
        <is>
          <t>Response 501 (Not Implemented) for GET</t>
        </is>
      </c>
      <c r="F1734" s="16" t="inlineStr">
        <is>
          <t>Editor open; endpoint configured.</t>
        </is>
      </c>
      <c r="G1734" s="16" t="inlineStr">
        <is>
          <t>1. GET to endpoint that returns 501.
2. Inspect response panel.</t>
        </is>
      </c>
      <c r="H1734" s="16" t="inlineStr">
        <is>
          <t>status=501 method=GET</t>
        </is>
      </c>
      <c r="I1734" s="16" t="inlineStr">
        <is>
          <t>Response panel shows status 501 with appropriate badge color (2xx green, 3xx blue, 4xx orange, 5xx red); body and headers rendered. History entry records correctly.</t>
        </is>
      </c>
      <c r="J1734" s="16" t="inlineStr"/>
      <c r="K1734" s="16" t="inlineStr">
        <is>
          <t>Not Run</t>
        </is>
      </c>
      <c r="L1734" s="16" t="inlineStr">
        <is>
          <t>Low</t>
        </is>
      </c>
      <c r="M1734" s="16" t="inlineStr"/>
      <c r="N1734" s="16" t="inlineStr"/>
      <c r="O1734" s="16" t="inlineStr"/>
    </row>
    <row r="1735" ht="72" customHeight="1">
      <c r="A1735" s="16" t="inlineStr">
        <is>
          <t>TC-RP-0100</t>
        </is>
      </c>
      <c r="B1735" s="16" t="inlineStr">
        <is>
          <t>Response Panel</t>
        </is>
      </c>
      <c r="C1735" s="16" t="inlineStr">
        <is>
          <t>Status Matrix</t>
        </is>
      </c>
      <c r="D1735" s="16" t="inlineStr">
        <is>
          <t>Functional</t>
        </is>
      </c>
      <c r="E1735" s="16" t="inlineStr">
        <is>
          <t>Response 501 (Not Implemented) for POST</t>
        </is>
      </c>
      <c r="F1735" s="16" t="inlineStr">
        <is>
          <t>Editor open; endpoint configured.</t>
        </is>
      </c>
      <c r="G1735" s="16" t="inlineStr">
        <is>
          <t>1. POST to endpoint that returns 501.
2. Inspect response panel.</t>
        </is>
      </c>
      <c r="H1735" s="16" t="inlineStr">
        <is>
          <t>status=501 method=POST</t>
        </is>
      </c>
      <c r="I1735" s="16" t="inlineStr">
        <is>
          <t>Response panel shows status 501 with appropriate badge color (2xx green, 3xx blue, 4xx orange, 5xx red); body and headers rendered. History entry records correctly.</t>
        </is>
      </c>
      <c r="J1735" s="16" t="inlineStr"/>
      <c r="K1735" s="16" t="inlineStr">
        <is>
          <t>Not Run</t>
        </is>
      </c>
      <c r="L1735" s="16" t="inlineStr">
        <is>
          <t>Low</t>
        </is>
      </c>
      <c r="M1735" s="16" t="inlineStr"/>
      <c r="N1735" s="16" t="inlineStr"/>
      <c r="O1735" s="16" t="inlineStr"/>
    </row>
    <row r="1736" ht="72" customHeight="1">
      <c r="A1736" s="16" t="inlineStr">
        <is>
          <t>TC-RP-0101</t>
        </is>
      </c>
      <c r="B1736" s="16" t="inlineStr">
        <is>
          <t>Response Panel</t>
        </is>
      </c>
      <c r="C1736" s="16" t="inlineStr">
        <is>
          <t>Status Matrix</t>
        </is>
      </c>
      <c r="D1736" s="16" t="inlineStr">
        <is>
          <t>Functional</t>
        </is>
      </c>
      <c r="E1736" s="16" t="inlineStr">
        <is>
          <t>Response 501 (Not Implemented) for PUT</t>
        </is>
      </c>
      <c r="F1736" s="16" t="inlineStr">
        <is>
          <t>Editor open; endpoint configured.</t>
        </is>
      </c>
      <c r="G1736" s="16" t="inlineStr">
        <is>
          <t>1. PUT to endpoint that returns 501.
2. Inspect response panel.</t>
        </is>
      </c>
      <c r="H1736" s="16" t="inlineStr">
        <is>
          <t>status=501 method=PUT</t>
        </is>
      </c>
      <c r="I1736" s="16" t="inlineStr">
        <is>
          <t>Response panel shows status 501 with appropriate badge color (2xx green, 3xx blue, 4xx orange, 5xx red); body and headers rendered. History entry records correctly.</t>
        </is>
      </c>
      <c r="J1736" s="16" t="inlineStr"/>
      <c r="K1736" s="16" t="inlineStr">
        <is>
          <t>Not Run</t>
        </is>
      </c>
      <c r="L1736" s="16" t="inlineStr">
        <is>
          <t>Low</t>
        </is>
      </c>
      <c r="M1736" s="16" t="inlineStr"/>
      <c r="N1736" s="16" t="inlineStr"/>
      <c r="O1736" s="16" t="inlineStr"/>
    </row>
    <row r="1737" ht="72" customHeight="1">
      <c r="A1737" s="16" t="inlineStr">
        <is>
          <t>TC-RP-0102</t>
        </is>
      </c>
      <c r="B1737" s="16" t="inlineStr">
        <is>
          <t>Response Panel</t>
        </is>
      </c>
      <c r="C1737" s="16" t="inlineStr">
        <is>
          <t>Status Matrix</t>
        </is>
      </c>
      <c r="D1737" s="16" t="inlineStr">
        <is>
          <t>Functional</t>
        </is>
      </c>
      <c r="E1737" s="16" t="inlineStr">
        <is>
          <t>Response 501 (Not Implemented) for DELETE</t>
        </is>
      </c>
      <c r="F1737" s="16" t="inlineStr">
        <is>
          <t>Editor open; endpoint configured.</t>
        </is>
      </c>
      <c r="G1737" s="16" t="inlineStr">
        <is>
          <t>1. DELETE to endpoint that returns 501.
2. Inspect response panel.</t>
        </is>
      </c>
      <c r="H1737" s="16" t="inlineStr">
        <is>
          <t>status=501 method=DELETE</t>
        </is>
      </c>
      <c r="I1737" s="16" t="inlineStr">
        <is>
          <t>Response panel shows status 501 with appropriate badge color (2xx green, 3xx blue, 4xx orange, 5xx red); body and headers rendered. History entry records correctly.</t>
        </is>
      </c>
      <c r="J1737" s="16" t="inlineStr"/>
      <c r="K1737" s="16" t="inlineStr">
        <is>
          <t>Not Run</t>
        </is>
      </c>
      <c r="L1737" s="16" t="inlineStr">
        <is>
          <t>Low</t>
        </is>
      </c>
      <c r="M1737" s="16" t="inlineStr"/>
      <c r="N1737" s="16" t="inlineStr"/>
      <c r="O1737" s="16" t="inlineStr"/>
    </row>
    <row r="1738" ht="72" customHeight="1">
      <c r="A1738" s="16" t="inlineStr">
        <is>
          <t>TC-RP-0103</t>
        </is>
      </c>
      <c r="B1738" s="16" t="inlineStr">
        <is>
          <t>Response Panel</t>
        </is>
      </c>
      <c r="C1738" s="16" t="inlineStr">
        <is>
          <t>Status Matrix</t>
        </is>
      </c>
      <c r="D1738" s="16" t="inlineStr">
        <is>
          <t>Functional</t>
        </is>
      </c>
      <c r="E1738" s="16" t="inlineStr">
        <is>
          <t>Response 502 (Bad Gateway) for GET</t>
        </is>
      </c>
      <c r="F1738" s="16" t="inlineStr">
        <is>
          <t>Editor open; endpoint configured.</t>
        </is>
      </c>
      <c r="G1738" s="16" t="inlineStr">
        <is>
          <t>1. GET to endpoint that returns 502.
2. Inspect response panel.</t>
        </is>
      </c>
      <c r="H1738" s="16" t="inlineStr">
        <is>
          <t>status=502 method=GET</t>
        </is>
      </c>
      <c r="I1738" s="16" t="inlineStr">
        <is>
          <t>Response panel shows status 502 with appropriate badge color (2xx green, 3xx blue, 4xx orange, 5xx red); body and headers rendered. History entry records correctly.</t>
        </is>
      </c>
      <c r="J1738" s="16" t="inlineStr"/>
      <c r="K1738" s="16" t="inlineStr">
        <is>
          <t>Not Run</t>
        </is>
      </c>
      <c r="L1738" s="16" t="inlineStr">
        <is>
          <t>Low</t>
        </is>
      </c>
      <c r="M1738" s="16" t="inlineStr"/>
      <c r="N1738" s="16" t="inlineStr"/>
      <c r="O1738" s="16" t="inlineStr"/>
    </row>
    <row r="1739" ht="72" customHeight="1">
      <c r="A1739" s="16" t="inlineStr">
        <is>
          <t>TC-RP-0104</t>
        </is>
      </c>
      <c r="B1739" s="16" t="inlineStr">
        <is>
          <t>Response Panel</t>
        </is>
      </c>
      <c r="C1739" s="16" t="inlineStr">
        <is>
          <t>Status Matrix</t>
        </is>
      </c>
      <c r="D1739" s="16" t="inlineStr">
        <is>
          <t>Functional</t>
        </is>
      </c>
      <c r="E1739" s="16" t="inlineStr">
        <is>
          <t>Response 502 (Bad Gateway) for POST</t>
        </is>
      </c>
      <c r="F1739" s="16" t="inlineStr">
        <is>
          <t>Editor open; endpoint configured.</t>
        </is>
      </c>
      <c r="G1739" s="16" t="inlineStr">
        <is>
          <t>1. POST to endpoint that returns 502.
2. Inspect response panel.</t>
        </is>
      </c>
      <c r="H1739" s="16" t="inlineStr">
        <is>
          <t>status=502 method=POST</t>
        </is>
      </c>
      <c r="I1739" s="16" t="inlineStr">
        <is>
          <t>Response panel shows status 502 with appropriate badge color (2xx green, 3xx blue, 4xx orange, 5xx red); body and headers rendered. History entry records correctly.</t>
        </is>
      </c>
      <c r="J1739" s="16" t="inlineStr"/>
      <c r="K1739" s="16" t="inlineStr">
        <is>
          <t>Not Run</t>
        </is>
      </c>
      <c r="L1739" s="16" t="inlineStr">
        <is>
          <t>Low</t>
        </is>
      </c>
      <c r="M1739" s="16" t="inlineStr"/>
      <c r="N1739" s="16" t="inlineStr"/>
      <c r="O1739" s="16" t="inlineStr"/>
    </row>
    <row r="1740" ht="72" customHeight="1">
      <c r="A1740" s="16" t="inlineStr">
        <is>
          <t>TC-RP-0105</t>
        </is>
      </c>
      <c r="B1740" s="16" t="inlineStr">
        <is>
          <t>Response Panel</t>
        </is>
      </c>
      <c r="C1740" s="16" t="inlineStr">
        <is>
          <t>Status Matrix</t>
        </is>
      </c>
      <c r="D1740" s="16" t="inlineStr">
        <is>
          <t>Functional</t>
        </is>
      </c>
      <c r="E1740" s="16" t="inlineStr">
        <is>
          <t>Response 502 (Bad Gateway) for PUT</t>
        </is>
      </c>
      <c r="F1740" s="16" t="inlineStr">
        <is>
          <t>Editor open; endpoint configured.</t>
        </is>
      </c>
      <c r="G1740" s="16" t="inlineStr">
        <is>
          <t>1. PUT to endpoint that returns 502.
2. Inspect response panel.</t>
        </is>
      </c>
      <c r="H1740" s="16" t="inlineStr">
        <is>
          <t>status=502 method=PUT</t>
        </is>
      </c>
      <c r="I1740" s="16" t="inlineStr">
        <is>
          <t>Response panel shows status 502 with appropriate badge color (2xx green, 3xx blue, 4xx orange, 5xx red); body and headers rendered. History entry records correctly.</t>
        </is>
      </c>
      <c r="J1740" s="16" t="inlineStr"/>
      <c r="K1740" s="16" t="inlineStr">
        <is>
          <t>Not Run</t>
        </is>
      </c>
      <c r="L1740" s="16" t="inlineStr">
        <is>
          <t>Low</t>
        </is>
      </c>
      <c r="M1740" s="16" t="inlineStr"/>
      <c r="N1740" s="16" t="inlineStr"/>
      <c r="O1740" s="16" t="inlineStr"/>
    </row>
    <row r="1741" ht="72" customHeight="1">
      <c r="A1741" s="16" t="inlineStr">
        <is>
          <t>TC-RP-0106</t>
        </is>
      </c>
      <c r="B1741" s="16" t="inlineStr">
        <is>
          <t>Response Panel</t>
        </is>
      </c>
      <c r="C1741" s="16" t="inlineStr">
        <is>
          <t>Status Matrix</t>
        </is>
      </c>
      <c r="D1741" s="16" t="inlineStr">
        <is>
          <t>Functional</t>
        </is>
      </c>
      <c r="E1741" s="16" t="inlineStr">
        <is>
          <t>Response 502 (Bad Gateway) for DELETE</t>
        </is>
      </c>
      <c r="F1741" s="16" t="inlineStr">
        <is>
          <t>Editor open; endpoint configured.</t>
        </is>
      </c>
      <c r="G1741" s="16" t="inlineStr">
        <is>
          <t>1. DELETE to endpoint that returns 502.
2. Inspect response panel.</t>
        </is>
      </c>
      <c r="H1741" s="16" t="inlineStr">
        <is>
          <t>status=502 method=DELETE</t>
        </is>
      </c>
      <c r="I1741" s="16" t="inlineStr">
        <is>
          <t>Response panel shows status 502 with appropriate badge color (2xx green, 3xx blue, 4xx orange, 5xx red); body and headers rendered. History entry records correctly.</t>
        </is>
      </c>
      <c r="J1741" s="16" t="inlineStr"/>
      <c r="K1741" s="16" t="inlineStr">
        <is>
          <t>Not Run</t>
        </is>
      </c>
      <c r="L1741" s="16" t="inlineStr">
        <is>
          <t>Low</t>
        </is>
      </c>
      <c r="M1741" s="16" t="inlineStr"/>
      <c r="N1741" s="16" t="inlineStr"/>
      <c r="O1741" s="16" t="inlineStr"/>
    </row>
    <row r="1742" ht="72" customHeight="1">
      <c r="A1742" s="16" t="inlineStr">
        <is>
          <t>TC-RP-0107</t>
        </is>
      </c>
      <c r="B1742" s="16" t="inlineStr">
        <is>
          <t>Response Panel</t>
        </is>
      </c>
      <c r="C1742" s="16" t="inlineStr">
        <is>
          <t>Status Matrix</t>
        </is>
      </c>
      <c r="D1742" s="16" t="inlineStr">
        <is>
          <t>Functional</t>
        </is>
      </c>
      <c r="E1742" s="16" t="inlineStr">
        <is>
          <t>Response 503 (Service Unavailable) for GET</t>
        </is>
      </c>
      <c r="F1742" s="16" t="inlineStr">
        <is>
          <t>Editor open; endpoint configured.</t>
        </is>
      </c>
      <c r="G1742" s="16" t="inlineStr">
        <is>
          <t>1. GET to endpoint that returns 503.
2. Inspect response panel.</t>
        </is>
      </c>
      <c r="H1742" s="16" t="inlineStr">
        <is>
          <t>status=503 method=GET</t>
        </is>
      </c>
      <c r="I1742" s="16" t="inlineStr">
        <is>
          <t>Response panel shows status 503 with appropriate badge color (2xx green, 3xx blue, 4xx orange, 5xx red); body and headers rendered. History entry records correctly.</t>
        </is>
      </c>
      <c r="J1742" s="16" t="inlineStr"/>
      <c r="K1742" s="16" t="inlineStr">
        <is>
          <t>Not Run</t>
        </is>
      </c>
      <c r="L1742" s="16" t="inlineStr">
        <is>
          <t>Low</t>
        </is>
      </c>
      <c r="M1742" s="16" t="inlineStr"/>
      <c r="N1742" s="16" t="inlineStr"/>
      <c r="O1742" s="16" t="inlineStr"/>
    </row>
    <row r="1743" ht="72" customHeight="1">
      <c r="A1743" s="16" t="inlineStr">
        <is>
          <t>TC-RP-0108</t>
        </is>
      </c>
      <c r="B1743" s="16" t="inlineStr">
        <is>
          <t>Response Panel</t>
        </is>
      </c>
      <c r="C1743" s="16" t="inlineStr">
        <is>
          <t>Status Matrix</t>
        </is>
      </c>
      <c r="D1743" s="16" t="inlineStr">
        <is>
          <t>Functional</t>
        </is>
      </c>
      <c r="E1743" s="16" t="inlineStr">
        <is>
          <t>Response 503 (Service Unavailable) for POST</t>
        </is>
      </c>
      <c r="F1743" s="16" t="inlineStr">
        <is>
          <t>Editor open; endpoint configured.</t>
        </is>
      </c>
      <c r="G1743" s="16" t="inlineStr">
        <is>
          <t>1. POST to endpoint that returns 503.
2. Inspect response panel.</t>
        </is>
      </c>
      <c r="H1743" s="16" t="inlineStr">
        <is>
          <t>status=503 method=POST</t>
        </is>
      </c>
      <c r="I1743" s="16" t="inlineStr">
        <is>
          <t>Response panel shows status 503 with appropriate badge color (2xx green, 3xx blue, 4xx orange, 5xx red); body and headers rendered. History entry records correctly.</t>
        </is>
      </c>
      <c r="J1743" s="16" t="inlineStr"/>
      <c r="K1743" s="16" t="inlineStr">
        <is>
          <t>Not Run</t>
        </is>
      </c>
      <c r="L1743" s="16" t="inlineStr">
        <is>
          <t>Low</t>
        </is>
      </c>
      <c r="M1743" s="16" t="inlineStr"/>
      <c r="N1743" s="16" t="inlineStr"/>
      <c r="O1743" s="16" t="inlineStr"/>
    </row>
    <row r="1744" ht="72" customHeight="1">
      <c r="A1744" s="16" t="inlineStr">
        <is>
          <t>TC-RP-0109</t>
        </is>
      </c>
      <c r="B1744" s="16" t="inlineStr">
        <is>
          <t>Response Panel</t>
        </is>
      </c>
      <c r="C1744" s="16" t="inlineStr">
        <is>
          <t>Status Matrix</t>
        </is>
      </c>
      <c r="D1744" s="16" t="inlineStr">
        <is>
          <t>Functional</t>
        </is>
      </c>
      <c r="E1744" s="16" t="inlineStr">
        <is>
          <t>Response 503 (Service Unavailable) for PUT</t>
        </is>
      </c>
      <c r="F1744" s="16" t="inlineStr">
        <is>
          <t>Editor open; endpoint configured.</t>
        </is>
      </c>
      <c r="G1744" s="16" t="inlineStr">
        <is>
          <t>1. PUT to endpoint that returns 503.
2. Inspect response panel.</t>
        </is>
      </c>
      <c r="H1744" s="16" t="inlineStr">
        <is>
          <t>status=503 method=PUT</t>
        </is>
      </c>
      <c r="I1744" s="16" t="inlineStr">
        <is>
          <t>Response panel shows status 503 with appropriate badge color (2xx green, 3xx blue, 4xx orange, 5xx red); body and headers rendered. History entry records correctly.</t>
        </is>
      </c>
      <c r="J1744" s="16" t="inlineStr"/>
      <c r="K1744" s="16" t="inlineStr">
        <is>
          <t>Not Run</t>
        </is>
      </c>
      <c r="L1744" s="16" t="inlineStr">
        <is>
          <t>Low</t>
        </is>
      </c>
      <c r="M1744" s="16" t="inlineStr"/>
      <c r="N1744" s="16" t="inlineStr"/>
      <c r="O1744" s="16" t="inlineStr"/>
    </row>
    <row r="1745" ht="72" customHeight="1">
      <c r="A1745" s="16" t="inlineStr">
        <is>
          <t>TC-RP-0110</t>
        </is>
      </c>
      <c r="B1745" s="16" t="inlineStr">
        <is>
          <t>Response Panel</t>
        </is>
      </c>
      <c r="C1745" s="16" t="inlineStr">
        <is>
          <t>Status Matrix</t>
        </is>
      </c>
      <c r="D1745" s="16" t="inlineStr">
        <is>
          <t>Functional</t>
        </is>
      </c>
      <c r="E1745" s="16" t="inlineStr">
        <is>
          <t>Response 503 (Service Unavailable) for DELETE</t>
        </is>
      </c>
      <c r="F1745" s="16" t="inlineStr">
        <is>
          <t>Editor open; endpoint configured.</t>
        </is>
      </c>
      <c r="G1745" s="16" t="inlineStr">
        <is>
          <t>1. DELETE to endpoint that returns 503.
2. Inspect response panel.</t>
        </is>
      </c>
      <c r="H1745" s="16" t="inlineStr">
        <is>
          <t>status=503 method=DELETE</t>
        </is>
      </c>
      <c r="I1745" s="16" t="inlineStr">
        <is>
          <t>Response panel shows status 503 with appropriate badge color (2xx green, 3xx blue, 4xx orange, 5xx red); body and headers rendered. History entry records correctly.</t>
        </is>
      </c>
      <c r="J1745" s="16" t="inlineStr"/>
      <c r="K1745" s="16" t="inlineStr">
        <is>
          <t>Not Run</t>
        </is>
      </c>
      <c r="L1745" s="16" t="inlineStr">
        <is>
          <t>Low</t>
        </is>
      </c>
      <c r="M1745" s="16" t="inlineStr"/>
      <c r="N1745" s="16" t="inlineStr"/>
      <c r="O1745" s="16" t="inlineStr"/>
    </row>
    <row r="1746" ht="72" customHeight="1">
      <c r="A1746" s="16" t="inlineStr">
        <is>
          <t>TC-RP-0111</t>
        </is>
      </c>
      <c r="B1746" s="16" t="inlineStr">
        <is>
          <t>Response Panel</t>
        </is>
      </c>
      <c r="C1746" s="16" t="inlineStr">
        <is>
          <t>Status Matrix</t>
        </is>
      </c>
      <c r="D1746" s="16" t="inlineStr">
        <is>
          <t>Functional</t>
        </is>
      </c>
      <c r="E1746" s="16" t="inlineStr">
        <is>
          <t>Response 504 (Gateway Timeout) for GET</t>
        </is>
      </c>
      <c r="F1746" s="16" t="inlineStr">
        <is>
          <t>Editor open; endpoint configured.</t>
        </is>
      </c>
      <c r="G1746" s="16" t="inlineStr">
        <is>
          <t>1. GET to endpoint that returns 504.
2. Inspect response panel.</t>
        </is>
      </c>
      <c r="H1746" s="16" t="inlineStr">
        <is>
          <t>status=504 method=GET</t>
        </is>
      </c>
      <c r="I1746" s="16" t="inlineStr">
        <is>
          <t>Response panel shows status 504 with appropriate badge color (2xx green, 3xx blue, 4xx orange, 5xx red); body and headers rendered. History entry records correctly.</t>
        </is>
      </c>
      <c r="J1746" s="16" t="inlineStr"/>
      <c r="K1746" s="16" t="inlineStr">
        <is>
          <t>Not Run</t>
        </is>
      </c>
      <c r="L1746" s="16" t="inlineStr">
        <is>
          <t>Low</t>
        </is>
      </c>
      <c r="M1746" s="16" t="inlineStr"/>
      <c r="N1746" s="16" t="inlineStr"/>
      <c r="O1746" s="16" t="inlineStr"/>
    </row>
    <row r="1747" ht="72" customHeight="1">
      <c r="A1747" s="16" t="inlineStr">
        <is>
          <t>TC-RP-0112</t>
        </is>
      </c>
      <c r="B1747" s="16" t="inlineStr">
        <is>
          <t>Response Panel</t>
        </is>
      </c>
      <c r="C1747" s="16" t="inlineStr">
        <is>
          <t>Status Matrix</t>
        </is>
      </c>
      <c r="D1747" s="16" t="inlineStr">
        <is>
          <t>Functional</t>
        </is>
      </c>
      <c r="E1747" s="16" t="inlineStr">
        <is>
          <t>Response 504 (Gateway Timeout) for POST</t>
        </is>
      </c>
      <c r="F1747" s="16" t="inlineStr">
        <is>
          <t>Editor open; endpoint configured.</t>
        </is>
      </c>
      <c r="G1747" s="16" t="inlineStr">
        <is>
          <t>1. POST to endpoint that returns 504.
2. Inspect response panel.</t>
        </is>
      </c>
      <c r="H1747" s="16" t="inlineStr">
        <is>
          <t>status=504 method=POST</t>
        </is>
      </c>
      <c r="I1747" s="16" t="inlineStr">
        <is>
          <t>Response panel shows status 504 with appropriate badge color (2xx green, 3xx blue, 4xx orange, 5xx red); body and headers rendered. History entry records correctly.</t>
        </is>
      </c>
      <c r="J1747" s="16" t="inlineStr"/>
      <c r="K1747" s="16" t="inlineStr">
        <is>
          <t>Not Run</t>
        </is>
      </c>
      <c r="L1747" s="16" t="inlineStr">
        <is>
          <t>Low</t>
        </is>
      </c>
      <c r="M1747" s="16" t="inlineStr"/>
      <c r="N1747" s="16" t="inlineStr"/>
      <c r="O1747" s="16" t="inlineStr"/>
    </row>
    <row r="1748" ht="72" customHeight="1">
      <c r="A1748" s="16" t="inlineStr">
        <is>
          <t>TC-RP-0113</t>
        </is>
      </c>
      <c r="B1748" s="16" t="inlineStr">
        <is>
          <t>Response Panel</t>
        </is>
      </c>
      <c r="C1748" s="16" t="inlineStr">
        <is>
          <t>Status Matrix</t>
        </is>
      </c>
      <c r="D1748" s="16" t="inlineStr">
        <is>
          <t>Functional</t>
        </is>
      </c>
      <c r="E1748" s="16" t="inlineStr">
        <is>
          <t>Response 504 (Gateway Timeout) for PUT</t>
        </is>
      </c>
      <c r="F1748" s="16" t="inlineStr">
        <is>
          <t>Editor open; endpoint configured.</t>
        </is>
      </c>
      <c r="G1748" s="16" t="inlineStr">
        <is>
          <t>1. PUT to endpoint that returns 504.
2. Inspect response panel.</t>
        </is>
      </c>
      <c r="H1748" s="16" t="inlineStr">
        <is>
          <t>status=504 method=PUT</t>
        </is>
      </c>
      <c r="I1748" s="16" t="inlineStr">
        <is>
          <t>Response panel shows status 504 with appropriate badge color (2xx green, 3xx blue, 4xx orange, 5xx red); body and headers rendered. History entry records correctly.</t>
        </is>
      </c>
      <c r="J1748" s="16" t="inlineStr"/>
      <c r="K1748" s="16" t="inlineStr">
        <is>
          <t>Not Run</t>
        </is>
      </c>
      <c r="L1748" s="16" t="inlineStr">
        <is>
          <t>Low</t>
        </is>
      </c>
      <c r="M1748" s="16" t="inlineStr"/>
      <c r="N1748" s="16" t="inlineStr"/>
      <c r="O1748" s="16" t="inlineStr"/>
    </row>
    <row r="1749" ht="72" customHeight="1">
      <c r="A1749" s="16" t="inlineStr">
        <is>
          <t>TC-RP-0114</t>
        </is>
      </c>
      <c r="B1749" s="16" t="inlineStr">
        <is>
          <t>Response Panel</t>
        </is>
      </c>
      <c r="C1749" s="16" t="inlineStr">
        <is>
          <t>Status Matrix</t>
        </is>
      </c>
      <c r="D1749" s="16" t="inlineStr">
        <is>
          <t>Functional</t>
        </is>
      </c>
      <c r="E1749" s="16" t="inlineStr">
        <is>
          <t>Response 504 (Gateway Timeout) for DELETE</t>
        </is>
      </c>
      <c r="F1749" s="16" t="inlineStr">
        <is>
          <t>Editor open; endpoint configured.</t>
        </is>
      </c>
      <c r="G1749" s="16" t="inlineStr">
        <is>
          <t>1. DELETE to endpoint that returns 504.
2. Inspect response panel.</t>
        </is>
      </c>
      <c r="H1749" s="16" t="inlineStr">
        <is>
          <t>status=504 method=DELETE</t>
        </is>
      </c>
      <c r="I1749" s="16" t="inlineStr">
        <is>
          <t>Response panel shows status 504 with appropriate badge color (2xx green, 3xx blue, 4xx orange, 5xx red); body and headers rendered. History entry records correctly.</t>
        </is>
      </c>
      <c r="J1749" s="16" t="inlineStr"/>
      <c r="K1749" s="16" t="inlineStr">
        <is>
          <t>Not Run</t>
        </is>
      </c>
      <c r="L1749" s="16" t="inlineStr">
        <is>
          <t>Low</t>
        </is>
      </c>
      <c r="M1749" s="16" t="inlineStr"/>
      <c r="N1749" s="16" t="inlineStr"/>
      <c r="O1749" s="16" t="inlineStr"/>
    </row>
    <row r="1750" ht="72" customHeight="1">
      <c r="A1750" s="16" t="inlineStr">
        <is>
          <t>TC-CO-0011</t>
        </is>
      </c>
      <c r="B1750" s="16" t="inlineStr">
        <is>
          <t>Cookies</t>
        </is>
      </c>
      <c r="C1750" s="16" t="inlineStr">
        <is>
          <t>Cookie sent on same-domain request (GET)</t>
        </is>
      </c>
      <c r="D1750" s="16" t="inlineStr">
        <is>
          <t>Functional</t>
        </is>
      </c>
      <c r="E1750" s="16" t="inlineStr">
        <is>
          <t>GET: Cookie sent on same-domain request</t>
        </is>
      </c>
      <c r="F1750" s="16" t="inlineStr">
        <is>
          <t>Cookie a=1 for example.com</t>
        </is>
      </c>
      <c r="G1750" s="16" t="inlineStr">
        <is>
          <t>1. GET send to example.com</t>
        </is>
      </c>
      <c r="H1750" s="16" t="inlineStr">
        <is>
          <t>method=GET</t>
        </is>
      </c>
      <c r="I1750" s="16" t="inlineStr">
        <is>
          <t>Cookie header includes a=1.</t>
        </is>
      </c>
      <c r="J1750" s="16" t="inlineStr"/>
      <c r="K1750" s="16" t="inlineStr">
        <is>
          <t>Not Run</t>
        </is>
      </c>
      <c r="L1750" s="16" t="inlineStr">
        <is>
          <t>High</t>
        </is>
      </c>
      <c r="M1750" s="16" t="inlineStr"/>
      <c r="N1750" s="16" t="inlineStr"/>
      <c r="O1750" s="16" t="inlineStr"/>
    </row>
    <row r="1751" ht="72" customHeight="1">
      <c r="A1751" s="16" t="inlineStr">
        <is>
          <t>TC-CO-0012</t>
        </is>
      </c>
      <c r="B1751" s="16" t="inlineStr">
        <is>
          <t>Cookies</t>
        </is>
      </c>
      <c r="C1751" s="16" t="inlineStr">
        <is>
          <t>Cookie sent on same-domain request (POST)</t>
        </is>
      </c>
      <c r="D1751" s="16" t="inlineStr">
        <is>
          <t>Functional</t>
        </is>
      </c>
      <c r="E1751" s="16" t="inlineStr">
        <is>
          <t>POST: Cookie sent on same-domain request</t>
        </is>
      </c>
      <c r="F1751" s="16" t="inlineStr">
        <is>
          <t>Cookie a=1 for example.com</t>
        </is>
      </c>
      <c r="G1751" s="16" t="inlineStr">
        <is>
          <t>1. POST send to example.com</t>
        </is>
      </c>
      <c r="H1751" s="16" t="inlineStr">
        <is>
          <t>method=POST</t>
        </is>
      </c>
      <c r="I1751" s="16" t="inlineStr">
        <is>
          <t>Cookie header includes a=1.</t>
        </is>
      </c>
      <c r="J1751" s="16" t="inlineStr"/>
      <c r="K1751" s="16" t="inlineStr">
        <is>
          <t>Not Run</t>
        </is>
      </c>
      <c r="L1751" s="16" t="inlineStr">
        <is>
          <t>High</t>
        </is>
      </c>
      <c r="M1751" s="16" t="inlineStr"/>
      <c r="N1751" s="16" t="inlineStr"/>
      <c r="O1751" s="16" t="inlineStr"/>
    </row>
    <row r="1752" ht="72" customHeight="1">
      <c r="A1752" s="16" t="inlineStr">
        <is>
          <t>TC-CO-0013</t>
        </is>
      </c>
      <c r="B1752" s="16" t="inlineStr">
        <is>
          <t>Cookies</t>
        </is>
      </c>
      <c r="C1752" s="16" t="inlineStr">
        <is>
          <t>Cookie sent on same-domain request (PUT)</t>
        </is>
      </c>
      <c r="D1752" s="16" t="inlineStr">
        <is>
          <t>Functional</t>
        </is>
      </c>
      <c r="E1752" s="16" t="inlineStr">
        <is>
          <t>PUT: Cookie sent on same-domain request</t>
        </is>
      </c>
      <c r="F1752" s="16" t="inlineStr">
        <is>
          <t>Cookie a=1 for example.com</t>
        </is>
      </c>
      <c r="G1752" s="16" t="inlineStr">
        <is>
          <t>1. PUT send to example.com</t>
        </is>
      </c>
      <c r="H1752" s="16" t="inlineStr">
        <is>
          <t>method=PUT</t>
        </is>
      </c>
      <c r="I1752" s="16" t="inlineStr">
        <is>
          <t>Cookie header includes a=1.</t>
        </is>
      </c>
      <c r="J1752" s="16" t="inlineStr"/>
      <c r="K1752" s="16" t="inlineStr">
        <is>
          <t>Not Run</t>
        </is>
      </c>
      <c r="L1752" s="16" t="inlineStr">
        <is>
          <t>High</t>
        </is>
      </c>
      <c r="M1752" s="16" t="inlineStr"/>
      <c r="N1752" s="16" t="inlineStr"/>
      <c r="O1752" s="16" t="inlineStr"/>
    </row>
    <row r="1753" ht="72" customHeight="1">
      <c r="A1753" s="16" t="inlineStr">
        <is>
          <t>TC-CO-0014</t>
        </is>
      </c>
      <c r="B1753" s="16" t="inlineStr">
        <is>
          <t>Cookies</t>
        </is>
      </c>
      <c r="C1753" s="16" t="inlineStr">
        <is>
          <t>Cookie sent on same-domain request (DELETE)</t>
        </is>
      </c>
      <c r="D1753" s="16" t="inlineStr">
        <is>
          <t>Functional</t>
        </is>
      </c>
      <c r="E1753" s="16" t="inlineStr">
        <is>
          <t>DELETE: Cookie sent on same-domain request</t>
        </is>
      </c>
      <c r="F1753" s="16" t="inlineStr">
        <is>
          <t>Cookie a=1 for example.com</t>
        </is>
      </c>
      <c r="G1753" s="16" t="inlineStr">
        <is>
          <t>1. DELETE send to example.com</t>
        </is>
      </c>
      <c r="H1753" s="16" t="inlineStr">
        <is>
          <t>method=DELETE</t>
        </is>
      </c>
      <c r="I1753" s="16" t="inlineStr">
        <is>
          <t>Cookie header includes a=1.</t>
        </is>
      </c>
      <c r="J1753" s="16" t="inlineStr"/>
      <c r="K1753" s="16" t="inlineStr">
        <is>
          <t>Not Run</t>
        </is>
      </c>
      <c r="L1753" s="16" t="inlineStr">
        <is>
          <t>High</t>
        </is>
      </c>
      <c r="M1753" s="16" t="inlineStr"/>
      <c r="N1753" s="16" t="inlineStr"/>
      <c r="O1753" s="16" t="inlineStr"/>
    </row>
    <row r="1754" ht="72" customHeight="1">
      <c r="A1754" s="16" t="inlineStr">
        <is>
          <t>TC-CO-0015</t>
        </is>
      </c>
      <c r="B1754" s="16" t="inlineStr">
        <is>
          <t>Cookies</t>
        </is>
      </c>
      <c r="C1754" s="16" t="inlineStr">
        <is>
          <t>Cookie NOT sent to different domain (GET)</t>
        </is>
      </c>
      <c r="D1754" s="16" t="inlineStr">
        <is>
          <t>Functional</t>
        </is>
      </c>
      <c r="E1754" s="16" t="inlineStr">
        <is>
          <t>GET: Cookie NOT sent to different domain</t>
        </is>
      </c>
      <c r="F1754" s="16" t="inlineStr">
        <is>
          <t>Cookie a=1 for example.com</t>
        </is>
      </c>
      <c r="G1754" s="16" t="inlineStr">
        <is>
          <t>1. GET send to other.com</t>
        </is>
      </c>
      <c r="H1754" s="16" t="inlineStr">
        <is>
          <t>method=GET</t>
        </is>
      </c>
      <c r="I1754" s="16" t="inlineStr">
        <is>
          <t>Cookie NOT included.</t>
        </is>
      </c>
      <c r="J1754" s="16" t="inlineStr"/>
      <c r="K1754" s="16" t="inlineStr">
        <is>
          <t>Not Run</t>
        </is>
      </c>
      <c r="L1754" s="16" t="inlineStr">
        <is>
          <t>Medium</t>
        </is>
      </c>
      <c r="M1754" s="16" t="inlineStr"/>
      <c r="N1754" s="16" t="inlineStr"/>
      <c r="O1754" s="16" t="inlineStr"/>
    </row>
    <row r="1755" ht="72" customHeight="1">
      <c r="A1755" s="16" t="inlineStr">
        <is>
          <t>TC-CO-0016</t>
        </is>
      </c>
      <c r="B1755" s="16" t="inlineStr">
        <is>
          <t>Cookies</t>
        </is>
      </c>
      <c r="C1755" s="16" t="inlineStr">
        <is>
          <t>Cookie NOT sent to different domain (POST)</t>
        </is>
      </c>
      <c r="D1755" s="16" t="inlineStr">
        <is>
          <t>Functional</t>
        </is>
      </c>
      <c r="E1755" s="16" t="inlineStr">
        <is>
          <t>POST: Cookie NOT sent to different domain</t>
        </is>
      </c>
      <c r="F1755" s="16" t="inlineStr">
        <is>
          <t>Cookie a=1 for example.com</t>
        </is>
      </c>
      <c r="G1755" s="16" t="inlineStr">
        <is>
          <t>1. POST send to other.com</t>
        </is>
      </c>
      <c r="H1755" s="16" t="inlineStr">
        <is>
          <t>method=POST</t>
        </is>
      </c>
      <c r="I1755" s="16" t="inlineStr">
        <is>
          <t>Cookie NOT included.</t>
        </is>
      </c>
      <c r="J1755" s="16" t="inlineStr"/>
      <c r="K1755" s="16" t="inlineStr">
        <is>
          <t>Not Run</t>
        </is>
      </c>
      <c r="L1755" s="16" t="inlineStr">
        <is>
          <t>Medium</t>
        </is>
      </c>
      <c r="M1755" s="16" t="inlineStr"/>
      <c r="N1755" s="16" t="inlineStr"/>
      <c r="O1755" s="16" t="inlineStr"/>
    </row>
    <row r="1756" ht="72" customHeight="1">
      <c r="A1756" s="16" t="inlineStr">
        <is>
          <t>TC-CO-0017</t>
        </is>
      </c>
      <c r="B1756" s="16" t="inlineStr">
        <is>
          <t>Cookies</t>
        </is>
      </c>
      <c r="C1756" s="16" t="inlineStr">
        <is>
          <t>Cookie NOT sent to different domain (PUT)</t>
        </is>
      </c>
      <c r="D1756" s="16" t="inlineStr">
        <is>
          <t>Functional</t>
        </is>
      </c>
      <c r="E1756" s="16" t="inlineStr">
        <is>
          <t>PUT: Cookie NOT sent to different domain</t>
        </is>
      </c>
      <c r="F1756" s="16" t="inlineStr">
        <is>
          <t>Cookie a=1 for example.com</t>
        </is>
      </c>
      <c r="G1756" s="16" t="inlineStr">
        <is>
          <t>1. PUT send to other.com</t>
        </is>
      </c>
      <c r="H1756" s="16" t="inlineStr">
        <is>
          <t>method=PUT</t>
        </is>
      </c>
      <c r="I1756" s="16" t="inlineStr">
        <is>
          <t>Cookie NOT included.</t>
        </is>
      </c>
      <c r="J1756" s="16" t="inlineStr"/>
      <c r="K1756" s="16" t="inlineStr">
        <is>
          <t>Not Run</t>
        </is>
      </c>
      <c r="L1756" s="16" t="inlineStr">
        <is>
          <t>Medium</t>
        </is>
      </c>
      <c r="M1756" s="16" t="inlineStr"/>
      <c r="N1756" s="16" t="inlineStr"/>
      <c r="O1756" s="16" t="inlineStr"/>
    </row>
    <row r="1757" ht="72" customHeight="1">
      <c r="A1757" s="16" t="inlineStr">
        <is>
          <t>TC-CO-0018</t>
        </is>
      </c>
      <c r="B1757" s="16" t="inlineStr">
        <is>
          <t>Cookies</t>
        </is>
      </c>
      <c r="C1757" s="16" t="inlineStr">
        <is>
          <t>Cookie NOT sent to different domain (DELETE)</t>
        </is>
      </c>
      <c r="D1757" s="16" t="inlineStr">
        <is>
          <t>Functional</t>
        </is>
      </c>
      <c r="E1757" s="16" t="inlineStr">
        <is>
          <t>DELETE: Cookie NOT sent to different domain</t>
        </is>
      </c>
      <c r="F1757" s="16" t="inlineStr">
        <is>
          <t>Cookie a=1 for example.com</t>
        </is>
      </c>
      <c r="G1757" s="16" t="inlineStr">
        <is>
          <t>1. DELETE send to other.com</t>
        </is>
      </c>
      <c r="H1757" s="16" t="inlineStr">
        <is>
          <t>method=DELETE</t>
        </is>
      </c>
      <c r="I1757" s="16" t="inlineStr">
        <is>
          <t>Cookie NOT included.</t>
        </is>
      </c>
      <c r="J1757" s="16" t="inlineStr"/>
      <c r="K1757" s="16" t="inlineStr">
        <is>
          <t>Not Run</t>
        </is>
      </c>
      <c r="L1757" s="16" t="inlineStr">
        <is>
          <t>Medium</t>
        </is>
      </c>
      <c r="M1757" s="16" t="inlineStr"/>
      <c r="N1757" s="16" t="inlineStr"/>
      <c r="O1757" s="16" t="inlineStr"/>
    </row>
    <row r="1758" ht="72" customHeight="1">
      <c r="A1758" s="16" t="inlineStr">
        <is>
          <t>TC-CO-0019</t>
        </is>
      </c>
      <c r="B1758" s="16" t="inlineStr">
        <is>
          <t>Cookies</t>
        </is>
      </c>
      <c r="C1758" s="16" t="inlineStr">
        <is>
          <t>Cookie sent on subdomain (Domain=.example.com) (GET)</t>
        </is>
      </c>
      <c r="D1758" s="16" t="inlineStr">
        <is>
          <t>Functional</t>
        </is>
      </c>
      <c r="E1758" s="16" t="inlineStr">
        <is>
          <t>GET: Cookie sent on subdomain (Domain=.example.com)</t>
        </is>
      </c>
      <c r="F1758" s="16" t="inlineStr">
        <is>
          <t>Cookie with Domain=.example.com</t>
        </is>
      </c>
      <c r="G1758" s="16" t="inlineStr">
        <is>
          <t>1. GET send to api.example.com</t>
        </is>
      </c>
      <c r="H1758" s="16" t="inlineStr">
        <is>
          <t>method=GET</t>
        </is>
      </c>
      <c r="I1758" s="16" t="inlineStr">
        <is>
          <t>Cookie included.</t>
        </is>
      </c>
      <c r="J1758" s="16" t="inlineStr"/>
      <c r="K1758" s="16" t="inlineStr">
        <is>
          <t>Not Run</t>
        </is>
      </c>
      <c r="L1758" s="16" t="inlineStr">
        <is>
          <t>Medium</t>
        </is>
      </c>
      <c r="M1758" s="16" t="inlineStr"/>
      <c r="N1758" s="16" t="inlineStr"/>
      <c r="O1758" s="16" t="inlineStr"/>
    </row>
    <row r="1759" ht="72" customHeight="1">
      <c r="A1759" s="16" t="inlineStr">
        <is>
          <t>TC-CO-0020</t>
        </is>
      </c>
      <c r="B1759" s="16" t="inlineStr">
        <is>
          <t>Cookies</t>
        </is>
      </c>
      <c r="C1759" s="16" t="inlineStr">
        <is>
          <t>Cookie sent on subdomain (Domain=.example.com) (POST)</t>
        </is>
      </c>
      <c r="D1759" s="16" t="inlineStr">
        <is>
          <t>Functional</t>
        </is>
      </c>
      <c r="E1759" s="16" t="inlineStr">
        <is>
          <t>POST: Cookie sent on subdomain (Domain=.example.com)</t>
        </is>
      </c>
      <c r="F1759" s="16" t="inlineStr">
        <is>
          <t>Cookie with Domain=.example.com</t>
        </is>
      </c>
      <c r="G1759" s="16" t="inlineStr">
        <is>
          <t>1. POST send to api.example.com</t>
        </is>
      </c>
      <c r="H1759" s="16" t="inlineStr">
        <is>
          <t>method=POST</t>
        </is>
      </c>
      <c r="I1759" s="16" t="inlineStr">
        <is>
          <t>Cookie included.</t>
        </is>
      </c>
      <c r="J1759" s="16" t="inlineStr"/>
      <c r="K1759" s="16" t="inlineStr">
        <is>
          <t>Not Run</t>
        </is>
      </c>
      <c r="L1759" s="16" t="inlineStr">
        <is>
          <t>Medium</t>
        </is>
      </c>
      <c r="M1759" s="16" t="inlineStr"/>
      <c r="N1759" s="16" t="inlineStr"/>
      <c r="O1759" s="16" t="inlineStr"/>
    </row>
    <row r="1760" ht="72" customHeight="1">
      <c r="A1760" s="16" t="inlineStr">
        <is>
          <t>TC-CO-0021</t>
        </is>
      </c>
      <c r="B1760" s="16" t="inlineStr">
        <is>
          <t>Cookies</t>
        </is>
      </c>
      <c r="C1760" s="16" t="inlineStr">
        <is>
          <t>Cookie sent on subdomain (Domain=.example.com) (PUT)</t>
        </is>
      </c>
      <c r="D1760" s="16" t="inlineStr">
        <is>
          <t>Functional</t>
        </is>
      </c>
      <c r="E1760" s="16" t="inlineStr">
        <is>
          <t>PUT: Cookie sent on subdomain (Domain=.example.com)</t>
        </is>
      </c>
      <c r="F1760" s="16" t="inlineStr">
        <is>
          <t>Cookie with Domain=.example.com</t>
        </is>
      </c>
      <c r="G1760" s="16" t="inlineStr">
        <is>
          <t>1. PUT send to api.example.com</t>
        </is>
      </c>
      <c r="H1760" s="16" t="inlineStr">
        <is>
          <t>method=PUT</t>
        </is>
      </c>
      <c r="I1760" s="16" t="inlineStr">
        <is>
          <t>Cookie included.</t>
        </is>
      </c>
      <c r="J1760" s="16" t="inlineStr"/>
      <c r="K1760" s="16" t="inlineStr">
        <is>
          <t>Not Run</t>
        </is>
      </c>
      <c r="L1760" s="16" t="inlineStr">
        <is>
          <t>Medium</t>
        </is>
      </c>
      <c r="M1760" s="16" t="inlineStr"/>
      <c r="N1760" s="16" t="inlineStr"/>
      <c r="O1760" s="16" t="inlineStr"/>
    </row>
    <row r="1761" ht="72" customHeight="1">
      <c r="A1761" s="16" t="inlineStr">
        <is>
          <t>TC-CO-0022</t>
        </is>
      </c>
      <c r="B1761" s="16" t="inlineStr">
        <is>
          <t>Cookies</t>
        </is>
      </c>
      <c r="C1761" s="16" t="inlineStr">
        <is>
          <t>Cookie sent on subdomain (Domain=.example.com) (DELETE)</t>
        </is>
      </c>
      <c r="D1761" s="16" t="inlineStr">
        <is>
          <t>Functional</t>
        </is>
      </c>
      <c r="E1761" s="16" t="inlineStr">
        <is>
          <t>DELETE: Cookie sent on subdomain (Domain=.example.com)</t>
        </is>
      </c>
      <c r="F1761" s="16" t="inlineStr">
        <is>
          <t>Cookie with Domain=.example.com</t>
        </is>
      </c>
      <c r="G1761" s="16" t="inlineStr">
        <is>
          <t>1. DELETE send to api.example.com</t>
        </is>
      </c>
      <c r="H1761" s="16" t="inlineStr">
        <is>
          <t>method=DELETE</t>
        </is>
      </c>
      <c r="I1761" s="16" t="inlineStr">
        <is>
          <t>Cookie included.</t>
        </is>
      </c>
      <c r="J1761" s="16" t="inlineStr"/>
      <c r="K1761" s="16" t="inlineStr">
        <is>
          <t>Not Run</t>
        </is>
      </c>
      <c r="L1761" s="16" t="inlineStr">
        <is>
          <t>Medium</t>
        </is>
      </c>
      <c r="M1761" s="16" t="inlineStr"/>
      <c r="N1761" s="16" t="inlineStr"/>
      <c r="O1761" s="16" t="inlineStr"/>
    </row>
    <row r="1762" ht="72" customHeight="1">
      <c r="A1762" s="16" t="inlineStr">
        <is>
          <t>TC-CO-0023</t>
        </is>
      </c>
      <c r="B1762" s="16" t="inlineStr">
        <is>
          <t>Cookies</t>
        </is>
      </c>
      <c r="C1762" s="16" t="inlineStr">
        <is>
          <t>Cookie NOT sent to parent of subdomain (GET)</t>
        </is>
      </c>
      <c r="D1762" s="16" t="inlineStr">
        <is>
          <t>Functional</t>
        </is>
      </c>
      <c r="E1762" s="16" t="inlineStr">
        <is>
          <t>GET: Cookie NOT sent to parent of subdomain</t>
        </is>
      </c>
      <c r="F1762" s="16" t="inlineStr">
        <is>
          <t>Cookie for api.example.com</t>
        </is>
      </c>
      <c r="G1762" s="16" t="inlineStr">
        <is>
          <t>1. GET send to example.com</t>
        </is>
      </c>
      <c r="H1762" s="16" t="inlineStr">
        <is>
          <t>method=GET</t>
        </is>
      </c>
      <c r="I1762" s="16" t="inlineStr">
        <is>
          <t>Cookie NOT included.</t>
        </is>
      </c>
      <c r="J1762" s="16" t="inlineStr"/>
      <c r="K1762" s="16" t="inlineStr">
        <is>
          <t>Not Run</t>
        </is>
      </c>
      <c r="L1762" s="16" t="inlineStr">
        <is>
          <t>Low</t>
        </is>
      </c>
      <c r="M1762" s="16" t="inlineStr"/>
      <c r="N1762" s="16" t="inlineStr"/>
      <c r="O1762" s="16" t="inlineStr"/>
    </row>
    <row r="1763" ht="72" customHeight="1">
      <c r="A1763" s="16" t="inlineStr">
        <is>
          <t>TC-CO-0024</t>
        </is>
      </c>
      <c r="B1763" s="16" t="inlineStr">
        <is>
          <t>Cookies</t>
        </is>
      </c>
      <c r="C1763" s="16" t="inlineStr">
        <is>
          <t>Cookie NOT sent to parent of subdomain (POST)</t>
        </is>
      </c>
      <c r="D1763" s="16" t="inlineStr">
        <is>
          <t>Functional</t>
        </is>
      </c>
      <c r="E1763" s="16" t="inlineStr">
        <is>
          <t>POST: Cookie NOT sent to parent of subdomain</t>
        </is>
      </c>
      <c r="F1763" s="16" t="inlineStr">
        <is>
          <t>Cookie for api.example.com</t>
        </is>
      </c>
      <c r="G1763" s="16" t="inlineStr">
        <is>
          <t>1. POST send to example.com</t>
        </is>
      </c>
      <c r="H1763" s="16" t="inlineStr">
        <is>
          <t>method=POST</t>
        </is>
      </c>
      <c r="I1763" s="16" t="inlineStr">
        <is>
          <t>Cookie NOT included.</t>
        </is>
      </c>
      <c r="J1763" s="16" t="inlineStr"/>
      <c r="K1763" s="16" t="inlineStr">
        <is>
          <t>Not Run</t>
        </is>
      </c>
      <c r="L1763" s="16" t="inlineStr">
        <is>
          <t>Low</t>
        </is>
      </c>
      <c r="M1763" s="16" t="inlineStr"/>
      <c r="N1763" s="16" t="inlineStr"/>
      <c r="O1763" s="16" t="inlineStr"/>
    </row>
    <row r="1764" ht="72" customHeight="1">
      <c r="A1764" s="16" t="inlineStr">
        <is>
          <t>TC-CO-0025</t>
        </is>
      </c>
      <c r="B1764" s="16" t="inlineStr">
        <is>
          <t>Cookies</t>
        </is>
      </c>
      <c r="C1764" s="16" t="inlineStr">
        <is>
          <t>Cookie NOT sent to parent of subdomain (PUT)</t>
        </is>
      </c>
      <c r="D1764" s="16" t="inlineStr">
        <is>
          <t>Functional</t>
        </is>
      </c>
      <c r="E1764" s="16" t="inlineStr">
        <is>
          <t>PUT: Cookie NOT sent to parent of subdomain</t>
        </is>
      </c>
      <c r="F1764" s="16" t="inlineStr">
        <is>
          <t>Cookie for api.example.com</t>
        </is>
      </c>
      <c r="G1764" s="16" t="inlineStr">
        <is>
          <t>1. PUT send to example.com</t>
        </is>
      </c>
      <c r="H1764" s="16" t="inlineStr">
        <is>
          <t>method=PUT</t>
        </is>
      </c>
      <c r="I1764" s="16" t="inlineStr">
        <is>
          <t>Cookie NOT included.</t>
        </is>
      </c>
      <c r="J1764" s="16" t="inlineStr"/>
      <c r="K1764" s="16" t="inlineStr">
        <is>
          <t>Not Run</t>
        </is>
      </c>
      <c r="L1764" s="16" t="inlineStr">
        <is>
          <t>Low</t>
        </is>
      </c>
      <c r="M1764" s="16" t="inlineStr"/>
      <c r="N1764" s="16" t="inlineStr"/>
      <c r="O1764" s="16" t="inlineStr"/>
    </row>
    <row r="1765" ht="72" customHeight="1">
      <c r="A1765" s="16" t="inlineStr">
        <is>
          <t>TC-CO-0026</t>
        </is>
      </c>
      <c r="B1765" s="16" t="inlineStr">
        <is>
          <t>Cookies</t>
        </is>
      </c>
      <c r="C1765" s="16" t="inlineStr">
        <is>
          <t>Cookie NOT sent to parent of subdomain (DELETE)</t>
        </is>
      </c>
      <c r="D1765" s="16" t="inlineStr">
        <is>
          <t>Functional</t>
        </is>
      </c>
      <c r="E1765" s="16" t="inlineStr">
        <is>
          <t>DELETE: Cookie NOT sent to parent of subdomain</t>
        </is>
      </c>
      <c r="F1765" s="16" t="inlineStr">
        <is>
          <t>Cookie for api.example.com</t>
        </is>
      </c>
      <c r="G1765" s="16" t="inlineStr">
        <is>
          <t>1. DELETE send to example.com</t>
        </is>
      </c>
      <c r="H1765" s="16" t="inlineStr">
        <is>
          <t>method=DELETE</t>
        </is>
      </c>
      <c r="I1765" s="16" t="inlineStr">
        <is>
          <t>Cookie NOT included.</t>
        </is>
      </c>
      <c r="J1765" s="16" t="inlineStr"/>
      <c r="K1765" s="16" t="inlineStr">
        <is>
          <t>Not Run</t>
        </is>
      </c>
      <c r="L1765" s="16" t="inlineStr">
        <is>
          <t>Low</t>
        </is>
      </c>
      <c r="M1765" s="16" t="inlineStr"/>
      <c r="N1765" s="16" t="inlineStr"/>
      <c r="O1765" s="16" t="inlineStr"/>
    </row>
    <row r="1766" ht="72" customHeight="1">
      <c r="A1766" s="16" t="inlineStr">
        <is>
          <t>TC-CO-0027</t>
        </is>
      </c>
      <c r="B1766" s="16" t="inlineStr">
        <is>
          <t>Cookies</t>
        </is>
      </c>
      <c r="C1766" s="16" t="inlineStr">
        <is>
          <t>Path match: cookie path=/api sent to /api/v1 (GET)</t>
        </is>
      </c>
      <c r="D1766" s="16" t="inlineStr">
        <is>
          <t>Functional</t>
        </is>
      </c>
      <c r="E1766" s="16" t="inlineStr">
        <is>
          <t>GET: Path match: cookie path=/api sent to /api/v1</t>
        </is>
      </c>
      <c r="F1766" s="16" t="inlineStr">
        <is>
          <t>Cookie path=/api</t>
        </is>
      </c>
      <c r="G1766" s="16" t="inlineStr">
        <is>
          <t>1. GET send to /api/v1</t>
        </is>
      </c>
      <c r="H1766" s="16" t="inlineStr">
        <is>
          <t>method=GET</t>
        </is>
      </c>
      <c r="I1766" s="16" t="inlineStr">
        <is>
          <t>Cookie included.</t>
        </is>
      </c>
      <c r="J1766" s="16" t="inlineStr"/>
      <c r="K1766" s="16" t="inlineStr">
        <is>
          <t>Not Run</t>
        </is>
      </c>
      <c r="L1766" s="16" t="inlineStr">
        <is>
          <t>Medium</t>
        </is>
      </c>
      <c r="M1766" s="16" t="inlineStr"/>
      <c r="N1766" s="16" t="inlineStr"/>
      <c r="O1766" s="16" t="inlineStr"/>
    </row>
    <row r="1767" ht="72" customHeight="1">
      <c r="A1767" s="16" t="inlineStr">
        <is>
          <t>TC-CO-0028</t>
        </is>
      </c>
      <c r="B1767" s="16" t="inlineStr">
        <is>
          <t>Cookies</t>
        </is>
      </c>
      <c r="C1767" s="16" t="inlineStr">
        <is>
          <t>Path match: cookie path=/api sent to /api/v1 (POST)</t>
        </is>
      </c>
      <c r="D1767" s="16" t="inlineStr">
        <is>
          <t>Functional</t>
        </is>
      </c>
      <c r="E1767" s="16" t="inlineStr">
        <is>
          <t>POST: Path match: cookie path=/api sent to /api/v1</t>
        </is>
      </c>
      <c r="F1767" s="16" t="inlineStr">
        <is>
          <t>Cookie path=/api</t>
        </is>
      </c>
      <c r="G1767" s="16" t="inlineStr">
        <is>
          <t>1. POST send to /api/v1</t>
        </is>
      </c>
      <c r="H1767" s="16" t="inlineStr">
        <is>
          <t>method=POST</t>
        </is>
      </c>
      <c r="I1767" s="16" t="inlineStr">
        <is>
          <t>Cookie included.</t>
        </is>
      </c>
      <c r="J1767" s="16" t="inlineStr"/>
      <c r="K1767" s="16" t="inlineStr">
        <is>
          <t>Not Run</t>
        </is>
      </c>
      <c r="L1767" s="16" t="inlineStr">
        <is>
          <t>Medium</t>
        </is>
      </c>
      <c r="M1767" s="16" t="inlineStr"/>
      <c r="N1767" s="16" t="inlineStr"/>
      <c r="O1767" s="16" t="inlineStr"/>
    </row>
    <row r="1768" ht="72" customHeight="1">
      <c r="A1768" s="16" t="inlineStr">
        <is>
          <t>TC-CO-0029</t>
        </is>
      </c>
      <c r="B1768" s="16" t="inlineStr">
        <is>
          <t>Cookies</t>
        </is>
      </c>
      <c r="C1768" s="16" t="inlineStr">
        <is>
          <t>Path match: cookie path=/api sent to /api/v1 (PUT)</t>
        </is>
      </c>
      <c r="D1768" s="16" t="inlineStr">
        <is>
          <t>Functional</t>
        </is>
      </c>
      <c r="E1768" s="16" t="inlineStr">
        <is>
          <t>PUT: Path match: cookie path=/api sent to /api/v1</t>
        </is>
      </c>
      <c r="F1768" s="16" t="inlineStr">
        <is>
          <t>Cookie path=/api</t>
        </is>
      </c>
      <c r="G1768" s="16" t="inlineStr">
        <is>
          <t>1. PUT send to /api/v1</t>
        </is>
      </c>
      <c r="H1768" s="16" t="inlineStr">
        <is>
          <t>method=PUT</t>
        </is>
      </c>
      <c r="I1768" s="16" t="inlineStr">
        <is>
          <t>Cookie included.</t>
        </is>
      </c>
      <c r="J1768" s="16" t="inlineStr"/>
      <c r="K1768" s="16" t="inlineStr">
        <is>
          <t>Not Run</t>
        </is>
      </c>
      <c r="L1768" s="16" t="inlineStr">
        <is>
          <t>Medium</t>
        </is>
      </c>
      <c r="M1768" s="16" t="inlineStr"/>
      <c r="N1768" s="16" t="inlineStr"/>
      <c r="O1768" s="16" t="inlineStr"/>
    </row>
    <row r="1769" ht="72" customHeight="1">
      <c r="A1769" s="16" t="inlineStr">
        <is>
          <t>TC-CO-0030</t>
        </is>
      </c>
      <c r="B1769" s="16" t="inlineStr">
        <is>
          <t>Cookies</t>
        </is>
      </c>
      <c r="C1769" s="16" t="inlineStr">
        <is>
          <t>Path match: cookie path=/api sent to /api/v1 (DELETE)</t>
        </is>
      </c>
      <c r="D1769" s="16" t="inlineStr">
        <is>
          <t>Functional</t>
        </is>
      </c>
      <c r="E1769" s="16" t="inlineStr">
        <is>
          <t>DELETE: Path match: cookie path=/api sent to /api/v1</t>
        </is>
      </c>
      <c r="F1769" s="16" t="inlineStr">
        <is>
          <t>Cookie path=/api</t>
        </is>
      </c>
      <c r="G1769" s="16" t="inlineStr">
        <is>
          <t>1. DELETE send to /api/v1</t>
        </is>
      </c>
      <c r="H1769" s="16" t="inlineStr">
        <is>
          <t>method=DELETE</t>
        </is>
      </c>
      <c r="I1769" s="16" t="inlineStr">
        <is>
          <t>Cookie included.</t>
        </is>
      </c>
      <c r="J1769" s="16" t="inlineStr"/>
      <c r="K1769" s="16" t="inlineStr">
        <is>
          <t>Not Run</t>
        </is>
      </c>
      <c r="L1769" s="16" t="inlineStr">
        <is>
          <t>Medium</t>
        </is>
      </c>
      <c r="M1769" s="16" t="inlineStr"/>
      <c r="N1769" s="16" t="inlineStr"/>
      <c r="O1769" s="16" t="inlineStr"/>
    </row>
    <row r="1770" ht="72" customHeight="1">
      <c r="A1770" s="16" t="inlineStr">
        <is>
          <t>TC-CO-0031</t>
        </is>
      </c>
      <c r="B1770" s="16" t="inlineStr">
        <is>
          <t>Cookies</t>
        </is>
      </c>
      <c r="C1770" s="16" t="inlineStr">
        <is>
          <t>Path match: cookie path=/api NOT sent to /other (GET)</t>
        </is>
      </c>
      <c r="D1770" s="16" t="inlineStr">
        <is>
          <t>Functional</t>
        </is>
      </c>
      <c r="E1770" s="16" t="inlineStr">
        <is>
          <t>GET: Path match: cookie path=/api NOT sent to /other</t>
        </is>
      </c>
      <c r="F1770" s="16" t="inlineStr">
        <is>
          <t>Cookie path=/api</t>
        </is>
      </c>
      <c r="G1770" s="16" t="inlineStr">
        <is>
          <t>1. GET send to /other</t>
        </is>
      </c>
      <c r="H1770" s="16" t="inlineStr">
        <is>
          <t>method=GET</t>
        </is>
      </c>
      <c r="I1770" s="16" t="inlineStr">
        <is>
          <t>Cookie NOT included.</t>
        </is>
      </c>
      <c r="J1770" s="16" t="inlineStr"/>
      <c r="K1770" s="16" t="inlineStr">
        <is>
          <t>Not Run</t>
        </is>
      </c>
      <c r="L1770" s="16" t="inlineStr">
        <is>
          <t>Medium</t>
        </is>
      </c>
      <c r="M1770" s="16" t="inlineStr"/>
      <c r="N1770" s="16" t="inlineStr"/>
      <c r="O1770" s="16" t="inlineStr"/>
    </row>
    <row r="1771" ht="72" customHeight="1">
      <c r="A1771" s="16" t="inlineStr">
        <is>
          <t>TC-CO-0032</t>
        </is>
      </c>
      <c r="B1771" s="16" t="inlineStr">
        <is>
          <t>Cookies</t>
        </is>
      </c>
      <c r="C1771" s="16" t="inlineStr">
        <is>
          <t>Path match: cookie path=/api NOT sent to /other (POST)</t>
        </is>
      </c>
      <c r="D1771" s="16" t="inlineStr">
        <is>
          <t>Functional</t>
        </is>
      </c>
      <c r="E1771" s="16" t="inlineStr">
        <is>
          <t>POST: Path match: cookie path=/api NOT sent to /other</t>
        </is>
      </c>
      <c r="F1771" s="16" t="inlineStr">
        <is>
          <t>Cookie path=/api</t>
        </is>
      </c>
      <c r="G1771" s="16" t="inlineStr">
        <is>
          <t>1. POST send to /other</t>
        </is>
      </c>
      <c r="H1771" s="16" t="inlineStr">
        <is>
          <t>method=POST</t>
        </is>
      </c>
      <c r="I1771" s="16" t="inlineStr">
        <is>
          <t>Cookie NOT included.</t>
        </is>
      </c>
      <c r="J1771" s="16" t="inlineStr"/>
      <c r="K1771" s="16" t="inlineStr">
        <is>
          <t>Not Run</t>
        </is>
      </c>
      <c r="L1771" s="16" t="inlineStr">
        <is>
          <t>Medium</t>
        </is>
      </c>
      <c r="M1771" s="16" t="inlineStr"/>
      <c r="N1771" s="16" t="inlineStr"/>
      <c r="O1771" s="16" t="inlineStr"/>
    </row>
    <row r="1772" ht="72" customHeight="1">
      <c r="A1772" s="16" t="inlineStr">
        <is>
          <t>TC-CO-0033</t>
        </is>
      </c>
      <c r="B1772" s="16" t="inlineStr">
        <is>
          <t>Cookies</t>
        </is>
      </c>
      <c r="C1772" s="16" t="inlineStr">
        <is>
          <t>Path match: cookie path=/api NOT sent to /other (PUT)</t>
        </is>
      </c>
      <c r="D1772" s="16" t="inlineStr">
        <is>
          <t>Functional</t>
        </is>
      </c>
      <c r="E1772" s="16" t="inlineStr">
        <is>
          <t>PUT: Path match: cookie path=/api NOT sent to /other</t>
        </is>
      </c>
      <c r="F1772" s="16" t="inlineStr">
        <is>
          <t>Cookie path=/api</t>
        </is>
      </c>
      <c r="G1772" s="16" t="inlineStr">
        <is>
          <t>1. PUT send to /other</t>
        </is>
      </c>
      <c r="H1772" s="16" t="inlineStr">
        <is>
          <t>method=PUT</t>
        </is>
      </c>
      <c r="I1772" s="16" t="inlineStr">
        <is>
          <t>Cookie NOT included.</t>
        </is>
      </c>
      <c r="J1772" s="16" t="inlineStr"/>
      <c r="K1772" s="16" t="inlineStr">
        <is>
          <t>Not Run</t>
        </is>
      </c>
      <c r="L1772" s="16" t="inlineStr">
        <is>
          <t>Medium</t>
        </is>
      </c>
      <c r="M1772" s="16" t="inlineStr"/>
      <c r="N1772" s="16" t="inlineStr"/>
      <c r="O1772" s="16" t="inlineStr"/>
    </row>
    <row r="1773" ht="72" customHeight="1">
      <c r="A1773" s="16" t="inlineStr">
        <is>
          <t>TC-CO-0034</t>
        </is>
      </c>
      <c r="B1773" s="16" t="inlineStr">
        <is>
          <t>Cookies</t>
        </is>
      </c>
      <c r="C1773" s="16" t="inlineStr">
        <is>
          <t>Path match: cookie path=/api NOT sent to /other (DELETE)</t>
        </is>
      </c>
      <c r="D1773" s="16" t="inlineStr">
        <is>
          <t>Functional</t>
        </is>
      </c>
      <c r="E1773" s="16" t="inlineStr">
        <is>
          <t>DELETE: Path match: cookie path=/api NOT sent to /other</t>
        </is>
      </c>
      <c r="F1773" s="16" t="inlineStr">
        <is>
          <t>Cookie path=/api</t>
        </is>
      </c>
      <c r="G1773" s="16" t="inlineStr">
        <is>
          <t>1. DELETE send to /other</t>
        </is>
      </c>
      <c r="H1773" s="16" t="inlineStr">
        <is>
          <t>method=DELETE</t>
        </is>
      </c>
      <c r="I1773" s="16" t="inlineStr">
        <is>
          <t>Cookie NOT included.</t>
        </is>
      </c>
      <c r="J1773" s="16" t="inlineStr"/>
      <c r="K1773" s="16" t="inlineStr">
        <is>
          <t>Not Run</t>
        </is>
      </c>
      <c r="L1773" s="16" t="inlineStr">
        <is>
          <t>Medium</t>
        </is>
      </c>
      <c r="M1773" s="16" t="inlineStr"/>
      <c r="N1773" s="16" t="inlineStr"/>
      <c r="O1773" s="16" t="inlineStr"/>
    </row>
    <row r="1774" ht="72" customHeight="1">
      <c r="A1774" s="16" t="inlineStr">
        <is>
          <t>TC-CO-0035</t>
        </is>
      </c>
      <c r="B1774" s="16" t="inlineStr">
        <is>
          <t>Cookies</t>
        </is>
      </c>
      <c r="C1774" s="16" t="inlineStr">
        <is>
          <t>Secure cookie NOT sent over http (GET)</t>
        </is>
      </c>
      <c r="D1774" s="16" t="inlineStr">
        <is>
          <t>Functional</t>
        </is>
      </c>
      <c r="E1774" s="16" t="inlineStr">
        <is>
          <t>GET: Secure cookie NOT sent over http</t>
        </is>
      </c>
      <c r="F1774" s="16" t="inlineStr">
        <is>
          <t>Secure cookie</t>
        </is>
      </c>
      <c r="G1774" s="16" t="inlineStr">
        <is>
          <t>1. GET send http://example.com</t>
        </is>
      </c>
      <c r="H1774" s="16" t="inlineStr">
        <is>
          <t>method=GET</t>
        </is>
      </c>
      <c r="I1774" s="16" t="inlineStr">
        <is>
          <t>Cookie NOT included.</t>
        </is>
      </c>
      <c r="J1774" s="16" t="inlineStr"/>
      <c r="K1774" s="16" t="inlineStr">
        <is>
          <t>Not Run</t>
        </is>
      </c>
      <c r="L1774" s="16" t="inlineStr">
        <is>
          <t>High</t>
        </is>
      </c>
      <c r="M1774" s="16" t="inlineStr"/>
      <c r="N1774" s="16" t="inlineStr"/>
      <c r="O1774" s="16" t="inlineStr"/>
    </row>
    <row r="1775" ht="72" customHeight="1">
      <c r="A1775" s="16" t="inlineStr">
        <is>
          <t>TC-CO-0036</t>
        </is>
      </c>
      <c r="B1775" s="16" t="inlineStr">
        <is>
          <t>Cookies</t>
        </is>
      </c>
      <c r="C1775" s="16" t="inlineStr">
        <is>
          <t>Secure cookie NOT sent over http (POST)</t>
        </is>
      </c>
      <c r="D1775" s="16" t="inlineStr">
        <is>
          <t>Functional</t>
        </is>
      </c>
      <c r="E1775" s="16" t="inlineStr">
        <is>
          <t>POST: Secure cookie NOT sent over http</t>
        </is>
      </c>
      <c r="F1775" s="16" t="inlineStr">
        <is>
          <t>Secure cookie</t>
        </is>
      </c>
      <c r="G1775" s="16" t="inlineStr">
        <is>
          <t>1. POST send http://example.com</t>
        </is>
      </c>
      <c r="H1775" s="16" t="inlineStr">
        <is>
          <t>method=POST</t>
        </is>
      </c>
      <c r="I1775" s="16" t="inlineStr">
        <is>
          <t>Cookie NOT included.</t>
        </is>
      </c>
      <c r="J1775" s="16" t="inlineStr"/>
      <c r="K1775" s="16" t="inlineStr">
        <is>
          <t>Not Run</t>
        </is>
      </c>
      <c r="L1775" s="16" t="inlineStr">
        <is>
          <t>High</t>
        </is>
      </c>
      <c r="M1775" s="16" t="inlineStr"/>
      <c r="N1775" s="16" t="inlineStr"/>
      <c r="O1775" s="16" t="inlineStr"/>
    </row>
    <row r="1776" ht="72" customHeight="1">
      <c r="A1776" s="16" t="inlineStr">
        <is>
          <t>TC-CO-0037</t>
        </is>
      </c>
      <c r="B1776" s="16" t="inlineStr">
        <is>
          <t>Cookies</t>
        </is>
      </c>
      <c r="C1776" s="16" t="inlineStr">
        <is>
          <t>Secure cookie NOT sent over http (PUT)</t>
        </is>
      </c>
      <c r="D1776" s="16" t="inlineStr">
        <is>
          <t>Functional</t>
        </is>
      </c>
      <c r="E1776" s="16" t="inlineStr">
        <is>
          <t>PUT: Secure cookie NOT sent over http</t>
        </is>
      </c>
      <c r="F1776" s="16" t="inlineStr">
        <is>
          <t>Secure cookie</t>
        </is>
      </c>
      <c r="G1776" s="16" t="inlineStr">
        <is>
          <t>1. PUT send http://example.com</t>
        </is>
      </c>
      <c r="H1776" s="16" t="inlineStr">
        <is>
          <t>method=PUT</t>
        </is>
      </c>
      <c r="I1776" s="16" t="inlineStr">
        <is>
          <t>Cookie NOT included.</t>
        </is>
      </c>
      <c r="J1776" s="16" t="inlineStr"/>
      <c r="K1776" s="16" t="inlineStr">
        <is>
          <t>Not Run</t>
        </is>
      </c>
      <c r="L1776" s="16" t="inlineStr">
        <is>
          <t>High</t>
        </is>
      </c>
      <c r="M1776" s="16" t="inlineStr"/>
      <c r="N1776" s="16" t="inlineStr"/>
      <c r="O1776" s="16" t="inlineStr"/>
    </row>
    <row r="1777" ht="72" customHeight="1">
      <c r="A1777" s="16" t="inlineStr">
        <is>
          <t>TC-CO-0038</t>
        </is>
      </c>
      <c r="B1777" s="16" t="inlineStr">
        <is>
          <t>Cookies</t>
        </is>
      </c>
      <c r="C1777" s="16" t="inlineStr">
        <is>
          <t>Secure cookie NOT sent over http (DELETE)</t>
        </is>
      </c>
      <c r="D1777" s="16" t="inlineStr">
        <is>
          <t>Functional</t>
        </is>
      </c>
      <c r="E1777" s="16" t="inlineStr">
        <is>
          <t>DELETE: Secure cookie NOT sent over http</t>
        </is>
      </c>
      <c r="F1777" s="16" t="inlineStr">
        <is>
          <t>Secure cookie</t>
        </is>
      </c>
      <c r="G1777" s="16" t="inlineStr">
        <is>
          <t>1. DELETE send http://example.com</t>
        </is>
      </c>
      <c r="H1777" s="16" t="inlineStr">
        <is>
          <t>method=DELETE</t>
        </is>
      </c>
      <c r="I1777" s="16" t="inlineStr">
        <is>
          <t>Cookie NOT included.</t>
        </is>
      </c>
      <c r="J1777" s="16" t="inlineStr"/>
      <c r="K1777" s="16" t="inlineStr">
        <is>
          <t>Not Run</t>
        </is>
      </c>
      <c r="L1777" s="16" t="inlineStr">
        <is>
          <t>High</t>
        </is>
      </c>
      <c r="M1777" s="16" t="inlineStr"/>
      <c r="N1777" s="16" t="inlineStr"/>
      <c r="O1777" s="16" t="inlineStr"/>
    </row>
    <row r="1778" ht="72" customHeight="1">
      <c r="A1778" s="16" t="inlineStr">
        <is>
          <t>TC-CO-0039</t>
        </is>
      </c>
      <c r="B1778" s="16" t="inlineStr">
        <is>
          <t>Cookies</t>
        </is>
      </c>
      <c r="C1778" s="16" t="inlineStr">
        <is>
          <t>HttpOnly cookie sent like any other (GET)</t>
        </is>
      </c>
      <c r="D1778" s="16" t="inlineStr">
        <is>
          <t>Functional</t>
        </is>
      </c>
      <c r="E1778" s="16" t="inlineStr">
        <is>
          <t>GET: HttpOnly cookie sent like any other</t>
        </is>
      </c>
      <c r="F1778" s="16" t="inlineStr">
        <is>
          <t>HttpOnly cookie</t>
        </is>
      </c>
      <c r="G1778" s="16" t="inlineStr">
        <is>
          <t>1. GET send.</t>
        </is>
      </c>
      <c r="H1778" s="16" t="inlineStr">
        <is>
          <t>method=GET</t>
        </is>
      </c>
      <c r="I1778" s="16" t="inlineStr">
        <is>
          <t>Included; only restriction is on JS access (response panel may flag).</t>
        </is>
      </c>
      <c r="J1778" s="16" t="inlineStr"/>
      <c r="K1778" s="16" t="inlineStr">
        <is>
          <t>Not Run</t>
        </is>
      </c>
      <c r="L1778" s="16" t="inlineStr">
        <is>
          <t>Low</t>
        </is>
      </c>
      <c r="M1778" s="16" t="inlineStr"/>
      <c r="N1778" s="16" t="inlineStr"/>
      <c r="O1778" s="16" t="inlineStr"/>
    </row>
    <row r="1779" ht="72" customHeight="1">
      <c r="A1779" s="16" t="inlineStr">
        <is>
          <t>TC-CO-0040</t>
        </is>
      </c>
      <c r="B1779" s="16" t="inlineStr">
        <is>
          <t>Cookies</t>
        </is>
      </c>
      <c r="C1779" s="16" t="inlineStr">
        <is>
          <t>HttpOnly cookie sent like any other (POST)</t>
        </is>
      </c>
      <c r="D1779" s="16" t="inlineStr">
        <is>
          <t>Functional</t>
        </is>
      </c>
      <c r="E1779" s="16" t="inlineStr">
        <is>
          <t>POST: HttpOnly cookie sent like any other</t>
        </is>
      </c>
      <c r="F1779" s="16" t="inlineStr">
        <is>
          <t>HttpOnly cookie</t>
        </is>
      </c>
      <c r="G1779" s="16" t="inlineStr">
        <is>
          <t>1. POST send.</t>
        </is>
      </c>
      <c r="H1779" s="16" t="inlineStr">
        <is>
          <t>method=POST</t>
        </is>
      </c>
      <c r="I1779" s="16" t="inlineStr">
        <is>
          <t>Included; only restriction is on JS access (response panel may flag).</t>
        </is>
      </c>
      <c r="J1779" s="16" t="inlineStr"/>
      <c r="K1779" s="16" t="inlineStr">
        <is>
          <t>Not Run</t>
        </is>
      </c>
      <c r="L1779" s="16" t="inlineStr">
        <is>
          <t>Low</t>
        </is>
      </c>
      <c r="M1779" s="16" t="inlineStr"/>
      <c r="N1779" s="16" t="inlineStr"/>
      <c r="O1779" s="16" t="inlineStr"/>
    </row>
    <row r="1780" ht="72" customHeight="1">
      <c r="A1780" s="16" t="inlineStr">
        <is>
          <t>TC-CO-0041</t>
        </is>
      </c>
      <c r="B1780" s="16" t="inlineStr">
        <is>
          <t>Cookies</t>
        </is>
      </c>
      <c r="C1780" s="16" t="inlineStr">
        <is>
          <t>HttpOnly cookie sent like any other (PUT)</t>
        </is>
      </c>
      <c r="D1780" s="16" t="inlineStr">
        <is>
          <t>Functional</t>
        </is>
      </c>
      <c r="E1780" s="16" t="inlineStr">
        <is>
          <t>PUT: HttpOnly cookie sent like any other</t>
        </is>
      </c>
      <c r="F1780" s="16" t="inlineStr">
        <is>
          <t>HttpOnly cookie</t>
        </is>
      </c>
      <c r="G1780" s="16" t="inlineStr">
        <is>
          <t>1. PUT send.</t>
        </is>
      </c>
      <c r="H1780" s="16" t="inlineStr">
        <is>
          <t>method=PUT</t>
        </is>
      </c>
      <c r="I1780" s="16" t="inlineStr">
        <is>
          <t>Included; only restriction is on JS access (response panel may flag).</t>
        </is>
      </c>
      <c r="J1780" s="16" t="inlineStr"/>
      <c r="K1780" s="16" t="inlineStr">
        <is>
          <t>Not Run</t>
        </is>
      </c>
      <c r="L1780" s="16" t="inlineStr">
        <is>
          <t>Low</t>
        </is>
      </c>
      <c r="M1780" s="16" t="inlineStr"/>
      <c r="N1780" s="16" t="inlineStr"/>
      <c r="O1780" s="16" t="inlineStr"/>
    </row>
    <row r="1781" ht="72" customHeight="1">
      <c r="A1781" s="16" t="inlineStr">
        <is>
          <t>TC-CO-0042</t>
        </is>
      </c>
      <c r="B1781" s="16" t="inlineStr">
        <is>
          <t>Cookies</t>
        </is>
      </c>
      <c r="C1781" s="16" t="inlineStr">
        <is>
          <t>HttpOnly cookie sent like any other (DELETE)</t>
        </is>
      </c>
      <c r="D1781" s="16" t="inlineStr">
        <is>
          <t>Functional</t>
        </is>
      </c>
      <c r="E1781" s="16" t="inlineStr">
        <is>
          <t>DELETE: HttpOnly cookie sent like any other</t>
        </is>
      </c>
      <c r="F1781" s="16" t="inlineStr">
        <is>
          <t>HttpOnly cookie</t>
        </is>
      </c>
      <c r="G1781" s="16" t="inlineStr">
        <is>
          <t>1. DELETE send.</t>
        </is>
      </c>
      <c r="H1781" s="16" t="inlineStr">
        <is>
          <t>method=DELETE</t>
        </is>
      </c>
      <c r="I1781" s="16" t="inlineStr">
        <is>
          <t>Included; only restriction is on JS access (response panel may flag).</t>
        </is>
      </c>
      <c r="J1781" s="16" t="inlineStr"/>
      <c r="K1781" s="16" t="inlineStr">
        <is>
          <t>Not Run</t>
        </is>
      </c>
      <c r="L1781" s="16" t="inlineStr">
        <is>
          <t>Low</t>
        </is>
      </c>
      <c r="M1781" s="16" t="inlineStr"/>
      <c r="N1781" s="16" t="inlineStr"/>
      <c r="O1781" s="16" t="inlineStr"/>
    </row>
    <row r="1782" ht="72" customHeight="1">
      <c r="A1782" s="16" t="inlineStr">
        <is>
          <t>TC-CO-0043</t>
        </is>
      </c>
      <c r="B1782" s="16" t="inlineStr">
        <is>
          <t>Cookies</t>
        </is>
      </c>
      <c r="C1782" s="16" t="inlineStr">
        <is>
          <t>Multiple cookies for same domain (GET)</t>
        </is>
      </c>
      <c r="D1782" s="16" t="inlineStr">
        <is>
          <t>Functional</t>
        </is>
      </c>
      <c r="E1782" s="16" t="inlineStr">
        <is>
          <t>GET: Multiple cookies for same domain</t>
        </is>
      </c>
      <c r="F1782" s="16" t="inlineStr">
        <is>
          <t>3 cookies on example.com</t>
        </is>
      </c>
      <c r="G1782" s="16" t="inlineStr">
        <is>
          <t>1. GET send.</t>
        </is>
      </c>
      <c r="H1782" s="16" t="inlineStr">
        <is>
          <t>method=GET</t>
        </is>
      </c>
      <c r="I1782" s="16" t="inlineStr">
        <is>
          <t>All 3 in Cookie header, semicolon-separated.</t>
        </is>
      </c>
      <c r="J1782" s="16" t="inlineStr"/>
      <c r="K1782" s="16" t="inlineStr">
        <is>
          <t>Not Run</t>
        </is>
      </c>
      <c r="L1782" s="16" t="inlineStr">
        <is>
          <t>Medium</t>
        </is>
      </c>
      <c r="M1782" s="16" t="inlineStr"/>
      <c r="N1782" s="16" t="inlineStr"/>
      <c r="O1782" s="16" t="inlineStr"/>
    </row>
    <row r="1783" ht="72" customHeight="1">
      <c r="A1783" s="16" t="inlineStr">
        <is>
          <t>TC-CO-0044</t>
        </is>
      </c>
      <c r="B1783" s="16" t="inlineStr">
        <is>
          <t>Cookies</t>
        </is>
      </c>
      <c r="C1783" s="16" t="inlineStr">
        <is>
          <t>Multiple cookies for same domain (POST)</t>
        </is>
      </c>
      <c r="D1783" s="16" t="inlineStr">
        <is>
          <t>Functional</t>
        </is>
      </c>
      <c r="E1783" s="16" t="inlineStr">
        <is>
          <t>POST: Multiple cookies for same domain</t>
        </is>
      </c>
      <c r="F1783" s="16" t="inlineStr">
        <is>
          <t>3 cookies on example.com</t>
        </is>
      </c>
      <c r="G1783" s="16" t="inlineStr">
        <is>
          <t>1. POST send.</t>
        </is>
      </c>
      <c r="H1783" s="16" t="inlineStr">
        <is>
          <t>method=POST</t>
        </is>
      </c>
      <c r="I1783" s="16" t="inlineStr">
        <is>
          <t>All 3 in Cookie header, semicolon-separated.</t>
        </is>
      </c>
      <c r="J1783" s="16" t="inlineStr"/>
      <c r="K1783" s="16" t="inlineStr">
        <is>
          <t>Not Run</t>
        </is>
      </c>
      <c r="L1783" s="16" t="inlineStr">
        <is>
          <t>Medium</t>
        </is>
      </c>
      <c r="M1783" s="16" t="inlineStr"/>
      <c r="N1783" s="16" t="inlineStr"/>
      <c r="O1783" s="16" t="inlineStr"/>
    </row>
    <row r="1784" ht="72" customHeight="1">
      <c r="A1784" s="16" t="inlineStr">
        <is>
          <t>TC-CO-0045</t>
        </is>
      </c>
      <c r="B1784" s="16" t="inlineStr">
        <is>
          <t>Cookies</t>
        </is>
      </c>
      <c r="C1784" s="16" t="inlineStr">
        <is>
          <t>Multiple cookies for same domain (PUT)</t>
        </is>
      </c>
      <c r="D1784" s="16" t="inlineStr">
        <is>
          <t>Functional</t>
        </is>
      </c>
      <c r="E1784" s="16" t="inlineStr">
        <is>
          <t>PUT: Multiple cookies for same domain</t>
        </is>
      </c>
      <c r="F1784" s="16" t="inlineStr">
        <is>
          <t>3 cookies on example.com</t>
        </is>
      </c>
      <c r="G1784" s="16" t="inlineStr">
        <is>
          <t>1. PUT send.</t>
        </is>
      </c>
      <c r="H1784" s="16" t="inlineStr">
        <is>
          <t>method=PUT</t>
        </is>
      </c>
      <c r="I1784" s="16" t="inlineStr">
        <is>
          <t>All 3 in Cookie header, semicolon-separated.</t>
        </is>
      </c>
      <c r="J1784" s="16" t="inlineStr"/>
      <c r="K1784" s="16" t="inlineStr">
        <is>
          <t>Not Run</t>
        </is>
      </c>
      <c r="L1784" s="16" t="inlineStr">
        <is>
          <t>Medium</t>
        </is>
      </c>
      <c r="M1784" s="16" t="inlineStr"/>
      <c r="N1784" s="16" t="inlineStr"/>
      <c r="O1784" s="16" t="inlineStr"/>
    </row>
    <row r="1785" ht="72" customHeight="1">
      <c r="A1785" s="16" t="inlineStr">
        <is>
          <t>TC-CO-0046</t>
        </is>
      </c>
      <c r="B1785" s="16" t="inlineStr">
        <is>
          <t>Cookies</t>
        </is>
      </c>
      <c r="C1785" s="16" t="inlineStr">
        <is>
          <t>Multiple cookies for same domain (DELETE)</t>
        </is>
      </c>
      <c r="D1785" s="16" t="inlineStr">
        <is>
          <t>Functional</t>
        </is>
      </c>
      <c r="E1785" s="16" t="inlineStr">
        <is>
          <t>DELETE: Multiple cookies for same domain</t>
        </is>
      </c>
      <c r="F1785" s="16" t="inlineStr">
        <is>
          <t>3 cookies on example.com</t>
        </is>
      </c>
      <c r="G1785" s="16" t="inlineStr">
        <is>
          <t>1. DELETE send.</t>
        </is>
      </c>
      <c r="H1785" s="16" t="inlineStr">
        <is>
          <t>method=DELETE</t>
        </is>
      </c>
      <c r="I1785" s="16" t="inlineStr">
        <is>
          <t>All 3 in Cookie header, semicolon-separated.</t>
        </is>
      </c>
      <c r="J1785" s="16" t="inlineStr"/>
      <c r="K1785" s="16" t="inlineStr">
        <is>
          <t>Not Run</t>
        </is>
      </c>
      <c r="L1785" s="16" t="inlineStr">
        <is>
          <t>Medium</t>
        </is>
      </c>
      <c r="M1785" s="16" t="inlineStr"/>
      <c r="N1785" s="16" t="inlineStr"/>
      <c r="O1785" s="16" t="inlineStr"/>
    </row>
    <row r="1786" ht="72" customHeight="1">
      <c r="A1786" s="16" t="inlineStr">
        <is>
          <t>TC-CO-0047</t>
        </is>
      </c>
      <c r="B1786" s="16" t="inlineStr">
        <is>
          <t>Cookies</t>
        </is>
      </c>
      <c r="C1786" s="16" t="inlineStr">
        <is>
          <t>Expired cookie not sent (GET)</t>
        </is>
      </c>
      <c r="D1786" s="16" t="inlineStr">
        <is>
          <t>Functional</t>
        </is>
      </c>
      <c r="E1786" s="16" t="inlineStr">
        <is>
          <t>GET: Expired cookie not sent</t>
        </is>
      </c>
      <c r="F1786" s="16" t="inlineStr">
        <is>
          <t>Cookie with past Expires</t>
        </is>
      </c>
      <c r="G1786" s="16" t="inlineStr">
        <is>
          <t>1. GET send.</t>
        </is>
      </c>
      <c r="H1786" s="16" t="inlineStr">
        <is>
          <t>method=GET</t>
        </is>
      </c>
      <c r="I1786" s="16" t="inlineStr">
        <is>
          <t>Cookie excluded; UI may show as expired.</t>
        </is>
      </c>
      <c r="J1786" s="16" t="inlineStr"/>
      <c r="K1786" s="16" t="inlineStr">
        <is>
          <t>Not Run</t>
        </is>
      </c>
      <c r="L1786" s="16" t="inlineStr">
        <is>
          <t>Medium</t>
        </is>
      </c>
      <c r="M1786" s="16" t="inlineStr"/>
      <c r="N1786" s="16" t="inlineStr"/>
      <c r="O1786" s="16" t="inlineStr"/>
    </row>
    <row r="1787" ht="72" customHeight="1">
      <c r="A1787" s="16" t="inlineStr">
        <is>
          <t>TC-CO-0048</t>
        </is>
      </c>
      <c r="B1787" s="16" t="inlineStr">
        <is>
          <t>Cookies</t>
        </is>
      </c>
      <c r="C1787" s="16" t="inlineStr">
        <is>
          <t>Expired cookie not sent (POST)</t>
        </is>
      </c>
      <c r="D1787" s="16" t="inlineStr">
        <is>
          <t>Functional</t>
        </is>
      </c>
      <c r="E1787" s="16" t="inlineStr">
        <is>
          <t>POST: Expired cookie not sent</t>
        </is>
      </c>
      <c r="F1787" s="16" t="inlineStr">
        <is>
          <t>Cookie with past Expires</t>
        </is>
      </c>
      <c r="G1787" s="16" t="inlineStr">
        <is>
          <t>1. POST send.</t>
        </is>
      </c>
      <c r="H1787" s="16" t="inlineStr">
        <is>
          <t>method=POST</t>
        </is>
      </c>
      <c r="I1787" s="16" t="inlineStr">
        <is>
          <t>Cookie excluded; UI may show as expired.</t>
        </is>
      </c>
      <c r="J1787" s="16" t="inlineStr"/>
      <c r="K1787" s="16" t="inlineStr">
        <is>
          <t>Not Run</t>
        </is>
      </c>
      <c r="L1787" s="16" t="inlineStr">
        <is>
          <t>Medium</t>
        </is>
      </c>
      <c r="M1787" s="16" t="inlineStr"/>
      <c r="N1787" s="16" t="inlineStr"/>
      <c r="O1787" s="16" t="inlineStr"/>
    </row>
    <row r="1788" ht="72" customHeight="1">
      <c r="A1788" s="16" t="inlineStr">
        <is>
          <t>TC-CO-0049</t>
        </is>
      </c>
      <c r="B1788" s="16" t="inlineStr">
        <is>
          <t>Cookies</t>
        </is>
      </c>
      <c r="C1788" s="16" t="inlineStr">
        <is>
          <t>Expired cookie not sent (PUT)</t>
        </is>
      </c>
      <c r="D1788" s="16" t="inlineStr">
        <is>
          <t>Functional</t>
        </is>
      </c>
      <c r="E1788" s="16" t="inlineStr">
        <is>
          <t>PUT: Expired cookie not sent</t>
        </is>
      </c>
      <c r="F1788" s="16" t="inlineStr">
        <is>
          <t>Cookie with past Expires</t>
        </is>
      </c>
      <c r="G1788" s="16" t="inlineStr">
        <is>
          <t>1. PUT send.</t>
        </is>
      </c>
      <c r="H1788" s="16" t="inlineStr">
        <is>
          <t>method=PUT</t>
        </is>
      </c>
      <c r="I1788" s="16" t="inlineStr">
        <is>
          <t>Cookie excluded; UI may show as expired.</t>
        </is>
      </c>
      <c r="J1788" s="16" t="inlineStr"/>
      <c r="K1788" s="16" t="inlineStr">
        <is>
          <t>Not Run</t>
        </is>
      </c>
      <c r="L1788" s="16" t="inlineStr">
        <is>
          <t>Medium</t>
        </is>
      </c>
      <c r="M1788" s="16" t="inlineStr"/>
      <c r="N1788" s="16" t="inlineStr"/>
      <c r="O1788" s="16" t="inlineStr"/>
    </row>
    <row r="1789" ht="72" customHeight="1">
      <c r="A1789" s="16" t="inlineStr">
        <is>
          <t>TC-CO-0050</t>
        </is>
      </c>
      <c r="B1789" s="16" t="inlineStr">
        <is>
          <t>Cookies</t>
        </is>
      </c>
      <c r="C1789" s="16" t="inlineStr">
        <is>
          <t>Expired cookie not sent (DELETE)</t>
        </is>
      </c>
      <c r="D1789" s="16" t="inlineStr">
        <is>
          <t>Functional</t>
        </is>
      </c>
      <c r="E1789" s="16" t="inlineStr">
        <is>
          <t>DELETE: Expired cookie not sent</t>
        </is>
      </c>
      <c r="F1789" s="16" t="inlineStr">
        <is>
          <t>Cookie with past Expires</t>
        </is>
      </c>
      <c r="G1789" s="16" t="inlineStr">
        <is>
          <t>1. DELETE send.</t>
        </is>
      </c>
      <c r="H1789" s="16" t="inlineStr">
        <is>
          <t>method=DELETE</t>
        </is>
      </c>
      <c r="I1789" s="16" t="inlineStr">
        <is>
          <t>Cookie excluded; UI may show as expired.</t>
        </is>
      </c>
      <c r="J1789" s="16" t="inlineStr"/>
      <c r="K1789" s="16" t="inlineStr">
        <is>
          <t>Not Run</t>
        </is>
      </c>
      <c r="L1789" s="16" t="inlineStr">
        <is>
          <t>Medium</t>
        </is>
      </c>
      <c r="M1789" s="16" t="inlineStr"/>
      <c r="N1789" s="16" t="inlineStr"/>
      <c r="O1789" s="16" t="inlineStr"/>
    </row>
    <row r="1790" ht="72" customHeight="1">
      <c r="A1790" s="16" t="inlineStr">
        <is>
          <t>TC-CO-0051</t>
        </is>
      </c>
      <c r="B1790" s="16" t="inlineStr">
        <is>
          <t>Cookies</t>
        </is>
      </c>
      <c r="C1790" s="16" t="inlineStr">
        <is>
          <t>Set-Cookie with SameSite=Strict (GET)</t>
        </is>
      </c>
      <c r="D1790" s="16" t="inlineStr">
        <is>
          <t>Functional</t>
        </is>
      </c>
      <c r="E1790" s="16" t="inlineStr">
        <is>
          <t>GET: Set-Cookie with SameSite=Strict</t>
        </is>
      </c>
      <c r="F1790" s="16" t="inlineStr">
        <is>
          <t>Response sets SameSite=Strict</t>
        </is>
      </c>
      <c r="G1790" s="16" t="inlineStr">
        <is>
          <t>1. GET send.</t>
        </is>
      </c>
      <c r="H1790" s="16" t="inlineStr">
        <is>
          <t>method=GET</t>
        </is>
      </c>
      <c r="I1790" s="16" t="inlineStr">
        <is>
          <t>Cookie stored; flagged with SameSite attribute.</t>
        </is>
      </c>
      <c r="J1790" s="16" t="inlineStr"/>
      <c r="K1790" s="16" t="inlineStr">
        <is>
          <t>Not Run</t>
        </is>
      </c>
      <c r="L1790" s="16" t="inlineStr">
        <is>
          <t>Low</t>
        </is>
      </c>
      <c r="M1790" s="16" t="inlineStr"/>
      <c r="N1790" s="16" t="inlineStr"/>
      <c r="O1790" s="16" t="inlineStr"/>
    </row>
    <row r="1791" ht="72" customHeight="1">
      <c r="A1791" s="16" t="inlineStr">
        <is>
          <t>TC-CO-0052</t>
        </is>
      </c>
      <c r="B1791" s="16" t="inlineStr">
        <is>
          <t>Cookies</t>
        </is>
      </c>
      <c r="C1791" s="16" t="inlineStr">
        <is>
          <t>Set-Cookie with SameSite=Strict (POST)</t>
        </is>
      </c>
      <c r="D1791" s="16" t="inlineStr">
        <is>
          <t>Functional</t>
        </is>
      </c>
      <c r="E1791" s="16" t="inlineStr">
        <is>
          <t>POST: Set-Cookie with SameSite=Strict</t>
        </is>
      </c>
      <c r="F1791" s="16" t="inlineStr">
        <is>
          <t>Response sets SameSite=Strict</t>
        </is>
      </c>
      <c r="G1791" s="16" t="inlineStr">
        <is>
          <t>1. POST send.</t>
        </is>
      </c>
      <c r="H1791" s="16" t="inlineStr">
        <is>
          <t>method=POST</t>
        </is>
      </c>
      <c r="I1791" s="16" t="inlineStr">
        <is>
          <t>Cookie stored; flagged with SameSite attribute.</t>
        </is>
      </c>
      <c r="J1791" s="16" t="inlineStr"/>
      <c r="K1791" s="16" t="inlineStr">
        <is>
          <t>Not Run</t>
        </is>
      </c>
      <c r="L1791" s="16" t="inlineStr">
        <is>
          <t>Low</t>
        </is>
      </c>
      <c r="M1791" s="16" t="inlineStr"/>
      <c r="N1791" s="16" t="inlineStr"/>
      <c r="O1791" s="16" t="inlineStr"/>
    </row>
    <row r="1792" ht="72" customHeight="1">
      <c r="A1792" s="16" t="inlineStr">
        <is>
          <t>TC-CO-0053</t>
        </is>
      </c>
      <c r="B1792" s="16" t="inlineStr">
        <is>
          <t>Cookies</t>
        </is>
      </c>
      <c r="C1792" s="16" t="inlineStr">
        <is>
          <t>Set-Cookie with SameSite=Strict (PUT)</t>
        </is>
      </c>
      <c r="D1792" s="16" t="inlineStr">
        <is>
          <t>Functional</t>
        </is>
      </c>
      <c r="E1792" s="16" t="inlineStr">
        <is>
          <t>PUT: Set-Cookie with SameSite=Strict</t>
        </is>
      </c>
      <c r="F1792" s="16" t="inlineStr">
        <is>
          <t>Response sets SameSite=Strict</t>
        </is>
      </c>
      <c r="G1792" s="16" t="inlineStr">
        <is>
          <t>1. PUT send.</t>
        </is>
      </c>
      <c r="H1792" s="16" t="inlineStr">
        <is>
          <t>method=PUT</t>
        </is>
      </c>
      <c r="I1792" s="16" t="inlineStr">
        <is>
          <t>Cookie stored; flagged with SameSite attribute.</t>
        </is>
      </c>
      <c r="J1792" s="16" t="inlineStr"/>
      <c r="K1792" s="16" t="inlineStr">
        <is>
          <t>Not Run</t>
        </is>
      </c>
      <c r="L1792" s="16" t="inlineStr">
        <is>
          <t>Low</t>
        </is>
      </c>
      <c r="M1792" s="16" t="inlineStr"/>
      <c r="N1792" s="16" t="inlineStr"/>
      <c r="O1792" s="16" t="inlineStr"/>
    </row>
    <row r="1793" ht="72" customHeight="1">
      <c r="A1793" s="16" t="inlineStr">
        <is>
          <t>TC-CO-0054</t>
        </is>
      </c>
      <c r="B1793" s="16" t="inlineStr">
        <is>
          <t>Cookies</t>
        </is>
      </c>
      <c r="C1793" s="16" t="inlineStr">
        <is>
          <t>Set-Cookie with SameSite=Strict (DELETE)</t>
        </is>
      </c>
      <c r="D1793" s="16" t="inlineStr">
        <is>
          <t>Functional</t>
        </is>
      </c>
      <c r="E1793" s="16" t="inlineStr">
        <is>
          <t>DELETE: Set-Cookie with SameSite=Strict</t>
        </is>
      </c>
      <c r="F1793" s="16" t="inlineStr">
        <is>
          <t>Response sets SameSite=Strict</t>
        </is>
      </c>
      <c r="G1793" s="16" t="inlineStr">
        <is>
          <t>1. DELETE send.</t>
        </is>
      </c>
      <c r="H1793" s="16" t="inlineStr">
        <is>
          <t>method=DELETE</t>
        </is>
      </c>
      <c r="I1793" s="16" t="inlineStr">
        <is>
          <t>Cookie stored; flagged with SameSite attribute.</t>
        </is>
      </c>
      <c r="J1793" s="16" t="inlineStr"/>
      <c r="K1793" s="16" t="inlineStr">
        <is>
          <t>Not Run</t>
        </is>
      </c>
      <c r="L1793" s="16" t="inlineStr">
        <is>
          <t>Low</t>
        </is>
      </c>
      <c r="M1793" s="16" t="inlineStr"/>
      <c r="N1793" s="16" t="inlineStr"/>
      <c r="O1793" s="16" t="inlineStr"/>
    </row>
    <row r="1794" ht="72" customHeight="1">
      <c r="A1794" s="16" t="inlineStr">
        <is>
          <t>TC-CO-0055</t>
        </is>
      </c>
      <c r="B1794" s="16" t="inlineStr">
        <is>
          <t>Cookies</t>
        </is>
      </c>
      <c r="C1794" s="16" t="inlineStr">
        <is>
          <t>Manual Cookie header overrides jar (GET)</t>
        </is>
      </c>
      <c r="D1794" s="16" t="inlineStr">
        <is>
          <t>Functional</t>
        </is>
      </c>
      <c r="E1794" s="16" t="inlineStr">
        <is>
          <t>GET: Manual Cookie header overrides jar</t>
        </is>
      </c>
      <c r="F1794" s="16" t="inlineStr">
        <is>
          <t>Jar has session=abc; Manual Cookie=session=xyz</t>
        </is>
      </c>
      <c r="G1794" s="16" t="inlineStr">
        <is>
          <t>1. GET send.</t>
        </is>
      </c>
      <c r="H1794" s="16" t="inlineStr">
        <is>
          <t>method=GET</t>
        </is>
      </c>
      <c r="I1794" s="16" t="inlineStr">
        <is>
          <t>Manual value sent; jar not appended.</t>
        </is>
      </c>
      <c r="J1794" s="16" t="inlineStr"/>
      <c r="K1794" s="16" t="inlineStr">
        <is>
          <t>Not Run</t>
        </is>
      </c>
      <c r="L1794" s="16" t="inlineStr">
        <is>
          <t>Medium</t>
        </is>
      </c>
      <c r="M1794" s="16" t="inlineStr"/>
      <c r="N1794" s="16" t="inlineStr"/>
      <c r="O1794" s="16" t="inlineStr"/>
    </row>
    <row r="1795" ht="72" customHeight="1">
      <c r="A1795" s="16" t="inlineStr">
        <is>
          <t>TC-CO-0056</t>
        </is>
      </c>
      <c r="B1795" s="16" t="inlineStr">
        <is>
          <t>Cookies</t>
        </is>
      </c>
      <c r="C1795" s="16" t="inlineStr">
        <is>
          <t>Manual Cookie header overrides jar (POST)</t>
        </is>
      </c>
      <c r="D1795" s="16" t="inlineStr">
        <is>
          <t>Functional</t>
        </is>
      </c>
      <c r="E1795" s="16" t="inlineStr">
        <is>
          <t>POST: Manual Cookie header overrides jar</t>
        </is>
      </c>
      <c r="F1795" s="16" t="inlineStr">
        <is>
          <t>Jar has session=abc; Manual Cookie=session=xyz</t>
        </is>
      </c>
      <c r="G1795" s="16" t="inlineStr">
        <is>
          <t>1. POST send.</t>
        </is>
      </c>
      <c r="H1795" s="16" t="inlineStr">
        <is>
          <t>method=POST</t>
        </is>
      </c>
      <c r="I1795" s="16" t="inlineStr">
        <is>
          <t>Manual value sent; jar not appended.</t>
        </is>
      </c>
      <c r="J1795" s="16" t="inlineStr"/>
      <c r="K1795" s="16" t="inlineStr">
        <is>
          <t>Not Run</t>
        </is>
      </c>
      <c r="L1795" s="16" t="inlineStr">
        <is>
          <t>Medium</t>
        </is>
      </c>
      <c r="M1795" s="16" t="inlineStr"/>
      <c r="N1795" s="16" t="inlineStr"/>
      <c r="O1795" s="16" t="inlineStr"/>
    </row>
    <row r="1796" ht="72" customHeight="1">
      <c r="A1796" s="16" t="inlineStr">
        <is>
          <t>TC-CO-0057</t>
        </is>
      </c>
      <c r="B1796" s="16" t="inlineStr">
        <is>
          <t>Cookies</t>
        </is>
      </c>
      <c r="C1796" s="16" t="inlineStr">
        <is>
          <t>Manual Cookie header overrides jar (PUT)</t>
        </is>
      </c>
      <c r="D1796" s="16" t="inlineStr">
        <is>
          <t>Functional</t>
        </is>
      </c>
      <c r="E1796" s="16" t="inlineStr">
        <is>
          <t>PUT: Manual Cookie header overrides jar</t>
        </is>
      </c>
      <c r="F1796" s="16" t="inlineStr">
        <is>
          <t>Jar has session=abc; Manual Cookie=session=xyz</t>
        </is>
      </c>
      <c r="G1796" s="16" t="inlineStr">
        <is>
          <t>1. PUT send.</t>
        </is>
      </c>
      <c r="H1796" s="16" t="inlineStr">
        <is>
          <t>method=PUT</t>
        </is>
      </c>
      <c r="I1796" s="16" t="inlineStr">
        <is>
          <t>Manual value sent; jar not appended.</t>
        </is>
      </c>
      <c r="J1796" s="16" t="inlineStr"/>
      <c r="K1796" s="16" t="inlineStr">
        <is>
          <t>Not Run</t>
        </is>
      </c>
      <c r="L1796" s="16" t="inlineStr">
        <is>
          <t>Medium</t>
        </is>
      </c>
      <c r="M1796" s="16" t="inlineStr"/>
      <c r="N1796" s="16" t="inlineStr"/>
      <c r="O1796" s="16" t="inlineStr"/>
    </row>
    <row r="1797" ht="72" customHeight="1">
      <c r="A1797" s="16" t="inlineStr">
        <is>
          <t>TC-CO-0058</t>
        </is>
      </c>
      <c r="B1797" s="16" t="inlineStr">
        <is>
          <t>Cookies</t>
        </is>
      </c>
      <c r="C1797" s="16" t="inlineStr">
        <is>
          <t>Manual Cookie header overrides jar (DELETE)</t>
        </is>
      </c>
      <c r="D1797" s="16" t="inlineStr">
        <is>
          <t>Functional</t>
        </is>
      </c>
      <c r="E1797" s="16" t="inlineStr">
        <is>
          <t>DELETE: Manual Cookie header overrides jar</t>
        </is>
      </c>
      <c r="F1797" s="16" t="inlineStr">
        <is>
          <t>Jar has session=abc; Manual Cookie=session=xyz</t>
        </is>
      </c>
      <c r="G1797" s="16" t="inlineStr">
        <is>
          <t>1. DELETE send.</t>
        </is>
      </c>
      <c r="H1797" s="16" t="inlineStr">
        <is>
          <t>method=DELETE</t>
        </is>
      </c>
      <c r="I1797" s="16" t="inlineStr">
        <is>
          <t>Manual value sent; jar not appended.</t>
        </is>
      </c>
      <c r="J1797" s="16" t="inlineStr"/>
      <c r="K1797" s="16" t="inlineStr">
        <is>
          <t>Not Run</t>
        </is>
      </c>
      <c r="L1797" s="16" t="inlineStr">
        <is>
          <t>Medium</t>
        </is>
      </c>
      <c r="M1797" s="16" t="inlineStr"/>
      <c r="N1797" s="16" t="inlineStr"/>
      <c r="O1797" s="16" t="inlineStr"/>
    </row>
    <row r="1798" ht="72" customHeight="1">
      <c r="A1798" s="16" t="inlineStr">
        <is>
          <t>TC-BC-0055</t>
        </is>
      </c>
      <c r="B1798" s="16" t="inlineStr">
        <is>
          <t>Body Content Variations</t>
        </is>
      </c>
      <c r="C1798" s="16" t="inlineStr">
        <is>
          <t>Variable</t>
        </is>
      </c>
      <c r="D1798" s="16" t="inlineStr">
        <is>
          <t>Functional</t>
        </is>
      </c>
      <c r="E1798" s="16" t="inlineStr">
        <is>
          <t>Interpolate Workspace var into raw-json JSON value</t>
        </is>
      </c>
      <c r="F1798" s="16" t="inlineStr">
        <is>
          <t>Workspace has v in scope 'Workspace var'.</t>
        </is>
      </c>
      <c r="G1798" s="16" t="inlineStr">
        <is>
          <t>1. Body type raw-json.
2. Use snippet referencing {{v}}: `{"name":"{{v}}"}`.
3. Send.</t>
        </is>
      </c>
      <c r="H1798" s="16" t="inlineStr">
        <is>
          <t>body=raw-json scope=Workspace var</t>
        </is>
      </c>
      <c r="I1798" s="16" t="inlineStr">
        <is>
          <t>Variable resolves; outgoing body contains the resolved value at JSON value; Content-Type appropriate for raw-json; server echo confirms.</t>
        </is>
      </c>
      <c r="J1798" s="16" t="inlineStr"/>
      <c r="K1798" s="16" t="inlineStr">
        <is>
          <t>Not Run</t>
        </is>
      </c>
      <c r="L1798" s="16" t="inlineStr">
        <is>
          <t>Medium</t>
        </is>
      </c>
      <c r="M1798" s="16" t="inlineStr"/>
      <c r="N1798" s="16" t="inlineStr"/>
      <c r="O1798" s="16" t="inlineStr"/>
    </row>
    <row r="1799" ht="72" customHeight="1">
      <c r="A1799" s="16" t="inlineStr">
        <is>
          <t>TC-BC-0056</t>
        </is>
      </c>
      <c r="B1799" s="16" t="inlineStr">
        <is>
          <t>Body Content Variations</t>
        </is>
      </c>
      <c r="C1799" s="16" t="inlineStr">
        <is>
          <t>Variable</t>
        </is>
      </c>
      <c r="D1799" s="16" t="inlineStr">
        <is>
          <t>Functional</t>
        </is>
      </c>
      <c r="E1799" s="16" t="inlineStr">
        <is>
          <t>Interpolate Workspace var into raw-json JSON key</t>
        </is>
      </c>
      <c r="F1799" s="16" t="inlineStr">
        <is>
          <t>Workspace has v in scope 'Workspace var'.</t>
        </is>
      </c>
      <c r="G1799" s="16" t="inlineStr">
        <is>
          <t>1. Body type raw-json.
2. Use snippet referencing {{v}}: `{"{{v}}":"x"}`.
3. Send.</t>
        </is>
      </c>
      <c r="H1799" s="16" t="inlineStr">
        <is>
          <t>body=raw-json scope=Workspace var</t>
        </is>
      </c>
      <c r="I1799" s="16" t="inlineStr">
        <is>
          <t>Variable resolves; outgoing body contains the resolved value at JSON key; Content-Type appropriate for raw-json; server echo confirms.</t>
        </is>
      </c>
      <c r="J1799" s="16" t="inlineStr"/>
      <c r="K1799" s="16" t="inlineStr">
        <is>
          <t>Not Run</t>
        </is>
      </c>
      <c r="L1799" s="16" t="inlineStr">
        <is>
          <t>Medium</t>
        </is>
      </c>
      <c r="M1799" s="16" t="inlineStr"/>
      <c r="N1799" s="16" t="inlineStr"/>
      <c r="O1799" s="16" t="inlineStr"/>
    </row>
    <row r="1800" ht="72" customHeight="1">
      <c r="A1800" s="16" t="inlineStr">
        <is>
          <t>TC-BC-0057</t>
        </is>
      </c>
      <c r="B1800" s="16" t="inlineStr">
        <is>
          <t>Body Content Variations</t>
        </is>
      </c>
      <c r="C1800" s="16" t="inlineStr">
        <is>
          <t>Variable</t>
        </is>
      </c>
      <c r="D1800" s="16" t="inlineStr">
        <is>
          <t>Functional</t>
        </is>
      </c>
      <c r="E1800" s="16" t="inlineStr">
        <is>
          <t>Interpolate Workspace var into raw-json nested object value</t>
        </is>
      </c>
      <c r="F1800" s="16" t="inlineStr">
        <is>
          <t>Workspace has v in scope 'Workspace var'.</t>
        </is>
      </c>
      <c r="G1800" s="16" t="inlineStr">
        <is>
          <t>1. Body type raw-json.
2. Use snippet referencing {{v}}: `{"u":{"name":"{{v}}"}}`.
3. Send.</t>
        </is>
      </c>
      <c r="H1800" s="16" t="inlineStr">
        <is>
          <t>body=raw-json scope=Workspace var</t>
        </is>
      </c>
      <c r="I1800" s="16" t="inlineStr">
        <is>
          <t>Variable resolves; outgoing body contains the resolved value at nested object value; Content-Type appropriate for raw-json; server echo confirms.</t>
        </is>
      </c>
      <c r="J1800" s="16" t="inlineStr"/>
      <c r="K1800" s="16" t="inlineStr">
        <is>
          <t>Not Run</t>
        </is>
      </c>
      <c r="L1800" s="16" t="inlineStr">
        <is>
          <t>Medium</t>
        </is>
      </c>
      <c r="M1800" s="16" t="inlineStr"/>
      <c r="N1800" s="16" t="inlineStr"/>
      <c r="O1800" s="16" t="inlineStr"/>
    </row>
    <row r="1801" ht="72" customHeight="1">
      <c r="A1801" s="16" t="inlineStr">
        <is>
          <t>TC-BC-0058</t>
        </is>
      </c>
      <c r="B1801" s="16" t="inlineStr">
        <is>
          <t>Body Content Variations</t>
        </is>
      </c>
      <c r="C1801" s="16" t="inlineStr">
        <is>
          <t>Variable</t>
        </is>
      </c>
      <c r="D1801" s="16" t="inlineStr">
        <is>
          <t>Functional</t>
        </is>
      </c>
      <c r="E1801" s="16" t="inlineStr">
        <is>
          <t>Interpolate Workspace var into raw-json array item</t>
        </is>
      </c>
      <c r="F1801" s="16" t="inlineStr">
        <is>
          <t>Workspace has v in scope 'Workspace var'.</t>
        </is>
      </c>
      <c r="G1801" s="16" t="inlineStr">
        <is>
          <t>1. Body type raw-json.
2. Use snippet referencing {{v}}: `["a","{{v}}","c"]`.
3. Send.</t>
        </is>
      </c>
      <c r="H1801" s="16" t="inlineStr">
        <is>
          <t>body=raw-json scope=Workspace var</t>
        </is>
      </c>
      <c r="I1801" s="16" t="inlineStr">
        <is>
          <t>Variable resolves; outgoing body contains the resolved value at array item; Content-Type appropriate for raw-json; server echo confirms.</t>
        </is>
      </c>
      <c r="J1801" s="16" t="inlineStr"/>
      <c r="K1801" s="16" t="inlineStr">
        <is>
          <t>Not Run</t>
        </is>
      </c>
      <c r="L1801" s="16" t="inlineStr">
        <is>
          <t>Medium</t>
        </is>
      </c>
      <c r="M1801" s="16" t="inlineStr"/>
      <c r="N1801" s="16" t="inlineStr"/>
      <c r="O1801" s="16" t="inlineStr"/>
    </row>
    <row r="1802" ht="72" customHeight="1">
      <c r="A1802" s="16" t="inlineStr">
        <is>
          <t>TC-BC-0059</t>
        </is>
      </c>
      <c r="B1802" s="16" t="inlineStr">
        <is>
          <t>Body Content Variations</t>
        </is>
      </c>
      <c r="C1802" s="16" t="inlineStr">
        <is>
          <t>Variable</t>
        </is>
      </c>
      <c r="D1802" s="16" t="inlineStr">
        <is>
          <t>Functional</t>
        </is>
      </c>
      <c r="E1802" s="16" t="inlineStr">
        <is>
          <t>Interpolate Workspace var into raw-xml element value</t>
        </is>
      </c>
      <c r="F1802" s="16" t="inlineStr">
        <is>
          <t>Workspace has v in scope 'Workspace var'.</t>
        </is>
      </c>
      <c r="G1802" s="16" t="inlineStr">
        <is>
          <t>1. Body type raw-xml.
2. Use snippet referencing {{v}}: `&lt;u name="x"&gt;{{v}}&lt;/u&gt;`.
3. Send.</t>
        </is>
      </c>
      <c r="H1802" s="16" t="inlineStr">
        <is>
          <t>body=raw-xml scope=Workspace var</t>
        </is>
      </c>
      <c r="I1802" s="16" t="inlineStr">
        <is>
          <t>Variable resolves; outgoing body contains the resolved value at element value; Content-Type appropriate for raw-xml; server echo confirms.</t>
        </is>
      </c>
      <c r="J1802" s="16" t="inlineStr"/>
      <c r="K1802" s="16" t="inlineStr">
        <is>
          <t>Not Run</t>
        </is>
      </c>
      <c r="L1802" s="16" t="inlineStr">
        <is>
          <t>Medium</t>
        </is>
      </c>
      <c r="M1802" s="16" t="inlineStr"/>
      <c r="N1802" s="16" t="inlineStr"/>
      <c r="O1802" s="16" t="inlineStr"/>
    </row>
    <row r="1803" ht="72" customHeight="1">
      <c r="A1803" s="16" t="inlineStr">
        <is>
          <t>TC-BC-0060</t>
        </is>
      </c>
      <c r="B1803" s="16" t="inlineStr">
        <is>
          <t>Body Content Variations</t>
        </is>
      </c>
      <c r="C1803" s="16" t="inlineStr">
        <is>
          <t>Variable</t>
        </is>
      </c>
      <c r="D1803" s="16" t="inlineStr">
        <is>
          <t>Functional</t>
        </is>
      </c>
      <c r="E1803" s="16" t="inlineStr">
        <is>
          <t>Interpolate Workspace var into raw-xml attribute value</t>
        </is>
      </c>
      <c r="F1803" s="16" t="inlineStr">
        <is>
          <t>Workspace has v in scope 'Workspace var'.</t>
        </is>
      </c>
      <c r="G1803" s="16" t="inlineStr">
        <is>
          <t>1. Body type raw-xml.
2. Use snippet referencing {{v}}: `&lt;u name="{{v}}"/&gt;`.
3. Send.</t>
        </is>
      </c>
      <c r="H1803" s="16" t="inlineStr">
        <is>
          <t>body=raw-xml scope=Workspace var</t>
        </is>
      </c>
      <c r="I1803" s="16" t="inlineStr">
        <is>
          <t>Variable resolves; outgoing body contains the resolved value at attribute value; Content-Type appropriate for raw-xml; server echo confirms.</t>
        </is>
      </c>
      <c r="J1803" s="16" t="inlineStr"/>
      <c r="K1803" s="16" t="inlineStr">
        <is>
          <t>Not Run</t>
        </is>
      </c>
      <c r="L1803" s="16" t="inlineStr">
        <is>
          <t>Medium</t>
        </is>
      </c>
      <c r="M1803" s="16" t="inlineStr"/>
      <c r="N1803" s="16" t="inlineStr"/>
      <c r="O1803" s="16" t="inlineStr"/>
    </row>
    <row r="1804" ht="72" customHeight="1">
      <c r="A1804" s="16" t="inlineStr">
        <is>
          <t>TC-BC-0061</t>
        </is>
      </c>
      <c r="B1804" s="16" t="inlineStr">
        <is>
          <t>Body Content Variations</t>
        </is>
      </c>
      <c r="C1804" s="16" t="inlineStr">
        <is>
          <t>Variable</t>
        </is>
      </c>
      <c r="D1804" s="16" t="inlineStr">
        <is>
          <t>Functional</t>
        </is>
      </c>
      <c r="E1804" s="16" t="inlineStr">
        <is>
          <t>Interpolate Workspace var into raw-text free text</t>
        </is>
      </c>
      <c r="F1804" s="16" t="inlineStr">
        <is>
          <t>Workspace has v in scope 'Workspace var'.</t>
        </is>
      </c>
      <c r="G1804" s="16" t="inlineStr">
        <is>
          <t>1. Body type raw-text.
2. Use snippet referencing {{v}}: `hello {{v}}`.
3. Send.</t>
        </is>
      </c>
      <c r="H1804" s="16" t="inlineStr">
        <is>
          <t>body=raw-text scope=Workspace var</t>
        </is>
      </c>
      <c r="I1804" s="16" t="inlineStr">
        <is>
          <t>Variable resolves; outgoing body contains the resolved value at free text; Content-Type appropriate for raw-text; server echo confirms.</t>
        </is>
      </c>
      <c r="J1804" s="16" t="inlineStr"/>
      <c r="K1804" s="16" t="inlineStr">
        <is>
          <t>Not Run</t>
        </is>
      </c>
      <c r="L1804" s="16" t="inlineStr">
        <is>
          <t>Medium</t>
        </is>
      </c>
      <c r="M1804" s="16" t="inlineStr"/>
      <c r="N1804" s="16" t="inlineStr"/>
      <c r="O1804" s="16" t="inlineStr"/>
    </row>
    <row r="1805" ht="72" customHeight="1">
      <c r="A1805" s="16" t="inlineStr">
        <is>
          <t>TC-BC-0062</t>
        </is>
      </c>
      <c r="B1805" s="16" t="inlineStr">
        <is>
          <t>Body Content Variations</t>
        </is>
      </c>
      <c r="C1805" s="16" t="inlineStr">
        <is>
          <t>Variable</t>
        </is>
      </c>
      <c r="D1805" s="16" t="inlineStr">
        <is>
          <t>Functional</t>
        </is>
      </c>
      <c r="E1805" s="16" t="inlineStr">
        <is>
          <t>Interpolate Workspace var into raw-html tag content</t>
        </is>
      </c>
      <c r="F1805" s="16" t="inlineStr">
        <is>
          <t>Workspace has v in scope 'Workspace var'.</t>
        </is>
      </c>
      <c r="G1805" s="16" t="inlineStr">
        <is>
          <t>1. Body type raw-html.
2. Use snippet referencing {{v}}: `&lt;p&gt;{{v}}&lt;/p&gt;`.
3. Send.</t>
        </is>
      </c>
      <c r="H1805" s="16" t="inlineStr">
        <is>
          <t>body=raw-html scope=Workspace var</t>
        </is>
      </c>
      <c r="I1805" s="16" t="inlineStr">
        <is>
          <t>Variable resolves; outgoing body contains the resolved value at tag content; Content-Type appropriate for raw-html; server echo confirms.</t>
        </is>
      </c>
      <c r="J1805" s="16" t="inlineStr"/>
      <c r="K1805" s="16" t="inlineStr">
        <is>
          <t>Not Run</t>
        </is>
      </c>
      <c r="L1805" s="16" t="inlineStr">
        <is>
          <t>Medium</t>
        </is>
      </c>
      <c r="M1805" s="16" t="inlineStr"/>
      <c r="N1805" s="16" t="inlineStr"/>
      <c r="O1805" s="16" t="inlineStr"/>
    </row>
    <row r="1806" ht="72" customHeight="1">
      <c r="A1806" s="16" t="inlineStr">
        <is>
          <t>TC-BC-0063</t>
        </is>
      </c>
      <c r="B1806" s="16" t="inlineStr">
        <is>
          <t>Body Content Variations</t>
        </is>
      </c>
      <c r="C1806" s="16" t="inlineStr">
        <is>
          <t>Variable</t>
        </is>
      </c>
      <c r="D1806" s="16" t="inlineStr">
        <is>
          <t>Functional</t>
        </is>
      </c>
      <c r="E1806" s="16" t="inlineStr">
        <is>
          <t>Interpolate Workspace var into raw-html attribute</t>
        </is>
      </c>
      <c r="F1806" s="16" t="inlineStr">
        <is>
          <t>Workspace has v in scope 'Workspace var'.</t>
        </is>
      </c>
      <c r="G1806" s="16" t="inlineStr">
        <is>
          <t>1. Body type raw-html.
2. Use snippet referencing {{v}}: `&lt;a href="{{v}}"&gt;x&lt;/a&gt;`.
3. Send.</t>
        </is>
      </c>
      <c r="H1806" s="16" t="inlineStr">
        <is>
          <t>body=raw-html scope=Workspace var</t>
        </is>
      </c>
      <c r="I1806" s="16" t="inlineStr">
        <is>
          <t>Variable resolves; outgoing body contains the resolved value at attribute; Content-Type appropriate for raw-html; server echo confirms.</t>
        </is>
      </c>
      <c r="J1806" s="16" t="inlineStr"/>
      <c r="K1806" s="16" t="inlineStr">
        <is>
          <t>Not Run</t>
        </is>
      </c>
      <c r="L1806" s="16" t="inlineStr">
        <is>
          <t>Medium</t>
        </is>
      </c>
      <c r="M1806" s="16" t="inlineStr"/>
      <c r="N1806" s="16" t="inlineStr"/>
      <c r="O1806" s="16" t="inlineStr"/>
    </row>
    <row r="1807" ht="72" customHeight="1">
      <c r="A1807" s="16" t="inlineStr">
        <is>
          <t>TC-BC-0064</t>
        </is>
      </c>
      <c r="B1807" s="16" t="inlineStr">
        <is>
          <t>Body Content Variations</t>
        </is>
      </c>
      <c r="C1807" s="16" t="inlineStr">
        <is>
          <t>Variable</t>
        </is>
      </c>
      <c r="D1807" s="16" t="inlineStr">
        <is>
          <t>Functional</t>
        </is>
      </c>
      <c r="E1807" s="16" t="inlineStr">
        <is>
          <t>Interpolate Workspace var into x-www-form-urlencoded value</t>
        </is>
      </c>
      <c r="F1807" s="16" t="inlineStr">
        <is>
          <t>Workspace has v in scope 'Workspace var'.</t>
        </is>
      </c>
      <c r="G1807" s="16" t="inlineStr">
        <is>
          <t>1. Body type x-www-form-urlencoded.
2. Use snippet referencing {{v}}: `q={{v}}`.
3. Send.</t>
        </is>
      </c>
      <c r="H1807" s="16" t="inlineStr">
        <is>
          <t>body=x-www-form-urlencoded scope=Workspace var</t>
        </is>
      </c>
      <c r="I1807" s="16" t="inlineStr">
        <is>
          <t>Variable resolves; outgoing body contains the resolved value at value; Content-Type appropriate for x-www-form-urlencoded; server echo confirms.</t>
        </is>
      </c>
      <c r="J1807" s="16" t="inlineStr"/>
      <c r="K1807" s="16" t="inlineStr">
        <is>
          <t>Not Run</t>
        </is>
      </c>
      <c r="L1807" s="16" t="inlineStr">
        <is>
          <t>Medium</t>
        </is>
      </c>
      <c r="M1807" s="16" t="inlineStr"/>
      <c r="N1807" s="16" t="inlineStr"/>
      <c r="O1807" s="16" t="inlineStr"/>
    </row>
    <row r="1808" ht="72" customHeight="1">
      <c r="A1808" s="16" t="inlineStr">
        <is>
          <t>TC-BC-0065</t>
        </is>
      </c>
      <c r="B1808" s="16" t="inlineStr">
        <is>
          <t>Body Content Variations</t>
        </is>
      </c>
      <c r="C1808" s="16" t="inlineStr">
        <is>
          <t>Variable</t>
        </is>
      </c>
      <c r="D1808" s="16" t="inlineStr">
        <is>
          <t>Functional</t>
        </is>
      </c>
      <c r="E1808" s="16" t="inlineStr">
        <is>
          <t>Interpolate Workspace var into form-data text field value</t>
        </is>
      </c>
      <c r="F1808" s="16" t="inlineStr">
        <is>
          <t>Workspace has v in scope 'Workspace var'.</t>
        </is>
      </c>
      <c r="G1808" s="16" t="inlineStr">
        <is>
          <t>1. Body type form-data.
2. Use snippet referencing {{v}}: `name={{v}}`.
3. Send.</t>
        </is>
      </c>
      <c r="H1808" s="16" t="inlineStr">
        <is>
          <t>body=form-data scope=Workspace var</t>
        </is>
      </c>
      <c r="I1808" s="16" t="inlineStr">
        <is>
          <t>Variable resolves; outgoing body contains the resolved value at text field value; Content-Type appropriate for form-data; server echo confirms.</t>
        </is>
      </c>
      <c r="J1808" s="16" t="inlineStr"/>
      <c r="K1808" s="16" t="inlineStr">
        <is>
          <t>Not Run</t>
        </is>
      </c>
      <c r="L1808" s="16" t="inlineStr">
        <is>
          <t>Medium</t>
        </is>
      </c>
      <c r="M1808" s="16" t="inlineStr"/>
      <c r="N1808" s="16" t="inlineStr"/>
      <c r="O1808" s="16" t="inlineStr"/>
    </row>
    <row r="1809" ht="72" customHeight="1">
      <c r="A1809" s="16" t="inlineStr">
        <is>
          <t>TC-BC-0066</t>
        </is>
      </c>
      <c r="B1809" s="16" t="inlineStr">
        <is>
          <t>Body Content Variations</t>
        </is>
      </c>
      <c r="C1809" s="16" t="inlineStr">
        <is>
          <t>Variable</t>
        </is>
      </c>
      <c r="D1809" s="16" t="inlineStr">
        <is>
          <t>Functional</t>
        </is>
      </c>
      <c r="E1809" s="16" t="inlineStr">
        <is>
          <t>Interpolate Workspace var into form-data file field key</t>
        </is>
      </c>
      <c r="F1809" s="16" t="inlineStr">
        <is>
          <t>Workspace has v in scope 'Workspace var'.</t>
        </is>
      </c>
      <c r="G1809" s="16" t="inlineStr">
        <is>
          <t>1. Body type form-data.
2. Use snippet referencing {{v}}: `{{v}}=&lt;file&gt;`.
3. Send.</t>
        </is>
      </c>
      <c r="H1809" s="16" t="inlineStr">
        <is>
          <t>body=form-data scope=Workspace var</t>
        </is>
      </c>
      <c r="I1809" s="16" t="inlineStr">
        <is>
          <t>Variable resolves; outgoing body contains the resolved value at file field key; Content-Type appropriate for form-data; server echo confirms.</t>
        </is>
      </c>
      <c r="J1809" s="16" t="inlineStr"/>
      <c r="K1809" s="16" t="inlineStr">
        <is>
          <t>Not Run</t>
        </is>
      </c>
      <c r="L1809" s="16" t="inlineStr">
        <is>
          <t>Medium</t>
        </is>
      </c>
      <c r="M1809" s="16" t="inlineStr"/>
      <c r="N1809" s="16" t="inlineStr"/>
      <c r="O1809" s="16" t="inlineStr"/>
    </row>
    <row r="1810" ht="72" customHeight="1">
      <c r="A1810" s="16" t="inlineStr">
        <is>
          <t>TC-BC-0067</t>
        </is>
      </c>
      <c r="B1810" s="16" t="inlineStr">
        <is>
          <t>Body Content Variations</t>
        </is>
      </c>
      <c r="C1810" s="16" t="inlineStr">
        <is>
          <t>Variable</t>
        </is>
      </c>
      <c r="D1810" s="16" t="inlineStr">
        <is>
          <t>Functional</t>
        </is>
      </c>
      <c r="E1810" s="16" t="inlineStr">
        <is>
          <t>Interpolate Workspace var into graphql query argument</t>
        </is>
      </c>
      <c r="F1810" s="16" t="inlineStr">
        <is>
          <t>Workspace has v in scope 'Workspace var'.</t>
        </is>
      </c>
      <c r="G1810" s="16" t="inlineStr">
        <is>
          <t>1. Body type graphql.
2. Use snippet referencing {{v}}: `query { user(id:"{{v}}"){ name } }`.
3. Send.</t>
        </is>
      </c>
      <c r="H1810" s="16" t="inlineStr">
        <is>
          <t>body=graphql scope=Workspace var</t>
        </is>
      </c>
      <c r="I1810" s="16" t="inlineStr">
        <is>
          <t>Variable resolves; outgoing body contains the resolved value at query argument; Content-Type appropriate for graphql; server echo confirms.</t>
        </is>
      </c>
      <c r="J1810" s="16" t="inlineStr"/>
      <c r="K1810" s="16" t="inlineStr">
        <is>
          <t>Not Run</t>
        </is>
      </c>
      <c r="L1810" s="16" t="inlineStr">
        <is>
          <t>Medium</t>
        </is>
      </c>
      <c r="M1810" s="16" t="inlineStr"/>
      <c r="N1810" s="16" t="inlineStr"/>
      <c r="O1810" s="16" t="inlineStr"/>
    </row>
    <row r="1811" ht="72" customHeight="1">
      <c r="A1811" s="16" t="inlineStr">
        <is>
          <t>TC-BC-0068</t>
        </is>
      </c>
      <c r="B1811" s="16" t="inlineStr">
        <is>
          <t>Body Content Variations</t>
        </is>
      </c>
      <c r="C1811" s="16" t="inlineStr">
        <is>
          <t>Variable</t>
        </is>
      </c>
      <c r="D1811" s="16" t="inlineStr">
        <is>
          <t>Functional</t>
        </is>
      </c>
      <c r="E1811" s="16" t="inlineStr">
        <is>
          <t>Interpolate Workspace var into graphql variables JSON</t>
        </is>
      </c>
      <c r="F1811" s="16" t="inlineStr">
        <is>
          <t>Workspace has v in scope 'Workspace var'.</t>
        </is>
      </c>
      <c r="G1811" s="16" t="inlineStr">
        <is>
          <t>1. Body type graphql.
2. Use snippet referencing {{v}}: `variables {"id":"{{v}}"}`.
3. Send.</t>
        </is>
      </c>
      <c r="H1811" s="16" t="inlineStr">
        <is>
          <t>body=graphql scope=Workspace var</t>
        </is>
      </c>
      <c r="I1811" s="16" t="inlineStr">
        <is>
          <t>Variable resolves; outgoing body contains the resolved value at variables JSON; Content-Type appropriate for graphql; server echo confirms.</t>
        </is>
      </c>
      <c r="J1811" s="16" t="inlineStr"/>
      <c r="K1811" s="16" t="inlineStr">
        <is>
          <t>Not Run</t>
        </is>
      </c>
      <c r="L1811" s="16" t="inlineStr">
        <is>
          <t>Medium</t>
        </is>
      </c>
      <c r="M1811" s="16" t="inlineStr"/>
      <c r="N1811" s="16" t="inlineStr"/>
      <c r="O1811" s="16" t="inlineStr"/>
    </row>
    <row r="1812" ht="72" customHeight="1">
      <c r="A1812" s="16" t="inlineStr">
        <is>
          <t>TC-BC-0069</t>
        </is>
      </c>
      <c r="B1812" s="16" t="inlineStr">
        <is>
          <t>Body Content Variations</t>
        </is>
      </c>
      <c r="C1812" s="16" t="inlineStr">
        <is>
          <t>Variable</t>
        </is>
      </c>
      <c r="D1812" s="16" t="inlineStr">
        <is>
          <t>Functional</t>
        </is>
      </c>
      <c r="E1812" s="16" t="inlineStr">
        <is>
          <t>Interpolate Env var into raw-json JSON value</t>
        </is>
      </c>
      <c r="F1812" s="16" t="inlineStr">
        <is>
          <t>Workspace has v in scope 'Env var'.</t>
        </is>
      </c>
      <c r="G1812" s="16" t="inlineStr">
        <is>
          <t>1. Body type raw-json.
2. Use snippet referencing {{v}}: `{"name":"{{v}}"}`.
3. Send.</t>
        </is>
      </c>
      <c r="H1812" s="16" t="inlineStr">
        <is>
          <t>body=raw-json scope=Env var</t>
        </is>
      </c>
      <c r="I1812" s="16" t="inlineStr">
        <is>
          <t>Variable resolves; outgoing body contains the resolved value at JSON value; Content-Type appropriate for raw-json; server echo confirms.</t>
        </is>
      </c>
      <c r="J1812" s="16" t="inlineStr"/>
      <c r="K1812" s="16" t="inlineStr">
        <is>
          <t>Not Run</t>
        </is>
      </c>
      <c r="L1812" s="16" t="inlineStr">
        <is>
          <t>Medium</t>
        </is>
      </c>
      <c r="M1812" s="16" t="inlineStr"/>
      <c r="N1812" s="16" t="inlineStr"/>
      <c r="O1812" s="16" t="inlineStr"/>
    </row>
    <row r="1813" ht="72" customHeight="1">
      <c r="A1813" s="16" t="inlineStr">
        <is>
          <t>TC-BC-0070</t>
        </is>
      </c>
      <c r="B1813" s="16" t="inlineStr">
        <is>
          <t>Body Content Variations</t>
        </is>
      </c>
      <c r="C1813" s="16" t="inlineStr">
        <is>
          <t>Variable</t>
        </is>
      </c>
      <c r="D1813" s="16" t="inlineStr">
        <is>
          <t>Functional</t>
        </is>
      </c>
      <c r="E1813" s="16" t="inlineStr">
        <is>
          <t>Interpolate Env var into raw-json JSON key</t>
        </is>
      </c>
      <c r="F1813" s="16" t="inlineStr">
        <is>
          <t>Workspace has v in scope 'Env var'.</t>
        </is>
      </c>
      <c r="G1813" s="16" t="inlineStr">
        <is>
          <t>1. Body type raw-json.
2. Use snippet referencing {{v}}: `{"{{v}}":"x"}`.
3. Send.</t>
        </is>
      </c>
      <c r="H1813" s="16" t="inlineStr">
        <is>
          <t>body=raw-json scope=Env var</t>
        </is>
      </c>
      <c r="I1813" s="16" t="inlineStr">
        <is>
          <t>Variable resolves; outgoing body contains the resolved value at JSON key; Content-Type appropriate for raw-json; server echo confirms.</t>
        </is>
      </c>
      <c r="J1813" s="16" t="inlineStr"/>
      <c r="K1813" s="16" t="inlineStr">
        <is>
          <t>Not Run</t>
        </is>
      </c>
      <c r="L1813" s="16" t="inlineStr">
        <is>
          <t>Medium</t>
        </is>
      </c>
      <c r="M1813" s="16" t="inlineStr"/>
      <c r="N1813" s="16" t="inlineStr"/>
      <c r="O1813" s="16" t="inlineStr"/>
    </row>
    <row r="1814" ht="72" customHeight="1">
      <c r="A1814" s="16" t="inlineStr">
        <is>
          <t>TC-BC-0071</t>
        </is>
      </c>
      <c r="B1814" s="16" t="inlineStr">
        <is>
          <t>Body Content Variations</t>
        </is>
      </c>
      <c r="C1814" s="16" t="inlineStr">
        <is>
          <t>Variable</t>
        </is>
      </c>
      <c r="D1814" s="16" t="inlineStr">
        <is>
          <t>Functional</t>
        </is>
      </c>
      <c r="E1814" s="16" t="inlineStr">
        <is>
          <t>Interpolate Env var into raw-json nested object value</t>
        </is>
      </c>
      <c r="F1814" s="16" t="inlineStr">
        <is>
          <t>Workspace has v in scope 'Env var'.</t>
        </is>
      </c>
      <c r="G1814" s="16" t="inlineStr">
        <is>
          <t>1. Body type raw-json.
2. Use snippet referencing {{v}}: `{"u":{"name":"{{v}}"}}`.
3. Send.</t>
        </is>
      </c>
      <c r="H1814" s="16" t="inlineStr">
        <is>
          <t>body=raw-json scope=Env var</t>
        </is>
      </c>
      <c r="I1814" s="16" t="inlineStr">
        <is>
          <t>Variable resolves; outgoing body contains the resolved value at nested object value; Content-Type appropriate for raw-json; server echo confirms.</t>
        </is>
      </c>
      <c r="J1814" s="16" t="inlineStr"/>
      <c r="K1814" s="16" t="inlineStr">
        <is>
          <t>Not Run</t>
        </is>
      </c>
      <c r="L1814" s="16" t="inlineStr">
        <is>
          <t>Medium</t>
        </is>
      </c>
      <c r="M1814" s="16" t="inlineStr"/>
      <c r="N1814" s="16" t="inlineStr"/>
      <c r="O1814" s="16" t="inlineStr"/>
    </row>
    <row r="1815" ht="72" customHeight="1">
      <c r="A1815" s="16" t="inlineStr">
        <is>
          <t>TC-BC-0072</t>
        </is>
      </c>
      <c r="B1815" s="16" t="inlineStr">
        <is>
          <t>Body Content Variations</t>
        </is>
      </c>
      <c r="C1815" s="16" t="inlineStr">
        <is>
          <t>Variable</t>
        </is>
      </c>
      <c r="D1815" s="16" t="inlineStr">
        <is>
          <t>Functional</t>
        </is>
      </c>
      <c r="E1815" s="16" t="inlineStr">
        <is>
          <t>Interpolate Env var into raw-json array item</t>
        </is>
      </c>
      <c r="F1815" s="16" t="inlineStr">
        <is>
          <t>Workspace has v in scope 'Env var'.</t>
        </is>
      </c>
      <c r="G1815" s="16" t="inlineStr">
        <is>
          <t>1. Body type raw-json.
2. Use snippet referencing {{v}}: `["a","{{v}}","c"]`.
3. Send.</t>
        </is>
      </c>
      <c r="H1815" s="16" t="inlineStr">
        <is>
          <t>body=raw-json scope=Env var</t>
        </is>
      </c>
      <c r="I1815" s="16" t="inlineStr">
        <is>
          <t>Variable resolves; outgoing body contains the resolved value at array item; Content-Type appropriate for raw-json; server echo confirms.</t>
        </is>
      </c>
      <c r="J1815" s="16" t="inlineStr"/>
      <c r="K1815" s="16" t="inlineStr">
        <is>
          <t>Not Run</t>
        </is>
      </c>
      <c r="L1815" s="16" t="inlineStr">
        <is>
          <t>Medium</t>
        </is>
      </c>
      <c r="M1815" s="16" t="inlineStr"/>
      <c r="N1815" s="16" t="inlineStr"/>
      <c r="O1815" s="16" t="inlineStr"/>
    </row>
    <row r="1816" ht="72" customHeight="1">
      <c r="A1816" s="16" t="inlineStr">
        <is>
          <t>TC-BC-0073</t>
        </is>
      </c>
      <c r="B1816" s="16" t="inlineStr">
        <is>
          <t>Body Content Variations</t>
        </is>
      </c>
      <c r="C1816" s="16" t="inlineStr">
        <is>
          <t>Variable</t>
        </is>
      </c>
      <c r="D1816" s="16" t="inlineStr">
        <is>
          <t>Functional</t>
        </is>
      </c>
      <c r="E1816" s="16" t="inlineStr">
        <is>
          <t>Interpolate Env var into raw-xml element value</t>
        </is>
      </c>
      <c r="F1816" s="16" t="inlineStr">
        <is>
          <t>Workspace has v in scope 'Env var'.</t>
        </is>
      </c>
      <c r="G1816" s="16" t="inlineStr">
        <is>
          <t>1. Body type raw-xml.
2. Use snippet referencing {{v}}: `&lt;u name="x"&gt;{{v}}&lt;/u&gt;`.
3. Send.</t>
        </is>
      </c>
      <c r="H1816" s="16" t="inlineStr">
        <is>
          <t>body=raw-xml scope=Env var</t>
        </is>
      </c>
      <c r="I1816" s="16" t="inlineStr">
        <is>
          <t>Variable resolves; outgoing body contains the resolved value at element value; Content-Type appropriate for raw-xml; server echo confirms.</t>
        </is>
      </c>
      <c r="J1816" s="16" t="inlineStr"/>
      <c r="K1816" s="16" t="inlineStr">
        <is>
          <t>Not Run</t>
        </is>
      </c>
      <c r="L1816" s="16" t="inlineStr">
        <is>
          <t>Medium</t>
        </is>
      </c>
      <c r="M1816" s="16" t="inlineStr"/>
      <c r="N1816" s="16" t="inlineStr"/>
      <c r="O1816" s="16" t="inlineStr"/>
    </row>
    <row r="1817" ht="72" customHeight="1">
      <c r="A1817" s="16" t="inlineStr">
        <is>
          <t>TC-BC-0074</t>
        </is>
      </c>
      <c r="B1817" s="16" t="inlineStr">
        <is>
          <t>Body Content Variations</t>
        </is>
      </c>
      <c r="C1817" s="16" t="inlineStr">
        <is>
          <t>Variable</t>
        </is>
      </c>
      <c r="D1817" s="16" t="inlineStr">
        <is>
          <t>Functional</t>
        </is>
      </c>
      <c r="E1817" s="16" t="inlineStr">
        <is>
          <t>Interpolate Env var into raw-xml attribute value</t>
        </is>
      </c>
      <c r="F1817" s="16" t="inlineStr">
        <is>
          <t>Workspace has v in scope 'Env var'.</t>
        </is>
      </c>
      <c r="G1817" s="16" t="inlineStr">
        <is>
          <t>1. Body type raw-xml.
2. Use snippet referencing {{v}}: `&lt;u name="{{v}}"/&gt;`.
3. Send.</t>
        </is>
      </c>
      <c r="H1817" s="16" t="inlineStr">
        <is>
          <t>body=raw-xml scope=Env var</t>
        </is>
      </c>
      <c r="I1817" s="16" t="inlineStr">
        <is>
          <t>Variable resolves; outgoing body contains the resolved value at attribute value; Content-Type appropriate for raw-xml; server echo confirms.</t>
        </is>
      </c>
      <c r="J1817" s="16" t="inlineStr"/>
      <c r="K1817" s="16" t="inlineStr">
        <is>
          <t>Not Run</t>
        </is>
      </c>
      <c r="L1817" s="16" t="inlineStr">
        <is>
          <t>Medium</t>
        </is>
      </c>
      <c r="M1817" s="16" t="inlineStr"/>
      <c r="N1817" s="16" t="inlineStr"/>
      <c r="O1817" s="16" t="inlineStr"/>
    </row>
    <row r="1818" ht="72" customHeight="1">
      <c r="A1818" s="16" t="inlineStr">
        <is>
          <t>TC-BC-0075</t>
        </is>
      </c>
      <c r="B1818" s="16" t="inlineStr">
        <is>
          <t>Body Content Variations</t>
        </is>
      </c>
      <c r="C1818" s="16" t="inlineStr">
        <is>
          <t>Variable</t>
        </is>
      </c>
      <c r="D1818" s="16" t="inlineStr">
        <is>
          <t>Functional</t>
        </is>
      </c>
      <c r="E1818" s="16" t="inlineStr">
        <is>
          <t>Interpolate Env var into raw-text free text</t>
        </is>
      </c>
      <c r="F1818" s="16" t="inlineStr">
        <is>
          <t>Workspace has v in scope 'Env var'.</t>
        </is>
      </c>
      <c r="G1818" s="16" t="inlineStr">
        <is>
          <t>1. Body type raw-text.
2. Use snippet referencing {{v}}: `hello {{v}}`.
3. Send.</t>
        </is>
      </c>
      <c r="H1818" s="16" t="inlineStr">
        <is>
          <t>body=raw-text scope=Env var</t>
        </is>
      </c>
      <c r="I1818" s="16" t="inlineStr">
        <is>
          <t>Variable resolves; outgoing body contains the resolved value at free text; Content-Type appropriate for raw-text; server echo confirms.</t>
        </is>
      </c>
      <c r="J1818" s="16" t="inlineStr"/>
      <c r="K1818" s="16" t="inlineStr">
        <is>
          <t>Not Run</t>
        </is>
      </c>
      <c r="L1818" s="16" t="inlineStr">
        <is>
          <t>Medium</t>
        </is>
      </c>
      <c r="M1818" s="16" t="inlineStr"/>
      <c r="N1818" s="16" t="inlineStr"/>
      <c r="O1818" s="16" t="inlineStr"/>
    </row>
    <row r="1819" ht="72" customHeight="1">
      <c r="A1819" s="16" t="inlineStr">
        <is>
          <t>TC-BC-0076</t>
        </is>
      </c>
      <c r="B1819" s="16" t="inlineStr">
        <is>
          <t>Body Content Variations</t>
        </is>
      </c>
      <c r="C1819" s="16" t="inlineStr">
        <is>
          <t>Variable</t>
        </is>
      </c>
      <c r="D1819" s="16" t="inlineStr">
        <is>
          <t>Functional</t>
        </is>
      </c>
      <c r="E1819" s="16" t="inlineStr">
        <is>
          <t>Interpolate Env var into raw-html tag content</t>
        </is>
      </c>
      <c r="F1819" s="16" t="inlineStr">
        <is>
          <t>Workspace has v in scope 'Env var'.</t>
        </is>
      </c>
      <c r="G1819" s="16" t="inlineStr">
        <is>
          <t>1. Body type raw-html.
2. Use snippet referencing {{v}}: `&lt;p&gt;{{v}}&lt;/p&gt;`.
3. Send.</t>
        </is>
      </c>
      <c r="H1819" s="16" t="inlineStr">
        <is>
          <t>body=raw-html scope=Env var</t>
        </is>
      </c>
      <c r="I1819" s="16" t="inlineStr">
        <is>
          <t>Variable resolves; outgoing body contains the resolved value at tag content; Content-Type appropriate for raw-html; server echo confirms.</t>
        </is>
      </c>
      <c r="J1819" s="16" t="inlineStr"/>
      <c r="K1819" s="16" t="inlineStr">
        <is>
          <t>Not Run</t>
        </is>
      </c>
      <c r="L1819" s="16" t="inlineStr">
        <is>
          <t>Medium</t>
        </is>
      </c>
      <c r="M1819" s="16" t="inlineStr"/>
      <c r="N1819" s="16" t="inlineStr"/>
      <c r="O1819" s="16" t="inlineStr"/>
    </row>
    <row r="1820" ht="72" customHeight="1">
      <c r="A1820" s="16" t="inlineStr">
        <is>
          <t>TC-BC-0077</t>
        </is>
      </c>
      <c r="B1820" s="16" t="inlineStr">
        <is>
          <t>Body Content Variations</t>
        </is>
      </c>
      <c r="C1820" s="16" t="inlineStr">
        <is>
          <t>Variable</t>
        </is>
      </c>
      <c r="D1820" s="16" t="inlineStr">
        <is>
          <t>Functional</t>
        </is>
      </c>
      <c r="E1820" s="16" t="inlineStr">
        <is>
          <t>Interpolate Env var into raw-html attribute</t>
        </is>
      </c>
      <c r="F1820" s="16" t="inlineStr">
        <is>
          <t>Workspace has v in scope 'Env var'.</t>
        </is>
      </c>
      <c r="G1820" s="16" t="inlineStr">
        <is>
          <t>1. Body type raw-html.
2. Use snippet referencing {{v}}: `&lt;a href="{{v}}"&gt;x&lt;/a&gt;`.
3. Send.</t>
        </is>
      </c>
      <c r="H1820" s="16" t="inlineStr">
        <is>
          <t>body=raw-html scope=Env var</t>
        </is>
      </c>
      <c r="I1820" s="16" t="inlineStr">
        <is>
          <t>Variable resolves; outgoing body contains the resolved value at attribute; Content-Type appropriate for raw-html; server echo confirms.</t>
        </is>
      </c>
      <c r="J1820" s="16" t="inlineStr"/>
      <c r="K1820" s="16" t="inlineStr">
        <is>
          <t>Not Run</t>
        </is>
      </c>
      <c r="L1820" s="16" t="inlineStr">
        <is>
          <t>Medium</t>
        </is>
      </c>
      <c r="M1820" s="16" t="inlineStr"/>
      <c r="N1820" s="16" t="inlineStr"/>
      <c r="O1820" s="16" t="inlineStr"/>
    </row>
    <row r="1821" ht="72" customHeight="1">
      <c r="A1821" s="16" t="inlineStr">
        <is>
          <t>TC-BC-0078</t>
        </is>
      </c>
      <c r="B1821" s="16" t="inlineStr">
        <is>
          <t>Body Content Variations</t>
        </is>
      </c>
      <c r="C1821" s="16" t="inlineStr">
        <is>
          <t>Variable</t>
        </is>
      </c>
      <c r="D1821" s="16" t="inlineStr">
        <is>
          <t>Functional</t>
        </is>
      </c>
      <c r="E1821" s="16" t="inlineStr">
        <is>
          <t>Interpolate Env var into x-www-form-urlencoded value</t>
        </is>
      </c>
      <c r="F1821" s="16" t="inlineStr">
        <is>
          <t>Workspace has v in scope 'Env var'.</t>
        </is>
      </c>
      <c r="G1821" s="16" t="inlineStr">
        <is>
          <t>1. Body type x-www-form-urlencoded.
2. Use snippet referencing {{v}}: `q={{v}}`.
3. Send.</t>
        </is>
      </c>
      <c r="H1821" s="16" t="inlineStr">
        <is>
          <t>body=x-www-form-urlencoded scope=Env var</t>
        </is>
      </c>
      <c r="I1821" s="16" t="inlineStr">
        <is>
          <t>Variable resolves; outgoing body contains the resolved value at value; Content-Type appropriate for x-www-form-urlencoded; server echo confirms.</t>
        </is>
      </c>
      <c r="J1821" s="16" t="inlineStr"/>
      <c r="K1821" s="16" t="inlineStr">
        <is>
          <t>Not Run</t>
        </is>
      </c>
      <c r="L1821" s="16" t="inlineStr">
        <is>
          <t>Medium</t>
        </is>
      </c>
      <c r="M1821" s="16" t="inlineStr"/>
      <c r="N1821" s="16" t="inlineStr"/>
      <c r="O1821" s="16" t="inlineStr"/>
    </row>
    <row r="1822" ht="72" customHeight="1">
      <c r="A1822" s="16" t="inlineStr">
        <is>
          <t>TC-BC-0079</t>
        </is>
      </c>
      <c r="B1822" s="16" t="inlineStr">
        <is>
          <t>Body Content Variations</t>
        </is>
      </c>
      <c r="C1822" s="16" t="inlineStr">
        <is>
          <t>Variable</t>
        </is>
      </c>
      <c r="D1822" s="16" t="inlineStr">
        <is>
          <t>Functional</t>
        </is>
      </c>
      <c r="E1822" s="16" t="inlineStr">
        <is>
          <t>Interpolate Env var into form-data text field value</t>
        </is>
      </c>
      <c r="F1822" s="16" t="inlineStr">
        <is>
          <t>Workspace has v in scope 'Env var'.</t>
        </is>
      </c>
      <c r="G1822" s="16" t="inlineStr">
        <is>
          <t>1. Body type form-data.
2. Use snippet referencing {{v}}: `name={{v}}`.
3. Send.</t>
        </is>
      </c>
      <c r="H1822" s="16" t="inlineStr">
        <is>
          <t>body=form-data scope=Env var</t>
        </is>
      </c>
      <c r="I1822" s="16" t="inlineStr">
        <is>
          <t>Variable resolves; outgoing body contains the resolved value at text field value; Content-Type appropriate for form-data; server echo confirms.</t>
        </is>
      </c>
      <c r="J1822" s="16" t="inlineStr"/>
      <c r="K1822" s="16" t="inlineStr">
        <is>
          <t>Not Run</t>
        </is>
      </c>
      <c r="L1822" s="16" t="inlineStr">
        <is>
          <t>Medium</t>
        </is>
      </c>
      <c r="M1822" s="16" t="inlineStr"/>
      <c r="N1822" s="16" t="inlineStr"/>
      <c r="O1822" s="16" t="inlineStr"/>
    </row>
    <row r="1823" ht="72" customHeight="1">
      <c r="A1823" s="16" t="inlineStr">
        <is>
          <t>TC-BC-0080</t>
        </is>
      </c>
      <c r="B1823" s="16" t="inlineStr">
        <is>
          <t>Body Content Variations</t>
        </is>
      </c>
      <c r="C1823" s="16" t="inlineStr">
        <is>
          <t>Variable</t>
        </is>
      </c>
      <c r="D1823" s="16" t="inlineStr">
        <is>
          <t>Functional</t>
        </is>
      </c>
      <c r="E1823" s="16" t="inlineStr">
        <is>
          <t>Interpolate Env var into form-data file field key</t>
        </is>
      </c>
      <c r="F1823" s="16" t="inlineStr">
        <is>
          <t>Workspace has v in scope 'Env var'.</t>
        </is>
      </c>
      <c r="G1823" s="16" t="inlineStr">
        <is>
          <t>1. Body type form-data.
2. Use snippet referencing {{v}}: `{{v}}=&lt;file&gt;`.
3. Send.</t>
        </is>
      </c>
      <c r="H1823" s="16" t="inlineStr">
        <is>
          <t>body=form-data scope=Env var</t>
        </is>
      </c>
      <c r="I1823" s="16" t="inlineStr">
        <is>
          <t>Variable resolves; outgoing body contains the resolved value at file field key; Content-Type appropriate for form-data; server echo confirms.</t>
        </is>
      </c>
      <c r="J1823" s="16" t="inlineStr"/>
      <c r="K1823" s="16" t="inlineStr">
        <is>
          <t>Not Run</t>
        </is>
      </c>
      <c r="L1823" s="16" t="inlineStr">
        <is>
          <t>Medium</t>
        </is>
      </c>
      <c r="M1823" s="16" t="inlineStr"/>
      <c r="N1823" s="16" t="inlineStr"/>
      <c r="O1823" s="16" t="inlineStr"/>
    </row>
    <row r="1824" ht="72" customHeight="1">
      <c r="A1824" s="16" t="inlineStr">
        <is>
          <t>TC-BC-0081</t>
        </is>
      </c>
      <c r="B1824" s="16" t="inlineStr">
        <is>
          <t>Body Content Variations</t>
        </is>
      </c>
      <c r="C1824" s="16" t="inlineStr">
        <is>
          <t>Variable</t>
        </is>
      </c>
      <c r="D1824" s="16" t="inlineStr">
        <is>
          <t>Functional</t>
        </is>
      </c>
      <c r="E1824" s="16" t="inlineStr">
        <is>
          <t>Interpolate Env var into graphql query argument</t>
        </is>
      </c>
      <c r="F1824" s="16" t="inlineStr">
        <is>
          <t>Workspace has v in scope 'Env var'.</t>
        </is>
      </c>
      <c r="G1824" s="16" t="inlineStr">
        <is>
          <t>1. Body type graphql.
2. Use snippet referencing {{v}}: `query { user(id:"{{v}}"){ name } }`.
3. Send.</t>
        </is>
      </c>
      <c r="H1824" s="16" t="inlineStr">
        <is>
          <t>body=graphql scope=Env var</t>
        </is>
      </c>
      <c r="I1824" s="16" t="inlineStr">
        <is>
          <t>Variable resolves; outgoing body contains the resolved value at query argument; Content-Type appropriate for graphql; server echo confirms.</t>
        </is>
      </c>
      <c r="J1824" s="16" t="inlineStr"/>
      <c r="K1824" s="16" t="inlineStr">
        <is>
          <t>Not Run</t>
        </is>
      </c>
      <c r="L1824" s="16" t="inlineStr">
        <is>
          <t>Medium</t>
        </is>
      </c>
      <c r="M1824" s="16" t="inlineStr"/>
      <c r="N1824" s="16" t="inlineStr"/>
      <c r="O1824" s="16" t="inlineStr"/>
    </row>
    <row r="1825" ht="72" customHeight="1">
      <c r="A1825" s="16" t="inlineStr">
        <is>
          <t>TC-BC-0082</t>
        </is>
      </c>
      <c r="B1825" s="16" t="inlineStr">
        <is>
          <t>Body Content Variations</t>
        </is>
      </c>
      <c r="C1825" s="16" t="inlineStr">
        <is>
          <t>Variable</t>
        </is>
      </c>
      <c r="D1825" s="16" t="inlineStr">
        <is>
          <t>Functional</t>
        </is>
      </c>
      <c r="E1825" s="16" t="inlineStr">
        <is>
          <t>Interpolate Env var into graphql variables JSON</t>
        </is>
      </c>
      <c r="F1825" s="16" t="inlineStr">
        <is>
          <t>Workspace has v in scope 'Env var'.</t>
        </is>
      </c>
      <c r="G1825" s="16" t="inlineStr">
        <is>
          <t>1. Body type graphql.
2. Use snippet referencing {{v}}: `variables {"id":"{{v}}"}`.
3. Send.</t>
        </is>
      </c>
      <c r="H1825" s="16" t="inlineStr">
        <is>
          <t>body=graphql scope=Env var</t>
        </is>
      </c>
      <c r="I1825" s="16" t="inlineStr">
        <is>
          <t>Variable resolves; outgoing body contains the resolved value at variables JSON; Content-Type appropriate for graphql; server echo confirms.</t>
        </is>
      </c>
      <c r="J1825" s="16" t="inlineStr"/>
      <c r="K1825" s="16" t="inlineStr">
        <is>
          <t>Not Run</t>
        </is>
      </c>
      <c r="L1825" s="16" t="inlineStr">
        <is>
          <t>Medium</t>
        </is>
      </c>
      <c r="M1825" s="16" t="inlineStr"/>
      <c r="N1825" s="16" t="inlineStr"/>
      <c r="O1825" s="16" t="inlineStr"/>
    </row>
    <row r="1826" ht="72" customHeight="1">
      <c r="A1826" s="16" t="inlineStr">
        <is>
          <t>TC-BC-0083</t>
        </is>
      </c>
      <c r="B1826" s="16" t="inlineStr">
        <is>
          <t>Body Content Variations</t>
        </is>
      </c>
      <c r="C1826" s="16" t="inlineStr">
        <is>
          <t>Variable</t>
        </is>
      </c>
      <c r="D1826" s="16" t="inlineStr">
        <is>
          <t>Security</t>
        </is>
      </c>
      <c r="E1826" s="16" t="inlineStr">
        <is>
          <t>Interpolate Secret var into raw-json JSON value</t>
        </is>
      </c>
      <c r="F1826" s="16" t="inlineStr">
        <is>
          <t>Workspace has v in scope 'Secret var'.</t>
        </is>
      </c>
      <c r="G1826" s="16" t="inlineStr">
        <is>
          <t>1. Body type raw-json.
2. Use snippet referencing {{v}}: `{"name":"{{v}}"}`.
3. Send.</t>
        </is>
      </c>
      <c r="H1826" s="16" t="inlineStr">
        <is>
          <t>body=raw-json scope=Secret var</t>
        </is>
      </c>
      <c r="I1826" s="16" t="inlineStr">
        <is>
          <t>Variable resolves; outgoing body contains the resolved value at JSON value; Content-Type appropriate for raw-json; server echo confirms.</t>
        </is>
      </c>
      <c r="J1826" s="16" t="inlineStr"/>
      <c r="K1826" s="16" t="inlineStr">
        <is>
          <t>Not Run</t>
        </is>
      </c>
      <c r="L1826" s="16" t="inlineStr">
        <is>
          <t>High</t>
        </is>
      </c>
      <c r="M1826" s="16" t="inlineStr"/>
      <c r="N1826" s="16" t="inlineStr"/>
      <c r="O1826" s="16" t="inlineStr"/>
    </row>
    <row r="1827" ht="72" customHeight="1">
      <c r="A1827" s="16" t="inlineStr">
        <is>
          <t>TC-BC-0084</t>
        </is>
      </c>
      <c r="B1827" s="16" t="inlineStr">
        <is>
          <t>Body Content Variations</t>
        </is>
      </c>
      <c r="C1827" s="16" t="inlineStr">
        <is>
          <t>Variable</t>
        </is>
      </c>
      <c r="D1827" s="16" t="inlineStr">
        <is>
          <t>Security</t>
        </is>
      </c>
      <c r="E1827" s="16" t="inlineStr">
        <is>
          <t>Interpolate Secret var into raw-json JSON key</t>
        </is>
      </c>
      <c r="F1827" s="16" t="inlineStr">
        <is>
          <t>Workspace has v in scope 'Secret var'.</t>
        </is>
      </c>
      <c r="G1827" s="16" t="inlineStr">
        <is>
          <t>1. Body type raw-json.
2. Use snippet referencing {{v}}: `{"{{v}}":"x"}`.
3. Send.</t>
        </is>
      </c>
      <c r="H1827" s="16" t="inlineStr">
        <is>
          <t>body=raw-json scope=Secret var</t>
        </is>
      </c>
      <c r="I1827" s="16" t="inlineStr">
        <is>
          <t>Variable resolves; outgoing body contains the resolved value at JSON key; Content-Type appropriate for raw-json; server echo confirms.</t>
        </is>
      </c>
      <c r="J1827" s="16" t="inlineStr"/>
      <c r="K1827" s="16" t="inlineStr">
        <is>
          <t>Not Run</t>
        </is>
      </c>
      <c r="L1827" s="16" t="inlineStr">
        <is>
          <t>High</t>
        </is>
      </c>
      <c r="M1827" s="16" t="inlineStr"/>
      <c r="N1827" s="16" t="inlineStr"/>
      <c r="O1827" s="16" t="inlineStr"/>
    </row>
    <row r="1828" ht="72" customHeight="1">
      <c r="A1828" s="16" t="inlineStr">
        <is>
          <t>TC-BC-0085</t>
        </is>
      </c>
      <c r="B1828" s="16" t="inlineStr">
        <is>
          <t>Body Content Variations</t>
        </is>
      </c>
      <c r="C1828" s="16" t="inlineStr">
        <is>
          <t>Variable</t>
        </is>
      </c>
      <c r="D1828" s="16" t="inlineStr">
        <is>
          <t>Security</t>
        </is>
      </c>
      <c r="E1828" s="16" t="inlineStr">
        <is>
          <t>Interpolate Secret var into raw-json nested object value</t>
        </is>
      </c>
      <c r="F1828" s="16" t="inlineStr">
        <is>
          <t>Workspace has v in scope 'Secret var'.</t>
        </is>
      </c>
      <c r="G1828" s="16" t="inlineStr">
        <is>
          <t>1. Body type raw-json.
2. Use snippet referencing {{v}}: `{"u":{"name":"{{v}}"}}`.
3. Send.</t>
        </is>
      </c>
      <c r="H1828" s="16" t="inlineStr">
        <is>
          <t>body=raw-json scope=Secret var</t>
        </is>
      </c>
      <c r="I1828" s="16" t="inlineStr">
        <is>
          <t>Variable resolves; outgoing body contains the resolved value at nested object value; Content-Type appropriate for raw-json; server echo confirms.</t>
        </is>
      </c>
      <c r="J1828" s="16" t="inlineStr"/>
      <c r="K1828" s="16" t="inlineStr">
        <is>
          <t>Not Run</t>
        </is>
      </c>
      <c r="L1828" s="16" t="inlineStr">
        <is>
          <t>High</t>
        </is>
      </c>
      <c r="M1828" s="16" t="inlineStr"/>
      <c r="N1828" s="16" t="inlineStr"/>
      <c r="O1828" s="16" t="inlineStr"/>
    </row>
    <row r="1829" ht="72" customHeight="1">
      <c r="A1829" s="16" t="inlineStr">
        <is>
          <t>TC-BC-0086</t>
        </is>
      </c>
      <c r="B1829" s="16" t="inlineStr">
        <is>
          <t>Body Content Variations</t>
        </is>
      </c>
      <c r="C1829" s="16" t="inlineStr">
        <is>
          <t>Variable</t>
        </is>
      </c>
      <c r="D1829" s="16" t="inlineStr">
        <is>
          <t>Security</t>
        </is>
      </c>
      <c r="E1829" s="16" t="inlineStr">
        <is>
          <t>Interpolate Secret var into raw-json array item</t>
        </is>
      </c>
      <c r="F1829" s="16" t="inlineStr">
        <is>
          <t>Workspace has v in scope 'Secret var'.</t>
        </is>
      </c>
      <c r="G1829" s="16" t="inlineStr">
        <is>
          <t>1. Body type raw-json.
2. Use snippet referencing {{v}}: `["a","{{v}}","c"]`.
3. Send.</t>
        </is>
      </c>
      <c r="H1829" s="16" t="inlineStr">
        <is>
          <t>body=raw-json scope=Secret var</t>
        </is>
      </c>
      <c r="I1829" s="16" t="inlineStr">
        <is>
          <t>Variable resolves; outgoing body contains the resolved value at array item; Content-Type appropriate for raw-json; server echo confirms.</t>
        </is>
      </c>
      <c r="J1829" s="16" t="inlineStr"/>
      <c r="K1829" s="16" t="inlineStr">
        <is>
          <t>Not Run</t>
        </is>
      </c>
      <c r="L1829" s="16" t="inlineStr">
        <is>
          <t>High</t>
        </is>
      </c>
      <c r="M1829" s="16" t="inlineStr"/>
      <c r="N1829" s="16" t="inlineStr"/>
      <c r="O1829" s="16" t="inlineStr"/>
    </row>
    <row r="1830" ht="72" customHeight="1">
      <c r="A1830" s="16" t="inlineStr">
        <is>
          <t>TC-BC-0087</t>
        </is>
      </c>
      <c r="B1830" s="16" t="inlineStr">
        <is>
          <t>Body Content Variations</t>
        </is>
      </c>
      <c r="C1830" s="16" t="inlineStr">
        <is>
          <t>Variable</t>
        </is>
      </c>
      <c r="D1830" s="16" t="inlineStr">
        <is>
          <t>Security</t>
        </is>
      </c>
      <c r="E1830" s="16" t="inlineStr">
        <is>
          <t>Interpolate Secret var into raw-xml element value</t>
        </is>
      </c>
      <c r="F1830" s="16" t="inlineStr">
        <is>
          <t>Workspace has v in scope 'Secret var'.</t>
        </is>
      </c>
      <c r="G1830" s="16" t="inlineStr">
        <is>
          <t>1. Body type raw-xml.
2. Use snippet referencing {{v}}: `&lt;u name="x"&gt;{{v}}&lt;/u&gt;`.
3. Send.</t>
        </is>
      </c>
      <c r="H1830" s="16" t="inlineStr">
        <is>
          <t>body=raw-xml scope=Secret var</t>
        </is>
      </c>
      <c r="I1830" s="16" t="inlineStr">
        <is>
          <t>Variable resolves; outgoing body contains the resolved value at element value; Content-Type appropriate for raw-xml; server echo confirms.</t>
        </is>
      </c>
      <c r="J1830" s="16" t="inlineStr"/>
      <c r="K1830" s="16" t="inlineStr">
        <is>
          <t>Not Run</t>
        </is>
      </c>
      <c r="L1830" s="16" t="inlineStr">
        <is>
          <t>High</t>
        </is>
      </c>
      <c r="M1830" s="16" t="inlineStr"/>
      <c r="N1830" s="16" t="inlineStr"/>
      <c r="O1830" s="16" t="inlineStr"/>
    </row>
    <row r="1831" ht="72" customHeight="1">
      <c r="A1831" s="16" t="inlineStr">
        <is>
          <t>TC-BC-0088</t>
        </is>
      </c>
      <c r="B1831" s="16" t="inlineStr">
        <is>
          <t>Body Content Variations</t>
        </is>
      </c>
      <c r="C1831" s="16" t="inlineStr">
        <is>
          <t>Variable</t>
        </is>
      </c>
      <c r="D1831" s="16" t="inlineStr">
        <is>
          <t>Security</t>
        </is>
      </c>
      <c r="E1831" s="16" t="inlineStr">
        <is>
          <t>Interpolate Secret var into raw-xml attribute value</t>
        </is>
      </c>
      <c r="F1831" s="16" t="inlineStr">
        <is>
          <t>Workspace has v in scope 'Secret var'.</t>
        </is>
      </c>
      <c r="G1831" s="16" t="inlineStr">
        <is>
          <t>1. Body type raw-xml.
2. Use snippet referencing {{v}}: `&lt;u name="{{v}}"/&gt;`.
3. Send.</t>
        </is>
      </c>
      <c r="H1831" s="16" t="inlineStr">
        <is>
          <t>body=raw-xml scope=Secret var</t>
        </is>
      </c>
      <c r="I1831" s="16" t="inlineStr">
        <is>
          <t>Variable resolves; outgoing body contains the resolved value at attribute value; Content-Type appropriate for raw-xml; server echo confirms.</t>
        </is>
      </c>
      <c r="J1831" s="16" t="inlineStr"/>
      <c r="K1831" s="16" t="inlineStr">
        <is>
          <t>Not Run</t>
        </is>
      </c>
      <c r="L1831" s="16" t="inlineStr">
        <is>
          <t>High</t>
        </is>
      </c>
      <c r="M1831" s="16" t="inlineStr"/>
      <c r="N1831" s="16" t="inlineStr"/>
      <c r="O1831" s="16" t="inlineStr"/>
    </row>
    <row r="1832" ht="72" customHeight="1">
      <c r="A1832" s="16" t="inlineStr">
        <is>
          <t>TC-BC-0089</t>
        </is>
      </c>
      <c r="B1832" s="16" t="inlineStr">
        <is>
          <t>Body Content Variations</t>
        </is>
      </c>
      <c r="C1832" s="16" t="inlineStr">
        <is>
          <t>Variable</t>
        </is>
      </c>
      <c r="D1832" s="16" t="inlineStr">
        <is>
          <t>Security</t>
        </is>
      </c>
      <c r="E1832" s="16" t="inlineStr">
        <is>
          <t>Interpolate Secret var into raw-text free text</t>
        </is>
      </c>
      <c r="F1832" s="16" t="inlineStr">
        <is>
          <t>Workspace has v in scope 'Secret var'.</t>
        </is>
      </c>
      <c r="G1832" s="16" t="inlineStr">
        <is>
          <t>1. Body type raw-text.
2. Use snippet referencing {{v}}: `hello {{v}}`.
3. Send.</t>
        </is>
      </c>
      <c r="H1832" s="16" t="inlineStr">
        <is>
          <t>body=raw-text scope=Secret var</t>
        </is>
      </c>
      <c r="I1832" s="16" t="inlineStr">
        <is>
          <t>Variable resolves; outgoing body contains the resolved value at free text; Content-Type appropriate for raw-text; server echo confirms.</t>
        </is>
      </c>
      <c r="J1832" s="16" t="inlineStr"/>
      <c r="K1832" s="16" t="inlineStr">
        <is>
          <t>Not Run</t>
        </is>
      </c>
      <c r="L1832" s="16" t="inlineStr">
        <is>
          <t>High</t>
        </is>
      </c>
      <c r="M1832" s="16" t="inlineStr"/>
      <c r="N1832" s="16" t="inlineStr"/>
      <c r="O1832" s="16" t="inlineStr"/>
    </row>
    <row r="1833" ht="72" customHeight="1">
      <c r="A1833" s="16" t="inlineStr">
        <is>
          <t>TC-BC-0090</t>
        </is>
      </c>
      <c r="B1833" s="16" t="inlineStr">
        <is>
          <t>Body Content Variations</t>
        </is>
      </c>
      <c r="C1833" s="16" t="inlineStr">
        <is>
          <t>Variable</t>
        </is>
      </c>
      <c r="D1833" s="16" t="inlineStr">
        <is>
          <t>Security</t>
        </is>
      </c>
      <c r="E1833" s="16" t="inlineStr">
        <is>
          <t>Interpolate Secret var into raw-html tag content</t>
        </is>
      </c>
      <c r="F1833" s="16" t="inlineStr">
        <is>
          <t>Workspace has v in scope 'Secret var'.</t>
        </is>
      </c>
      <c r="G1833" s="16" t="inlineStr">
        <is>
          <t>1. Body type raw-html.
2. Use snippet referencing {{v}}: `&lt;p&gt;{{v}}&lt;/p&gt;`.
3. Send.</t>
        </is>
      </c>
      <c r="H1833" s="16" t="inlineStr">
        <is>
          <t>body=raw-html scope=Secret var</t>
        </is>
      </c>
      <c r="I1833" s="16" t="inlineStr">
        <is>
          <t>Variable resolves; outgoing body contains the resolved value at tag content; Content-Type appropriate for raw-html; server echo confirms.</t>
        </is>
      </c>
      <c r="J1833" s="16" t="inlineStr"/>
      <c r="K1833" s="16" t="inlineStr">
        <is>
          <t>Not Run</t>
        </is>
      </c>
      <c r="L1833" s="16" t="inlineStr">
        <is>
          <t>High</t>
        </is>
      </c>
      <c r="M1833" s="16" t="inlineStr"/>
      <c r="N1833" s="16" t="inlineStr"/>
      <c r="O1833" s="16" t="inlineStr"/>
    </row>
    <row r="1834" ht="72" customHeight="1">
      <c r="A1834" s="16" t="inlineStr">
        <is>
          <t>TC-BC-0091</t>
        </is>
      </c>
      <c r="B1834" s="16" t="inlineStr">
        <is>
          <t>Body Content Variations</t>
        </is>
      </c>
      <c r="C1834" s="16" t="inlineStr">
        <is>
          <t>Variable</t>
        </is>
      </c>
      <c r="D1834" s="16" t="inlineStr">
        <is>
          <t>Security</t>
        </is>
      </c>
      <c r="E1834" s="16" t="inlineStr">
        <is>
          <t>Interpolate Secret var into raw-html attribute</t>
        </is>
      </c>
      <c r="F1834" s="16" t="inlineStr">
        <is>
          <t>Workspace has v in scope 'Secret var'.</t>
        </is>
      </c>
      <c r="G1834" s="16" t="inlineStr">
        <is>
          <t>1. Body type raw-html.
2. Use snippet referencing {{v}}: `&lt;a href="{{v}}"&gt;x&lt;/a&gt;`.
3. Send.</t>
        </is>
      </c>
      <c r="H1834" s="16" t="inlineStr">
        <is>
          <t>body=raw-html scope=Secret var</t>
        </is>
      </c>
      <c r="I1834" s="16" t="inlineStr">
        <is>
          <t>Variable resolves; outgoing body contains the resolved value at attribute; Content-Type appropriate for raw-html; server echo confirms.</t>
        </is>
      </c>
      <c r="J1834" s="16" t="inlineStr"/>
      <c r="K1834" s="16" t="inlineStr">
        <is>
          <t>Not Run</t>
        </is>
      </c>
      <c r="L1834" s="16" t="inlineStr">
        <is>
          <t>High</t>
        </is>
      </c>
      <c r="M1834" s="16" t="inlineStr"/>
      <c r="N1834" s="16" t="inlineStr"/>
      <c r="O1834" s="16" t="inlineStr"/>
    </row>
    <row r="1835" ht="72" customHeight="1">
      <c r="A1835" s="16" t="inlineStr">
        <is>
          <t>TC-BC-0092</t>
        </is>
      </c>
      <c r="B1835" s="16" t="inlineStr">
        <is>
          <t>Body Content Variations</t>
        </is>
      </c>
      <c r="C1835" s="16" t="inlineStr">
        <is>
          <t>Variable</t>
        </is>
      </c>
      <c r="D1835" s="16" t="inlineStr">
        <is>
          <t>Security</t>
        </is>
      </c>
      <c r="E1835" s="16" t="inlineStr">
        <is>
          <t>Interpolate Secret var into x-www-form-urlencoded value</t>
        </is>
      </c>
      <c r="F1835" s="16" t="inlineStr">
        <is>
          <t>Workspace has v in scope 'Secret var'.</t>
        </is>
      </c>
      <c r="G1835" s="16" t="inlineStr">
        <is>
          <t>1. Body type x-www-form-urlencoded.
2. Use snippet referencing {{v}}: `q={{v}}`.
3. Send.</t>
        </is>
      </c>
      <c r="H1835" s="16" t="inlineStr">
        <is>
          <t>body=x-www-form-urlencoded scope=Secret var</t>
        </is>
      </c>
      <c r="I1835" s="16" t="inlineStr">
        <is>
          <t>Variable resolves; outgoing body contains the resolved value at value; Content-Type appropriate for x-www-form-urlencoded; server echo confirms.</t>
        </is>
      </c>
      <c r="J1835" s="16" t="inlineStr"/>
      <c r="K1835" s="16" t="inlineStr">
        <is>
          <t>Not Run</t>
        </is>
      </c>
      <c r="L1835" s="16" t="inlineStr">
        <is>
          <t>High</t>
        </is>
      </c>
      <c r="M1835" s="16" t="inlineStr"/>
      <c r="N1835" s="16" t="inlineStr"/>
      <c r="O1835" s="16" t="inlineStr"/>
    </row>
    <row r="1836" ht="72" customHeight="1">
      <c r="A1836" s="16" t="inlineStr">
        <is>
          <t>TC-BC-0093</t>
        </is>
      </c>
      <c r="B1836" s="16" t="inlineStr">
        <is>
          <t>Body Content Variations</t>
        </is>
      </c>
      <c r="C1836" s="16" t="inlineStr">
        <is>
          <t>Variable</t>
        </is>
      </c>
      <c r="D1836" s="16" t="inlineStr">
        <is>
          <t>Security</t>
        </is>
      </c>
      <c r="E1836" s="16" t="inlineStr">
        <is>
          <t>Interpolate Secret var into form-data text field value</t>
        </is>
      </c>
      <c r="F1836" s="16" t="inlineStr">
        <is>
          <t>Workspace has v in scope 'Secret var'.</t>
        </is>
      </c>
      <c r="G1836" s="16" t="inlineStr">
        <is>
          <t>1. Body type form-data.
2. Use snippet referencing {{v}}: `name={{v}}`.
3. Send.</t>
        </is>
      </c>
      <c r="H1836" s="16" t="inlineStr">
        <is>
          <t>body=form-data scope=Secret var</t>
        </is>
      </c>
      <c r="I1836" s="16" t="inlineStr">
        <is>
          <t>Variable resolves; outgoing body contains the resolved value at text field value; Content-Type appropriate for form-data; server echo confirms.</t>
        </is>
      </c>
      <c r="J1836" s="16" t="inlineStr"/>
      <c r="K1836" s="16" t="inlineStr">
        <is>
          <t>Not Run</t>
        </is>
      </c>
      <c r="L1836" s="16" t="inlineStr">
        <is>
          <t>High</t>
        </is>
      </c>
      <c r="M1836" s="16" t="inlineStr"/>
      <c r="N1836" s="16" t="inlineStr"/>
      <c r="O1836" s="16" t="inlineStr"/>
    </row>
    <row r="1837" ht="72" customHeight="1">
      <c r="A1837" s="16" t="inlineStr">
        <is>
          <t>TC-BC-0094</t>
        </is>
      </c>
      <c r="B1837" s="16" t="inlineStr">
        <is>
          <t>Body Content Variations</t>
        </is>
      </c>
      <c r="C1837" s="16" t="inlineStr">
        <is>
          <t>Variable</t>
        </is>
      </c>
      <c r="D1837" s="16" t="inlineStr">
        <is>
          <t>Security</t>
        </is>
      </c>
      <c r="E1837" s="16" t="inlineStr">
        <is>
          <t>Interpolate Secret var into form-data file field key</t>
        </is>
      </c>
      <c r="F1837" s="16" t="inlineStr">
        <is>
          <t>Workspace has v in scope 'Secret var'.</t>
        </is>
      </c>
      <c r="G1837" s="16" t="inlineStr">
        <is>
          <t>1. Body type form-data.
2. Use snippet referencing {{v}}: `{{v}}=&lt;file&gt;`.
3. Send.</t>
        </is>
      </c>
      <c r="H1837" s="16" t="inlineStr">
        <is>
          <t>body=form-data scope=Secret var</t>
        </is>
      </c>
      <c r="I1837" s="16" t="inlineStr">
        <is>
          <t>Variable resolves; outgoing body contains the resolved value at file field key; Content-Type appropriate for form-data; server echo confirms.</t>
        </is>
      </c>
      <c r="J1837" s="16" t="inlineStr"/>
      <c r="K1837" s="16" t="inlineStr">
        <is>
          <t>Not Run</t>
        </is>
      </c>
      <c r="L1837" s="16" t="inlineStr">
        <is>
          <t>High</t>
        </is>
      </c>
      <c r="M1837" s="16" t="inlineStr"/>
      <c r="N1837" s="16" t="inlineStr"/>
      <c r="O1837" s="16" t="inlineStr"/>
    </row>
    <row r="1838" ht="72" customHeight="1">
      <c r="A1838" s="16" t="inlineStr">
        <is>
          <t>TC-BC-0095</t>
        </is>
      </c>
      <c r="B1838" s="16" t="inlineStr">
        <is>
          <t>Body Content Variations</t>
        </is>
      </c>
      <c r="C1838" s="16" t="inlineStr">
        <is>
          <t>Variable</t>
        </is>
      </c>
      <c r="D1838" s="16" t="inlineStr">
        <is>
          <t>Security</t>
        </is>
      </c>
      <c r="E1838" s="16" t="inlineStr">
        <is>
          <t>Interpolate Secret var into graphql query argument</t>
        </is>
      </c>
      <c r="F1838" s="16" t="inlineStr">
        <is>
          <t>Workspace has v in scope 'Secret var'.</t>
        </is>
      </c>
      <c r="G1838" s="16" t="inlineStr">
        <is>
          <t>1. Body type graphql.
2. Use snippet referencing {{v}}: `query { user(id:"{{v}}"){ name } }`.
3. Send.</t>
        </is>
      </c>
      <c r="H1838" s="16" t="inlineStr">
        <is>
          <t>body=graphql scope=Secret var</t>
        </is>
      </c>
      <c r="I1838" s="16" t="inlineStr">
        <is>
          <t>Variable resolves; outgoing body contains the resolved value at query argument; Content-Type appropriate for graphql; server echo confirms.</t>
        </is>
      </c>
      <c r="J1838" s="16" t="inlineStr"/>
      <c r="K1838" s="16" t="inlineStr">
        <is>
          <t>Not Run</t>
        </is>
      </c>
      <c r="L1838" s="16" t="inlineStr">
        <is>
          <t>High</t>
        </is>
      </c>
      <c r="M1838" s="16" t="inlineStr"/>
      <c r="N1838" s="16" t="inlineStr"/>
      <c r="O1838" s="16" t="inlineStr"/>
    </row>
    <row r="1839" ht="72" customHeight="1">
      <c r="A1839" s="16" t="inlineStr">
        <is>
          <t>TC-BC-0096</t>
        </is>
      </c>
      <c r="B1839" s="16" t="inlineStr">
        <is>
          <t>Body Content Variations</t>
        </is>
      </c>
      <c r="C1839" s="16" t="inlineStr">
        <is>
          <t>Variable</t>
        </is>
      </c>
      <c r="D1839" s="16" t="inlineStr">
        <is>
          <t>Security</t>
        </is>
      </c>
      <c r="E1839" s="16" t="inlineStr">
        <is>
          <t>Interpolate Secret var into graphql variables JSON</t>
        </is>
      </c>
      <c r="F1839" s="16" t="inlineStr">
        <is>
          <t>Workspace has v in scope 'Secret var'.</t>
        </is>
      </c>
      <c r="G1839" s="16" t="inlineStr">
        <is>
          <t>1. Body type graphql.
2. Use snippet referencing {{v}}: `variables {"id":"{{v}}"}`.
3. Send.</t>
        </is>
      </c>
      <c r="H1839" s="16" t="inlineStr">
        <is>
          <t>body=graphql scope=Secret var</t>
        </is>
      </c>
      <c r="I1839" s="16" t="inlineStr">
        <is>
          <t>Variable resolves; outgoing body contains the resolved value at variables JSON; Content-Type appropriate for graphql; server echo confirms.</t>
        </is>
      </c>
      <c r="J1839" s="16" t="inlineStr"/>
      <c r="K1839" s="16" t="inlineStr">
        <is>
          <t>Not Run</t>
        </is>
      </c>
      <c r="L1839" s="16" t="inlineStr">
        <is>
          <t>High</t>
        </is>
      </c>
      <c r="M1839" s="16" t="inlineStr"/>
      <c r="N1839" s="16" t="inlineStr"/>
      <c r="O1839" s="16" t="inlineStr"/>
    </row>
    <row r="1840" ht="72" customHeight="1">
      <c r="A1840" s="16" t="inlineStr">
        <is>
          <t>TC-AS-0010</t>
        </is>
      </c>
      <c r="B1840" s="16" t="inlineStr">
        <is>
          <t>Assertions &amp; Execution Plans</t>
        </is>
      </c>
      <c r="C1840" s="16" t="inlineStr">
        <is>
          <t>Single GET / Status check</t>
        </is>
      </c>
      <c r="D1840" s="16" t="inlineStr">
        <is>
          <t>Functional</t>
        </is>
      </c>
      <c r="E1840" s="16" t="inlineStr">
        <is>
          <t>Plan step: Single step with GET with Status check assertion</t>
        </is>
      </c>
      <c r="F1840" s="16" t="inlineStr">
        <is>
          <t>Plan configured.</t>
        </is>
      </c>
      <c r="G1840" s="16" t="inlineStr">
        <is>
          <t>1. Plan with 1 step (GET).
2. Run.
Assertion: status==X</t>
        </is>
      </c>
      <c r="H1840" s="16" t="inlineStr">
        <is>
          <t>plan</t>
        </is>
      </c>
      <c r="I1840" s="16" t="inlineStr">
        <is>
          <t>Step passes if endpoint reachable. Assertion outcome (pass/fail) recorded in step report; plan aggregate updates.</t>
        </is>
      </c>
      <c r="J1840" s="16" t="inlineStr"/>
      <c r="K1840" s="16" t="inlineStr">
        <is>
          <t>Not Run</t>
        </is>
      </c>
      <c r="L1840" s="16" t="inlineStr">
        <is>
          <t>High</t>
        </is>
      </c>
      <c r="M1840" s="16" t="inlineStr"/>
      <c r="N1840" s="16" t="inlineStr"/>
      <c r="O1840" s="16" t="inlineStr"/>
    </row>
    <row r="1841" ht="72" customHeight="1">
      <c r="A1841" s="16" t="inlineStr">
        <is>
          <t>TC-AS-0011</t>
        </is>
      </c>
      <c r="B1841" s="16" t="inlineStr">
        <is>
          <t>Assertions &amp; Execution Plans</t>
        </is>
      </c>
      <c r="C1841" s="16" t="inlineStr">
        <is>
          <t>Single GET / Status range</t>
        </is>
      </c>
      <c r="D1841" s="16" t="inlineStr">
        <is>
          <t>Functional</t>
        </is>
      </c>
      <c r="E1841" s="16" t="inlineStr">
        <is>
          <t>Plan step: Single step with GET with Status range assertion</t>
        </is>
      </c>
      <c r="F1841" s="16" t="inlineStr">
        <is>
          <t>Plan configured.</t>
        </is>
      </c>
      <c r="G1841" s="16" t="inlineStr">
        <is>
          <t>1. Plan with 1 step (GET).
2. Run.
Assertion: status&lt;Y</t>
        </is>
      </c>
      <c r="H1841" s="16" t="inlineStr">
        <is>
          <t>plan</t>
        </is>
      </c>
      <c r="I1841" s="16" t="inlineStr">
        <is>
          <t>Step passes if endpoint reachable. Assertion outcome (pass/fail) recorded in step report; plan aggregate updates.</t>
        </is>
      </c>
      <c r="J1841" s="16" t="inlineStr"/>
      <c r="K1841" s="16" t="inlineStr">
        <is>
          <t>Not Run</t>
        </is>
      </c>
      <c r="L1841" s="16" t="inlineStr">
        <is>
          <t>Low</t>
        </is>
      </c>
      <c r="M1841" s="16" t="inlineStr"/>
      <c r="N1841" s="16" t="inlineStr"/>
      <c r="O1841" s="16" t="inlineStr"/>
    </row>
    <row r="1842" ht="72" customHeight="1">
      <c r="A1842" s="16" t="inlineStr">
        <is>
          <t>TC-AS-0012</t>
        </is>
      </c>
      <c r="B1842" s="16" t="inlineStr">
        <is>
          <t>Assertions &amp; Execution Plans</t>
        </is>
      </c>
      <c r="C1842" s="16" t="inlineStr">
        <is>
          <t>Single GET / JSON path</t>
        </is>
      </c>
      <c r="D1842" s="16" t="inlineStr">
        <is>
          <t>Functional</t>
        </is>
      </c>
      <c r="E1842" s="16" t="inlineStr">
        <is>
          <t>Plan step: Single step with GET with JSON path assertion</t>
        </is>
      </c>
      <c r="F1842" s="16" t="inlineStr">
        <is>
          <t>Plan configured.</t>
        </is>
      </c>
      <c r="G1842" s="16" t="inlineStr">
        <is>
          <t>1. Plan with 1 step (GET).
2. Run.
Assertion: body.path == value</t>
        </is>
      </c>
      <c r="H1842" s="16" t="inlineStr">
        <is>
          <t>plan</t>
        </is>
      </c>
      <c r="I1842" s="16" t="inlineStr">
        <is>
          <t>Step passes if endpoint reachable. Assertion outcome (pass/fail) recorded in step report; plan aggregate updates.</t>
        </is>
      </c>
      <c r="J1842" s="16" t="inlineStr"/>
      <c r="K1842" s="16" t="inlineStr">
        <is>
          <t>Not Run</t>
        </is>
      </c>
      <c r="L1842" s="16" t="inlineStr">
        <is>
          <t>High</t>
        </is>
      </c>
      <c r="M1842" s="16" t="inlineStr"/>
      <c r="N1842" s="16" t="inlineStr"/>
      <c r="O1842" s="16" t="inlineStr"/>
    </row>
    <row r="1843" ht="72" customHeight="1">
      <c r="A1843" s="16" t="inlineStr">
        <is>
          <t>TC-AS-0013</t>
        </is>
      </c>
      <c r="B1843" s="16" t="inlineStr">
        <is>
          <t>Assertions &amp; Execution Plans</t>
        </is>
      </c>
      <c r="C1843" s="16" t="inlineStr">
        <is>
          <t>Single GET / Regex</t>
        </is>
      </c>
      <c r="D1843" s="16" t="inlineStr">
        <is>
          <t>Functional</t>
        </is>
      </c>
      <c r="E1843" s="16" t="inlineStr">
        <is>
          <t>Plan step: Single step with GET with Regex assertion</t>
        </is>
      </c>
      <c r="F1843" s="16" t="inlineStr">
        <is>
          <t>Plan configured.</t>
        </is>
      </c>
      <c r="G1843" s="16" t="inlineStr">
        <is>
          <t>1. Plan with 1 step (GET).
2. Run.
Assertion: body matches regex</t>
        </is>
      </c>
      <c r="H1843" s="16" t="inlineStr">
        <is>
          <t>plan</t>
        </is>
      </c>
      <c r="I1843" s="16" t="inlineStr">
        <is>
          <t>Step passes if endpoint reachable. Assertion outcome (pass/fail) recorded in step report; plan aggregate updates.</t>
        </is>
      </c>
      <c r="J1843" s="16" t="inlineStr"/>
      <c r="K1843" s="16" t="inlineStr">
        <is>
          <t>Not Run</t>
        </is>
      </c>
      <c r="L1843" s="16" t="inlineStr">
        <is>
          <t>Low</t>
        </is>
      </c>
      <c r="M1843" s="16" t="inlineStr"/>
      <c r="N1843" s="16" t="inlineStr"/>
      <c r="O1843" s="16" t="inlineStr"/>
    </row>
    <row r="1844" ht="72" customHeight="1">
      <c r="A1844" s="16" t="inlineStr">
        <is>
          <t>TC-AS-0014</t>
        </is>
      </c>
      <c r="B1844" s="16" t="inlineStr">
        <is>
          <t>Assertions &amp; Execution Plans</t>
        </is>
      </c>
      <c r="C1844" s="16" t="inlineStr">
        <is>
          <t>Single GET / Header</t>
        </is>
      </c>
      <c r="D1844" s="16" t="inlineStr">
        <is>
          <t>Functional</t>
        </is>
      </c>
      <c r="E1844" s="16" t="inlineStr">
        <is>
          <t>Plan step: Single step with GET with Header assertion</t>
        </is>
      </c>
      <c r="F1844" s="16" t="inlineStr">
        <is>
          <t>Plan configured.</t>
        </is>
      </c>
      <c r="G1844" s="16" t="inlineStr">
        <is>
          <t>1. Plan with 1 step (GET).
2. Run.
Assertion: header present</t>
        </is>
      </c>
      <c r="H1844" s="16" t="inlineStr">
        <is>
          <t>plan</t>
        </is>
      </c>
      <c r="I1844" s="16" t="inlineStr">
        <is>
          <t>Step passes if endpoint reachable. Assertion outcome (pass/fail) recorded in step report; plan aggregate updates.</t>
        </is>
      </c>
      <c r="J1844" s="16" t="inlineStr"/>
      <c r="K1844" s="16" t="inlineStr">
        <is>
          <t>Not Run</t>
        </is>
      </c>
      <c r="L1844" s="16" t="inlineStr">
        <is>
          <t>Low</t>
        </is>
      </c>
      <c r="M1844" s="16" t="inlineStr"/>
      <c r="N1844" s="16" t="inlineStr"/>
      <c r="O1844" s="16" t="inlineStr"/>
    </row>
    <row r="1845" ht="72" customHeight="1">
      <c r="A1845" s="16" t="inlineStr">
        <is>
          <t>TC-AS-0015</t>
        </is>
      </c>
      <c r="B1845" s="16" t="inlineStr">
        <is>
          <t>Assertions &amp; Execution Plans</t>
        </is>
      </c>
      <c r="C1845" s="16" t="inlineStr">
        <is>
          <t>Single GET / Header value</t>
        </is>
      </c>
      <c r="D1845" s="16" t="inlineStr">
        <is>
          <t>Functional</t>
        </is>
      </c>
      <c r="E1845" s="16" t="inlineStr">
        <is>
          <t>Plan step: Single step with GET with Header value assertion</t>
        </is>
      </c>
      <c r="F1845" s="16" t="inlineStr">
        <is>
          <t>Plan configured.</t>
        </is>
      </c>
      <c r="G1845" s="16" t="inlineStr">
        <is>
          <t>1. Plan with 1 step (GET).
2. Run.
Assertion: header value matches</t>
        </is>
      </c>
      <c r="H1845" s="16" t="inlineStr">
        <is>
          <t>plan</t>
        </is>
      </c>
      <c r="I1845" s="16" t="inlineStr">
        <is>
          <t>Step passes if endpoint reachable. Assertion outcome (pass/fail) recorded in step report; plan aggregate updates.</t>
        </is>
      </c>
      <c r="J1845" s="16" t="inlineStr"/>
      <c r="K1845" s="16" t="inlineStr">
        <is>
          <t>Not Run</t>
        </is>
      </c>
      <c r="L1845" s="16" t="inlineStr">
        <is>
          <t>Low</t>
        </is>
      </c>
      <c r="M1845" s="16" t="inlineStr"/>
      <c r="N1845" s="16" t="inlineStr"/>
      <c r="O1845" s="16" t="inlineStr"/>
    </row>
    <row r="1846" ht="72" customHeight="1">
      <c r="A1846" s="16" t="inlineStr">
        <is>
          <t>TC-AS-0016</t>
        </is>
      </c>
      <c r="B1846" s="16" t="inlineStr">
        <is>
          <t>Assertions &amp; Execution Plans</t>
        </is>
      </c>
      <c r="C1846" s="16" t="inlineStr">
        <is>
          <t>Single GET / Duration</t>
        </is>
      </c>
      <c r="D1846" s="16" t="inlineStr">
        <is>
          <t>Functional</t>
        </is>
      </c>
      <c r="E1846" s="16" t="inlineStr">
        <is>
          <t>Plan step: Single step with GET with Duration assertion</t>
        </is>
      </c>
      <c r="F1846" s="16" t="inlineStr">
        <is>
          <t>Plan configured.</t>
        </is>
      </c>
      <c r="G1846" s="16" t="inlineStr">
        <is>
          <t>1. Plan with 1 step (GET).
2. Run.
Assertion: responseTime lt N</t>
        </is>
      </c>
      <c r="H1846" s="16" t="inlineStr">
        <is>
          <t>plan</t>
        </is>
      </c>
      <c r="I1846" s="16" t="inlineStr">
        <is>
          <t>Step passes if endpoint reachable. Assertion outcome (pass/fail) recorded in step report; plan aggregate updates.</t>
        </is>
      </c>
      <c r="J1846" s="16" t="inlineStr"/>
      <c r="K1846" s="16" t="inlineStr">
        <is>
          <t>Not Run</t>
        </is>
      </c>
      <c r="L1846" s="16" t="inlineStr">
        <is>
          <t>High</t>
        </is>
      </c>
      <c r="M1846" s="16" t="inlineStr"/>
      <c r="N1846" s="16" t="inlineStr"/>
      <c r="O1846" s="16" t="inlineStr"/>
    </row>
    <row r="1847" ht="72" customHeight="1">
      <c r="A1847" s="16" t="inlineStr">
        <is>
          <t>TC-AS-0017</t>
        </is>
      </c>
      <c r="B1847" s="16" t="inlineStr">
        <is>
          <t>Assertions &amp; Execution Plans</t>
        </is>
      </c>
      <c r="C1847" s="16" t="inlineStr">
        <is>
          <t>Single GET / Schema</t>
        </is>
      </c>
      <c r="D1847" s="16" t="inlineStr">
        <is>
          <t>Functional</t>
        </is>
      </c>
      <c r="E1847" s="16" t="inlineStr">
        <is>
          <t>Plan step: Single step with GET with Schema assertion</t>
        </is>
      </c>
      <c r="F1847" s="16" t="inlineStr">
        <is>
          <t>Plan configured.</t>
        </is>
      </c>
      <c r="G1847" s="16" t="inlineStr">
        <is>
          <t>1. Plan with 1 step (GET).
2. Run.
Assertion: body schema valid</t>
        </is>
      </c>
      <c r="H1847" s="16" t="inlineStr">
        <is>
          <t>plan</t>
        </is>
      </c>
      <c r="I1847" s="16" t="inlineStr">
        <is>
          <t>Step passes if endpoint reachable. Assertion outcome (pass/fail) recorded in step report; plan aggregate updates.</t>
        </is>
      </c>
      <c r="J1847" s="16" t="inlineStr"/>
      <c r="K1847" s="16" t="inlineStr">
        <is>
          <t>Not Run</t>
        </is>
      </c>
      <c r="L1847" s="16" t="inlineStr">
        <is>
          <t>Low</t>
        </is>
      </c>
      <c r="M1847" s="16" t="inlineStr"/>
      <c r="N1847" s="16" t="inlineStr"/>
      <c r="O1847" s="16" t="inlineStr"/>
    </row>
    <row r="1848" ht="72" customHeight="1">
      <c r="A1848" s="16" t="inlineStr">
        <is>
          <t>TC-AS-0018</t>
        </is>
      </c>
      <c r="B1848" s="16" t="inlineStr">
        <is>
          <t>Assertions &amp; Execution Plans</t>
        </is>
      </c>
      <c r="C1848" s="16" t="inlineStr">
        <is>
          <t>Sequential 5 steps / Status check</t>
        </is>
      </c>
      <c r="D1848" s="16" t="inlineStr">
        <is>
          <t>Functional</t>
        </is>
      </c>
      <c r="E1848" s="16" t="inlineStr">
        <is>
          <t>Plan step: 5 sequential requests with Status check assertion</t>
        </is>
      </c>
      <c r="F1848" s="16" t="inlineStr">
        <is>
          <t>Plan configured.</t>
        </is>
      </c>
      <c r="G1848" s="16" t="inlineStr">
        <is>
          <t>1. Plan with 5 steps.
2. Run.
Assertion: status==X</t>
        </is>
      </c>
      <c r="H1848" s="16" t="inlineStr">
        <is>
          <t>plan</t>
        </is>
      </c>
      <c r="I1848" s="16" t="inlineStr">
        <is>
          <t>Each runs in order; aggregate result shown. Assertion outcome (pass/fail) recorded in step report; plan aggregate updates.</t>
        </is>
      </c>
      <c r="J1848" s="16" t="inlineStr"/>
      <c r="K1848" s="16" t="inlineStr">
        <is>
          <t>Not Run</t>
        </is>
      </c>
      <c r="L1848" s="16" t="inlineStr">
        <is>
          <t>High</t>
        </is>
      </c>
      <c r="M1848" s="16" t="inlineStr"/>
      <c r="N1848" s="16" t="inlineStr"/>
      <c r="O1848" s="16" t="inlineStr"/>
    </row>
    <row r="1849" ht="72" customHeight="1">
      <c r="A1849" s="16" t="inlineStr">
        <is>
          <t>TC-AS-0019</t>
        </is>
      </c>
      <c r="B1849" s="16" t="inlineStr">
        <is>
          <t>Assertions &amp; Execution Plans</t>
        </is>
      </c>
      <c r="C1849" s="16" t="inlineStr">
        <is>
          <t>Sequential 5 steps / Status range</t>
        </is>
      </c>
      <c r="D1849" s="16" t="inlineStr">
        <is>
          <t>Functional</t>
        </is>
      </c>
      <c r="E1849" s="16" t="inlineStr">
        <is>
          <t>Plan step: 5 sequential requests with Status range assertion</t>
        </is>
      </c>
      <c r="F1849" s="16" t="inlineStr">
        <is>
          <t>Plan configured.</t>
        </is>
      </c>
      <c r="G1849" s="16" t="inlineStr">
        <is>
          <t>1. Plan with 5 steps.
2. Run.
Assertion: status&lt;Y</t>
        </is>
      </c>
      <c r="H1849" s="16" t="inlineStr">
        <is>
          <t>plan</t>
        </is>
      </c>
      <c r="I1849" s="16" t="inlineStr">
        <is>
          <t>Each runs in order; aggregate result shown. Assertion outcome (pass/fail) recorded in step report; plan aggregate updates.</t>
        </is>
      </c>
      <c r="J1849" s="16" t="inlineStr"/>
      <c r="K1849" s="16" t="inlineStr">
        <is>
          <t>Not Run</t>
        </is>
      </c>
      <c r="L1849" s="16" t="inlineStr">
        <is>
          <t>Low</t>
        </is>
      </c>
      <c r="M1849" s="16" t="inlineStr"/>
      <c r="N1849" s="16" t="inlineStr"/>
      <c r="O1849" s="16" t="inlineStr"/>
    </row>
    <row r="1850" ht="72" customHeight="1">
      <c r="A1850" s="16" t="inlineStr">
        <is>
          <t>TC-AS-0020</t>
        </is>
      </c>
      <c r="B1850" s="16" t="inlineStr">
        <is>
          <t>Assertions &amp; Execution Plans</t>
        </is>
      </c>
      <c r="C1850" s="16" t="inlineStr">
        <is>
          <t>Sequential 5 steps / JSON path</t>
        </is>
      </c>
      <c r="D1850" s="16" t="inlineStr">
        <is>
          <t>Functional</t>
        </is>
      </c>
      <c r="E1850" s="16" t="inlineStr">
        <is>
          <t>Plan step: 5 sequential requests with JSON path assertion</t>
        </is>
      </c>
      <c r="F1850" s="16" t="inlineStr">
        <is>
          <t>Plan configured.</t>
        </is>
      </c>
      <c r="G1850" s="16" t="inlineStr">
        <is>
          <t>1. Plan with 5 steps.
2. Run.
Assertion: body.path == value</t>
        </is>
      </c>
      <c r="H1850" s="16" t="inlineStr">
        <is>
          <t>plan</t>
        </is>
      </c>
      <c r="I1850" s="16" t="inlineStr">
        <is>
          <t>Each runs in order; aggregate result shown. Assertion outcome (pass/fail) recorded in step report; plan aggregate updates.</t>
        </is>
      </c>
      <c r="J1850" s="16" t="inlineStr"/>
      <c r="K1850" s="16" t="inlineStr">
        <is>
          <t>Not Run</t>
        </is>
      </c>
      <c r="L1850" s="16" t="inlineStr">
        <is>
          <t>High</t>
        </is>
      </c>
      <c r="M1850" s="16" t="inlineStr"/>
      <c r="N1850" s="16" t="inlineStr"/>
      <c r="O1850" s="16" t="inlineStr"/>
    </row>
    <row r="1851" ht="72" customHeight="1">
      <c r="A1851" s="16" t="inlineStr">
        <is>
          <t>TC-AS-0021</t>
        </is>
      </c>
      <c r="B1851" s="16" t="inlineStr">
        <is>
          <t>Assertions &amp; Execution Plans</t>
        </is>
      </c>
      <c r="C1851" s="16" t="inlineStr">
        <is>
          <t>Sequential 5 steps / Regex</t>
        </is>
      </c>
      <c r="D1851" s="16" t="inlineStr">
        <is>
          <t>Functional</t>
        </is>
      </c>
      <c r="E1851" s="16" t="inlineStr">
        <is>
          <t>Plan step: 5 sequential requests with Regex assertion</t>
        </is>
      </c>
      <c r="F1851" s="16" t="inlineStr">
        <is>
          <t>Plan configured.</t>
        </is>
      </c>
      <c r="G1851" s="16" t="inlineStr">
        <is>
          <t>1. Plan with 5 steps.
2. Run.
Assertion: body matches regex</t>
        </is>
      </c>
      <c r="H1851" s="16" t="inlineStr">
        <is>
          <t>plan</t>
        </is>
      </c>
      <c r="I1851" s="16" t="inlineStr">
        <is>
          <t>Each runs in order; aggregate result shown. Assertion outcome (pass/fail) recorded in step report; plan aggregate updates.</t>
        </is>
      </c>
      <c r="J1851" s="16" t="inlineStr"/>
      <c r="K1851" s="16" t="inlineStr">
        <is>
          <t>Not Run</t>
        </is>
      </c>
      <c r="L1851" s="16" t="inlineStr">
        <is>
          <t>Low</t>
        </is>
      </c>
      <c r="M1851" s="16" t="inlineStr"/>
      <c r="N1851" s="16" t="inlineStr"/>
      <c r="O1851" s="16" t="inlineStr"/>
    </row>
    <row r="1852" ht="72" customHeight="1">
      <c r="A1852" s="16" t="inlineStr">
        <is>
          <t>TC-AS-0022</t>
        </is>
      </c>
      <c r="B1852" s="16" t="inlineStr">
        <is>
          <t>Assertions &amp; Execution Plans</t>
        </is>
      </c>
      <c r="C1852" s="16" t="inlineStr">
        <is>
          <t>Sequential 5 steps / Header</t>
        </is>
      </c>
      <c r="D1852" s="16" t="inlineStr">
        <is>
          <t>Functional</t>
        </is>
      </c>
      <c r="E1852" s="16" t="inlineStr">
        <is>
          <t>Plan step: 5 sequential requests with Header assertion</t>
        </is>
      </c>
      <c r="F1852" s="16" t="inlineStr">
        <is>
          <t>Plan configured.</t>
        </is>
      </c>
      <c r="G1852" s="16" t="inlineStr">
        <is>
          <t>1. Plan with 5 steps.
2. Run.
Assertion: header present</t>
        </is>
      </c>
      <c r="H1852" s="16" t="inlineStr">
        <is>
          <t>plan</t>
        </is>
      </c>
      <c r="I1852" s="16" t="inlineStr">
        <is>
          <t>Each runs in order; aggregate result shown. Assertion outcome (pass/fail) recorded in step report; plan aggregate updates.</t>
        </is>
      </c>
      <c r="J1852" s="16" t="inlineStr"/>
      <c r="K1852" s="16" t="inlineStr">
        <is>
          <t>Not Run</t>
        </is>
      </c>
      <c r="L1852" s="16" t="inlineStr">
        <is>
          <t>Low</t>
        </is>
      </c>
      <c r="M1852" s="16" t="inlineStr"/>
      <c r="N1852" s="16" t="inlineStr"/>
      <c r="O1852" s="16" t="inlineStr"/>
    </row>
    <row r="1853" ht="72" customHeight="1">
      <c r="A1853" s="16" t="inlineStr">
        <is>
          <t>TC-AS-0023</t>
        </is>
      </c>
      <c r="B1853" s="16" t="inlineStr">
        <is>
          <t>Assertions &amp; Execution Plans</t>
        </is>
      </c>
      <c r="C1853" s="16" t="inlineStr">
        <is>
          <t>Sequential 5 steps / Header value</t>
        </is>
      </c>
      <c r="D1853" s="16" t="inlineStr">
        <is>
          <t>Functional</t>
        </is>
      </c>
      <c r="E1853" s="16" t="inlineStr">
        <is>
          <t>Plan step: 5 sequential requests with Header value assertion</t>
        </is>
      </c>
      <c r="F1853" s="16" t="inlineStr">
        <is>
          <t>Plan configured.</t>
        </is>
      </c>
      <c r="G1853" s="16" t="inlineStr">
        <is>
          <t>1. Plan with 5 steps.
2. Run.
Assertion: header value matches</t>
        </is>
      </c>
      <c r="H1853" s="16" t="inlineStr">
        <is>
          <t>plan</t>
        </is>
      </c>
      <c r="I1853" s="16" t="inlineStr">
        <is>
          <t>Each runs in order; aggregate result shown. Assertion outcome (pass/fail) recorded in step report; plan aggregate updates.</t>
        </is>
      </c>
      <c r="J1853" s="16" t="inlineStr"/>
      <c r="K1853" s="16" t="inlineStr">
        <is>
          <t>Not Run</t>
        </is>
      </c>
      <c r="L1853" s="16" t="inlineStr">
        <is>
          <t>Low</t>
        </is>
      </c>
      <c r="M1853" s="16" t="inlineStr"/>
      <c r="N1853" s="16" t="inlineStr"/>
      <c r="O1853" s="16" t="inlineStr"/>
    </row>
    <row r="1854" ht="72" customHeight="1">
      <c r="A1854" s="16" t="inlineStr">
        <is>
          <t>TC-AS-0024</t>
        </is>
      </c>
      <c r="B1854" s="16" t="inlineStr">
        <is>
          <t>Assertions &amp; Execution Plans</t>
        </is>
      </c>
      <c r="C1854" s="16" t="inlineStr">
        <is>
          <t>Sequential 5 steps / Duration</t>
        </is>
      </c>
      <c r="D1854" s="16" t="inlineStr">
        <is>
          <t>Functional</t>
        </is>
      </c>
      <c r="E1854" s="16" t="inlineStr">
        <is>
          <t>Plan step: 5 sequential requests with Duration assertion</t>
        </is>
      </c>
      <c r="F1854" s="16" t="inlineStr">
        <is>
          <t>Plan configured.</t>
        </is>
      </c>
      <c r="G1854" s="16" t="inlineStr">
        <is>
          <t>1. Plan with 5 steps.
2. Run.
Assertion: responseTime lt N</t>
        </is>
      </c>
      <c r="H1854" s="16" t="inlineStr">
        <is>
          <t>plan</t>
        </is>
      </c>
      <c r="I1854" s="16" t="inlineStr">
        <is>
          <t>Each runs in order; aggregate result shown. Assertion outcome (pass/fail) recorded in step report; plan aggregate updates.</t>
        </is>
      </c>
      <c r="J1854" s="16" t="inlineStr"/>
      <c r="K1854" s="16" t="inlineStr">
        <is>
          <t>Not Run</t>
        </is>
      </c>
      <c r="L1854" s="16" t="inlineStr">
        <is>
          <t>High</t>
        </is>
      </c>
      <c r="M1854" s="16" t="inlineStr"/>
      <c r="N1854" s="16" t="inlineStr"/>
      <c r="O1854" s="16" t="inlineStr"/>
    </row>
    <row r="1855" ht="72" customHeight="1">
      <c r="A1855" s="16" t="inlineStr">
        <is>
          <t>TC-AS-0025</t>
        </is>
      </c>
      <c r="B1855" s="16" t="inlineStr">
        <is>
          <t>Assertions &amp; Execution Plans</t>
        </is>
      </c>
      <c r="C1855" s="16" t="inlineStr">
        <is>
          <t>Sequential 5 steps / Schema</t>
        </is>
      </c>
      <c r="D1855" s="16" t="inlineStr">
        <is>
          <t>Functional</t>
        </is>
      </c>
      <c r="E1855" s="16" t="inlineStr">
        <is>
          <t>Plan step: 5 sequential requests with Schema assertion</t>
        </is>
      </c>
      <c r="F1855" s="16" t="inlineStr">
        <is>
          <t>Plan configured.</t>
        </is>
      </c>
      <c r="G1855" s="16" t="inlineStr">
        <is>
          <t>1. Plan with 5 steps.
2. Run.
Assertion: body schema valid</t>
        </is>
      </c>
      <c r="H1855" s="16" t="inlineStr">
        <is>
          <t>plan</t>
        </is>
      </c>
      <c r="I1855" s="16" t="inlineStr">
        <is>
          <t>Each runs in order; aggregate result shown. Assertion outcome (pass/fail) recorded in step report; plan aggregate updates.</t>
        </is>
      </c>
      <c r="J1855" s="16" t="inlineStr"/>
      <c r="K1855" s="16" t="inlineStr">
        <is>
          <t>Not Run</t>
        </is>
      </c>
      <c r="L1855" s="16" t="inlineStr">
        <is>
          <t>Low</t>
        </is>
      </c>
      <c r="M1855" s="16" t="inlineStr"/>
      <c r="N1855" s="16" t="inlineStr"/>
      <c r="O1855" s="16" t="inlineStr"/>
    </row>
    <row r="1856" ht="72" customHeight="1">
      <c r="A1856" s="16" t="inlineStr">
        <is>
          <t>TC-AS-0026</t>
        </is>
      </c>
      <c r="B1856" s="16" t="inlineStr">
        <is>
          <t>Assertions &amp; Execution Plans</t>
        </is>
      </c>
      <c r="C1856" s="16" t="inlineStr">
        <is>
          <t>Step 2 depends on step 1 output / Status check</t>
        </is>
      </c>
      <c r="D1856" s="16" t="inlineStr">
        <is>
          <t>Functional</t>
        </is>
      </c>
      <c r="E1856" s="16" t="inlineStr">
        <is>
          <t>Plan step: Extract id; use {{id}} in step 2 with Status check assertion</t>
        </is>
      </c>
      <c r="F1856" s="16" t="inlineStr">
        <is>
          <t>Plan configured.</t>
        </is>
      </c>
      <c r="G1856" s="16" t="inlineStr">
        <is>
          <t>1. Step 1 sets pm.variables('id'); step 2 uses {{id}}.
2. Run.
Assertion: status==X</t>
        </is>
      </c>
      <c r="H1856" s="16" t="inlineStr">
        <is>
          <t>plan</t>
        </is>
      </c>
      <c r="I1856" s="16" t="inlineStr">
        <is>
          <t>Step 2 receives extracted id; succeeds. Assertion outcome (pass/fail) recorded in step report; plan aggregate updates.</t>
        </is>
      </c>
      <c r="J1856" s="16" t="inlineStr"/>
      <c r="K1856" s="16" t="inlineStr">
        <is>
          <t>Not Run</t>
        </is>
      </c>
      <c r="L1856" s="16" t="inlineStr">
        <is>
          <t>High</t>
        </is>
      </c>
      <c r="M1856" s="16" t="inlineStr"/>
      <c r="N1856" s="16" t="inlineStr"/>
      <c r="O1856" s="16" t="inlineStr"/>
    </row>
    <row r="1857" ht="72" customHeight="1">
      <c r="A1857" s="16" t="inlineStr">
        <is>
          <t>TC-AS-0027</t>
        </is>
      </c>
      <c r="B1857" s="16" t="inlineStr">
        <is>
          <t>Assertions &amp; Execution Plans</t>
        </is>
      </c>
      <c r="C1857" s="16" t="inlineStr">
        <is>
          <t>Step 2 depends on step 1 output / Status range</t>
        </is>
      </c>
      <c r="D1857" s="16" t="inlineStr">
        <is>
          <t>Functional</t>
        </is>
      </c>
      <c r="E1857" s="16" t="inlineStr">
        <is>
          <t>Plan step: Extract id; use {{id}} in step 2 with Status range assertion</t>
        </is>
      </c>
      <c r="F1857" s="16" t="inlineStr">
        <is>
          <t>Plan configured.</t>
        </is>
      </c>
      <c r="G1857" s="16" t="inlineStr">
        <is>
          <t>1. Step 1 sets pm.variables('id'); step 2 uses {{id}}.
2. Run.
Assertion: status&lt;Y</t>
        </is>
      </c>
      <c r="H1857" s="16" t="inlineStr">
        <is>
          <t>plan</t>
        </is>
      </c>
      <c r="I1857" s="16" t="inlineStr">
        <is>
          <t>Step 2 receives extracted id; succeeds. Assertion outcome (pass/fail) recorded in step report; plan aggregate updates.</t>
        </is>
      </c>
      <c r="J1857" s="16" t="inlineStr"/>
      <c r="K1857" s="16" t="inlineStr">
        <is>
          <t>Not Run</t>
        </is>
      </c>
      <c r="L1857" s="16" t="inlineStr">
        <is>
          <t>Low</t>
        </is>
      </c>
      <c r="M1857" s="16" t="inlineStr"/>
      <c r="N1857" s="16" t="inlineStr"/>
      <c r="O1857" s="16" t="inlineStr"/>
    </row>
    <row r="1858" ht="72" customHeight="1">
      <c r="A1858" s="16" t="inlineStr">
        <is>
          <t>TC-AS-0028</t>
        </is>
      </c>
      <c r="B1858" s="16" t="inlineStr">
        <is>
          <t>Assertions &amp; Execution Plans</t>
        </is>
      </c>
      <c r="C1858" s="16" t="inlineStr">
        <is>
          <t>Step 2 depends on step 1 output / JSON path</t>
        </is>
      </c>
      <c r="D1858" s="16" t="inlineStr">
        <is>
          <t>Functional</t>
        </is>
      </c>
      <c r="E1858" s="16" t="inlineStr">
        <is>
          <t>Plan step: Extract id; use {{id}} in step 2 with JSON path assertion</t>
        </is>
      </c>
      <c r="F1858" s="16" t="inlineStr">
        <is>
          <t>Plan configured.</t>
        </is>
      </c>
      <c r="G1858" s="16" t="inlineStr">
        <is>
          <t>1. Step 1 sets pm.variables('id'); step 2 uses {{id}}.
2. Run.
Assertion: body.path == value</t>
        </is>
      </c>
      <c r="H1858" s="16" t="inlineStr">
        <is>
          <t>plan</t>
        </is>
      </c>
      <c r="I1858" s="16" t="inlineStr">
        <is>
          <t>Step 2 receives extracted id; succeeds. Assertion outcome (pass/fail) recorded in step report; plan aggregate updates.</t>
        </is>
      </c>
      <c r="J1858" s="16" t="inlineStr"/>
      <c r="K1858" s="16" t="inlineStr">
        <is>
          <t>Not Run</t>
        </is>
      </c>
      <c r="L1858" s="16" t="inlineStr">
        <is>
          <t>High</t>
        </is>
      </c>
      <c r="M1858" s="16" t="inlineStr"/>
      <c r="N1858" s="16" t="inlineStr"/>
      <c r="O1858" s="16" t="inlineStr"/>
    </row>
    <row r="1859" ht="72" customHeight="1">
      <c r="A1859" s="16" t="inlineStr">
        <is>
          <t>TC-AS-0029</t>
        </is>
      </c>
      <c r="B1859" s="16" t="inlineStr">
        <is>
          <t>Assertions &amp; Execution Plans</t>
        </is>
      </c>
      <c r="C1859" s="16" t="inlineStr">
        <is>
          <t>Step 2 depends on step 1 output / Regex</t>
        </is>
      </c>
      <c r="D1859" s="16" t="inlineStr">
        <is>
          <t>Functional</t>
        </is>
      </c>
      <c r="E1859" s="16" t="inlineStr">
        <is>
          <t>Plan step: Extract id; use {{id}} in step 2 with Regex assertion</t>
        </is>
      </c>
      <c r="F1859" s="16" t="inlineStr">
        <is>
          <t>Plan configured.</t>
        </is>
      </c>
      <c r="G1859" s="16" t="inlineStr">
        <is>
          <t>1. Step 1 sets pm.variables('id'); step 2 uses {{id}}.
2. Run.
Assertion: body matches regex</t>
        </is>
      </c>
      <c r="H1859" s="16" t="inlineStr">
        <is>
          <t>plan</t>
        </is>
      </c>
      <c r="I1859" s="16" t="inlineStr">
        <is>
          <t>Step 2 receives extracted id; succeeds. Assertion outcome (pass/fail) recorded in step report; plan aggregate updates.</t>
        </is>
      </c>
      <c r="J1859" s="16" t="inlineStr"/>
      <c r="K1859" s="16" t="inlineStr">
        <is>
          <t>Not Run</t>
        </is>
      </c>
      <c r="L1859" s="16" t="inlineStr">
        <is>
          <t>Low</t>
        </is>
      </c>
      <c r="M1859" s="16" t="inlineStr"/>
      <c r="N1859" s="16" t="inlineStr"/>
      <c r="O1859" s="16" t="inlineStr"/>
    </row>
    <row r="1860" ht="72" customHeight="1">
      <c r="A1860" s="16" t="inlineStr">
        <is>
          <t>TC-AS-0030</t>
        </is>
      </c>
      <c r="B1860" s="16" t="inlineStr">
        <is>
          <t>Assertions &amp; Execution Plans</t>
        </is>
      </c>
      <c r="C1860" s="16" t="inlineStr">
        <is>
          <t>Step 2 depends on step 1 output / Header</t>
        </is>
      </c>
      <c r="D1860" s="16" t="inlineStr">
        <is>
          <t>Functional</t>
        </is>
      </c>
      <c r="E1860" s="16" t="inlineStr">
        <is>
          <t>Plan step: Extract id; use {{id}} in step 2 with Header assertion</t>
        </is>
      </c>
      <c r="F1860" s="16" t="inlineStr">
        <is>
          <t>Plan configured.</t>
        </is>
      </c>
      <c r="G1860" s="16" t="inlineStr">
        <is>
          <t>1. Step 1 sets pm.variables('id'); step 2 uses {{id}}.
2. Run.
Assertion: header present</t>
        </is>
      </c>
      <c r="H1860" s="16" t="inlineStr">
        <is>
          <t>plan</t>
        </is>
      </c>
      <c r="I1860" s="16" t="inlineStr">
        <is>
          <t>Step 2 receives extracted id; succeeds. Assertion outcome (pass/fail) recorded in step report; plan aggregate updates.</t>
        </is>
      </c>
      <c r="J1860" s="16" t="inlineStr"/>
      <c r="K1860" s="16" t="inlineStr">
        <is>
          <t>Not Run</t>
        </is>
      </c>
      <c r="L1860" s="16" t="inlineStr">
        <is>
          <t>Low</t>
        </is>
      </c>
      <c r="M1860" s="16" t="inlineStr"/>
      <c r="N1860" s="16" t="inlineStr"/>
      <c r="O1860" s="16" t="inlineStr"/>
    </row>
    <row r="1861" ht="72" customHeight="1">
      <c r="A1861" s="16" t="inlineStr">
        <is>
          <t>TC-AS-0031</t>
        </is>
      </c>
      <c r="B1861" s="16" t="inlineStr">
        <is>
          <t>Assertions &amp; Execution Plans</t>
        </is>
      </c>
      <c r="C1861" s="16" t="inlineStr">
        <is>
          <t>Step 2 depends on step 1 output / Header value</t>
        </is>
      </c>
      <c r="D1861" s="16" t="inlineStr">
        <is>
          <t>Functional</t>
        </is>
      </c>
      <c r="E1861" s="16" t="inlineStr">
        <is>
          <t>Plan step: Extract id; use {{id}} in step 2 with Header value assertion</t>
        </is>
      </c>
      <c r="F1861" s="16" t="inlineStr">
        <is>
          <t>Plan configured.</t>
        </is>
      </c>
      <c r="G1861" s="16" t="inlineStr">
        <is>
          <t>1. Step 1 sets pm.variables('id'); step 2 uses {{id}}.
2. Run.
Assertion: header value matches</t>
        </is>
      </c>
      <c r="H1861" s="16" t="inlineStr">
        <is>
          <t>plan</t>
        </is>
      </c>
      <c r="I1861" s="16" t="inlineStr">
        <is>
          <t>Step 2 receives extracted id; succeeds. Assertion outcome (pass/fail) recorded in step report; plan aggregate updates.</t>
        </is>
      </c>
      <c r="J1861" s="16" t="inlineStr"/>
      <c r="K1861" s="16" t="inlineStr">
        <is>
          <t>Not Run</t>
        </is>
      </c>
      <c r="L1861" s="16" t="inlineStr">
        <is>
          <t>Low</t>
        </is>
      </c>
      <c r="M1861" s="16" t="inlineStr"/>
      <c r="N1861" s="16" t="inlineStr"/>
      <c r="O1861" s="16" t="inlineStr"/>
    </row>
    <row r="1862" ht="72" customHeight="1">
      <c r="A1862" s="16" t="inlineStr">
        <is>
          <t>TC-AS-0032</t>
        </is>
      </c>
      <c r="B1862" s="16" t="inlineStr">
        <is>
          <t>Assertions &amp; Execution Plans</t>
        </is>
      </c>
      <c r="C1862" s="16" t="inlineStr">
        <is>
          <t>Step 2 depends on step 1 output / Duration</t>
        </is>
      </c>
      <c r="D1862" s="16" t="inlineStr">
        <is>
          <t>Functional</t>
        </is>
      </c>
      <c r="E1862" s="16" t="inlineStr">
        <is>
          <t>Plan step: Extract id; use {{id}} in step 2 with Duration assertion</t>
        </is>
      </c>
      <c r="F1862" s="16" t="inlineStr">
        <is>
          <t>Plan configured.</t>
        </is>
      </c>
      <c r="G1862" s="16" t="inlineStr">
        <is>
          <t>1. Step 1 sets pm.variables('id'); step 2 uses {{id}}.
2. Run.
Assertion: responseTime lt N</t>
        </is>
      </c>
      <c r="H1862" s="16" t="inlineStr">
        <is>
          <t>plan</t>
        </is>
      </c>
      <c r="I1862" s="16" t="inlineStr">
        <is>
          <t>Step 2 receives extracted id; succeeds. Assertion outcome (pass/fail) recorded in step report; plan aggregate updates.</t>
        </is>
      </c>
      <c r="J1862" s="16" t="inlineStr"/>
      <c r="K1862" s="16" t="inlineStr">
        <is>
          <t>Not Run</t>
        </is>
      </c>
      <c r="L1862" s="16" t="inlineStr">
        <is>
          <t>High</t>
        </is>
      </c>
      <c r="M1862" s="16" t="inlineStr"/>
      <c r="N1862" s="16" t="inlineStr"/>
      <c r="O1862" s="16" t="inlineStr"/>
    </row>
    <row r="1863" ht="72" customHeight="1">
      <c r="A1863" s="16" t="inlineStr">
        <is>
          <t>TC-AS-0033</t>
        </is>
      </c>
      <c r="B1863" s="16" t="inlineStr">
        <is>
          <t>Assertions &amp; Execution Plans</t>
        </is>
      </c>
      <c r="C1863" s="16" t="inlineStr">
        <is>
          <t>Step 2 depends on step 1 output / Schema</t>
        </is>
      </c>
      <c r="D1863" s="16" t="inlineStr">
        <is>
          <t>Functional</t>
        </is>
      </c>
      <c r="E1863" s="16" t="inlineStr">
        <is>
          <t>Plan step: Extract id; use {{id}} in step 2 with Schema assertion</t>
        </is>
      </c>
      <c r="F1863" s="16" t="inlineStr">
        <is>
          <t>Plan configured.</t>
        </is>
      </c>
      <c r="G1863" s="16" t="inlineStr">
        <is>
          <t>1. Step 1 sets pm.variables('id'); step 2 uses {{id}}.
2. Run.
Assertion: body schema valid</t>
        </is>
      </c>
      <c r="H1863" s="16" t="inlineStr">
        <is>
          <t>plan</t>
        </is>
      </c>
      <c r="I1863" s="16" t="inlineStr">
        <is>
          <t>Step 2 receives extracted id; succeeds. Assertion outcome (pass/fail) recorded in step report; plan aggregate updates.</t>
        </is>
      </c>
      <c r="J1863" s="16" t="inlineStr"/>
      <c r="K1863" s="16" t="inlineStr">
        <is>
          <t>Not Run</t>
        </is>
      </c>
      <c r="L1863" s="16" t="inlineStr">
        <is>
          <t>Low</t>
        </is>
      </c>
      <c r="M1863" s="16" t="inlineStr"/>
      <c r="N1863" s="16" t="inlineStr"/>
      <c r="O1863" s="16" t="inlineStr"/>
    </row>
    <row r="1864" ht="72" customHeight="1">
      <c r="A1864" s="16" t="inlineStr">
        <is>
          <t>TC-AS-0034</t>
        </is>
      </c>
      <c r="B1864" s="16" t="inlineStr">
        <is>
          <t>Assertions &amp; Execution Plans</t>
        </is>
      </c>
      <c r="C1864" s="16" t="inlineStr">
        <is>
          <t>Step with pre-script error / Status check</t>
        </is>
      </c>
      <c r="D1864" s="16" t="inlineStr">
        <is>
          <t>Negative</t>
        </is>
      </c>
      <c r="E1864" s="16" t="inlineStr">
        <is>
          <t>Plan step: Pre-script throws with Status check assertion</t>
        </is>
      </c>
      <c r="F1864" s="16" t="inlineStr">
        <is>
          <t>Plan configured.</t>
        </is>
      </c>
      <c r="G1864" s="16" t="inlineStr">
        <is>
          <t>1. Step 2 has pre-script error.
2. Run.
Assertion: status==X</t>
        </is>
      </c>
      <c r="H1864" s="16" t="inlineStr">
        <is>
          <t>plan</t>
        </is>
      </c>
      <c r="I1864" s="16" t="inlineStr">
        <is>
          <t>Step 2 marked failed; plan continues or stops per setting. Assertion outcome (pass/fail) recorded in step report; plan aggregate updates.</t>
        </is>
      </c>
      <c r="J1864" s="16" t="inlineStr"/>
      <c r="K1864" s="16" t="inlineStr">
        <is>
          <t>Not Run</t>
        </is>
      </c>
      <c r="L1864" s="16" t="inlineStr">
        <is>
          <t>Medium</t>
        </is>
      </c>
      <c r="M1864" s="16" t="inlineStr"/>
      <c r="N1864" s="16" t="inlineStr"/>
      <c r="O1864" s="16" t="inlineStr"/>
    </row>
    <row r="1865" ht="72" customHeight="1">
      <c r="A1865" s="16" t="inlineStr">
        <is>
          <t>TC-AS-0035</t>
        </is>
      </c>
      <c r="B1865" s="16" t="inlineStr">
        <is>
          <t>Assertions &amp; Execution Plans</t>
        </is>
      </c>
      <c r="C1865" s="16" t="inlineStr">
        <is>
          <t>Step with pre-script error / Status range</t>
        </is>
      </c>
      <c r="D1865" s="16" t="inlineStr">
        <is>
          <t>Negative</t>
        </is>
      </c>
      <c r="E1865" s="16" t="inlineStr">
        <is>
          <t>Plan step: Pre-script throws with Status range assertion</t>
        </is>
      </c>
      <c r="F1865" s="16" t="inlineStr">
        <is>
          <t>Plan configured.</t>
        </is>
      </c>
      <c r="G1865" s="16" t="inlineStr">
        <is>
          <t>1. Step 2 has pre-script error.
2. Run.
Assertion: status&lt;Y</t>
        </is>
      </c>
      <c r="H1865" s="16" t="inlineStr">
        <is>
          <t>plan</t>
        </is>
      </c>
      <c r="I1865" s="16" t="inlineStr">
        <is>
          <t>Step 2 marked failed; plan continues or stops per setting. Assertion outcome (pass/fail) recorded in step report; plan aggregate updates.</t>
        </is>
      </c>
      <c r="J1865" s="16" t="inlineStr"/>
      <c r="K1865" s="16" t="inlineStr">
        <is>
          <t>Not Run</t>
        </is>
      </c>
      <c r="L1865" s="16" t="inlineStr">
        <is>
          <t>Low</t>
        </is>
      </c>
      <c r="M1865" s="16" t="inlineStr"/>
      <c r="N1865" s="16" t="inlineStr"/>
      <c r="O1865" s="16" t="inlineStr"/>
    </row>
    <row r="1866" ht="72" customHeight="1">
      <c r="A1866" s="16" t="inlineStr">
        <is>
          <t>TC-AS-0036</t>
        </is>
      </c>
      <c r="B1866" s="16" t="inlineStr">
        <is>
          <t>Assertions &amp; Execution Plans</t>
        </is>
      </c>
      <c r="C1866" s="16" t="inlineStr">
        <is>
          <t>Step with pre-script error / JSON path</t>
        </is>
      </c>
      <c r="D1866" s="16" t="inlineStr">
        <is>
          <t>Negative</t>
        </is>
      </c>
      <c r="E1866" s="16" t="inlineStr">
        <is>
          <t>Plan step: Pre-script throws with JSON path assertion</t>
        </is>
      </c>
      <c r="F1866" s="16" t="inlineStr">
        <is>
          <t>Plan configured.</t>
        </is>
      </c>
      <c r="G1866" s="16" t="inlineStr">
        <is>
          <t>1. Step 2 has pre-script error.
2. Run.
Assertion: body.path == value</t>
        </is>
      </c>
      <c r="H1866" s="16" t="inlineStr">
        <is>
          <t>plan</t>
        </is>
      </c>
      <c r="I1866" s="16" t="inlineStr">
        <is>
          <t>Step 2 marked failed; plan continues or stops per setting. Assertion outcome (pass/fail) recorded in step report; plan aggregate updates.</t>
        </is>
      </c>
      <c r="J1866" s="16" t="inlineStr"/>
      <c r="K1866" s="16" t="inlineStr">
        <is>
          <t>Not Run</t>
        </is>
      </c>
      <c r="L1866" s="16" t="inlineStr">
        <is>
          <t>Medium</t>
        </is>
      </c>
      <c r="M1866" s="16" t="inlineStr"/>
      <c r="N1866" s="16" t="inlineStr"/>
      <c r="O1866" s="16" t="inlineStr"/>
    </row>
    <row r="1867" ht="72" customHeight="1">
      <c r="A1867" s="16" t="inlineStr">
        <is>
          <t>TC-AS-0037</t>
        </is>
      </c>
      <c r="B1867" s="16" t="inlineStr">
        <is>
          <t>Assertions &amp; Execution Plans</t>
        </is>
      </c>
      <c r="C1867" s="16" t="inlineStr">
        <is>
          <t>Step with pre-script error / Regex</t>
        </is>
      </c>
      <c r="D1867" s="16" t="inlineStr">
        <is>
          <t>Negative</t>
        </is>
      </c>
      <c r="E1867" s="16" t="inlineStr">
        <is>
          <t>Plan step: Pre-script throws with Regex assertion</t>
        </is>
      </c>
      <c r="F1867" s="16" t="inlineStr">
        <is>
          <t>Plan configured.</t>
        </is>
      </c>
      <c r="G1867" s="16" t="inlineStr">
        <is>
          <t>1. Step 2 has pre-script error.
2. Run.
Assertion: body matches regex</t>
        </is>
      </c>
      <c r="H1867" s="16" t="inlineStr">
        <is>
          <t>plan</t>
        </is>
      </c>
      <c r="I1867" s="16" t="inlineStr">
        <is>
          <t>Step 2 marked failed; plan continues or stops per setting. Assertion outcome (pass/fail) recorded in step report; plan aggregate updates.</t>
        </is>
      </c>
      <c r="J1867" s="16" t="inlineStr"/>
      <c r="K1867" s="16" t="inlineStr">
        <is>
          <t>Not Run</t>
        </is>
      </c>
      <c r="L1867" s="16" t="inlineStr">
        <is>
          <t>Low</t>
        </is>
      </c>
      <c r="M1867" s="16" t="inlineStr"/>
      <c r="N1867" s="16" t="inlineStr"/>
      <c r="O1867" s="16" t="inlineStr"/>
    </row>
    <row r="1868" ht="72" customHeight="1">
      <c r="A1868" s="16" t="inlineStr">
        <is>
          <t>TC-AS-0038</t>
        </is>
      </c>
      <c r="B1868" s="16" t="inlineStr">
        <is>
          <t>Assertions &amp; Execution Plans</t>
        </is>
      </c>
      <c r="C1868" s="16" t="inlineStr">
        <is>
          <t>Step with pre-script error / Header</t>
        </is>
      </c>
      <c r="D1868" s="16" t="inlineStr">
        <is>
          <t>Negative</t>
        </is>
      </c>
      <c r="E1868" s="16" t="inlineStr">
        <is>
          <t>Plan step: Pre-script throws with Header assertion</t>
        </is>
      </c>
      <c r="F1868" s="16" t="inlineStr">
        <is>
          <t>Plan configured.</t>
        </is>
      </c>
      <c r="G1868" s="16" t="inlineStr">
        <is>
          <t>1. Step 2 has pre-script error.
2. Run.
Assertion: header present</t>
        </is>
      </c>
      <c r="H1868" s="16" t="inlineStr">
        <is>
          <t>plan</t>
        </is>
      </c>
      <c r="I1868" s="16" t="inlineStr">
        <is>
          <t>Step 2 marked failed; plan continues or stops per setting. Assertion outcome (pass/fail) recorded in step report; plan aggregate updates.</t>
        </is>
      </c>
      <c r="J1868" s="16" t="inlineStr"/>
      <c r="K1868" s="16" t="inlineStr">
        <is>
          <t>Not Run</t>
        </is>
      </c>
      <c r="L1868" s="16" t="inlineStr">
        <is>
          <t>Low</t>
        </is>
      </c>
      <c r="M1868" s="16" t="inlineStr"/>
      <c r="N1868" s="16" t="inlineStr"/>
      <c r="O1868" s="16" t="inlineStr"/>
    </row>
    <row r="1869" ht="72" customHeight="1">
      <c r="A1869" s="16" t="inlineStr">
        <is>
          <t>TC-AS-0039</t>
        </is>
      </c>
      <c r="B1869" s="16" t="inlineStr">
        <is>
          <t>Assertions &amp; Execution Plans</t>
        </is>
      </c>
      <c r="C1869" s="16" t="inlineStr">
        <is>
          <t>Step with pre-script error / Header value</t>
        </is>
      </c>
      <c r="D1869" s="16" t="inlineStr">
        <is>
          <t>Negative</t>
        </is>
      </c>
      <c r="E1869" s="16" t="inlineStr">
        <is>
          <t>Plan step: Pre-script throws with Header value assertion</t>
        </is>
      </c>
      <c r="F1869" s="16" t="inlineStr">
        <is>
          <t>Plan configured.</t>
        </is>
      </c>
      <c r="G1869" s="16" t="inlineStr">
        <is>
          <t>1. Step 2 has pre-script error.
2. Run.
Assertion: header value matches</t>
        </is>
      </c>
      <c r="H1869" s="16" t="inlineStr">
        <is>
          <t>plan</t>
        </is>
      </c>
      <c r="I1869" s="16" t="inlineStr">
        <is>
          <t>Step 2 marked failed; plan continues or stops per setting. Assertion outcome (pass/fail) recorded in step report; plan aggregate updates.</t>
        </is>
      </c>
      <c r="J1869" s="16" t="inlineStr"/>
      <c r="K1869" s="16" t="inlineStr">
        <is>
          <t>Not Run</t>
        </is>
      </c>
      <c r="L1869" s="16" t="inlineStr">
        <is>
          <t>Low</t>
        </is>
      </c>
      <c r="M1869" s="16" t="inlineStr"/>
      <c r="N1869" s="16" t="inlineStr"/>
      <c r="O1869" s="16" t="inlineStr"/>
    </row>
    <row r="1870" ht="72" customHeight="1">
      <c r="A1870" s="16" t="inlineStr">
        <is>
          <t>TC-AS-0040</t>
        </is>
      </c>
      <c r="B1870" s="16" t="inlineStr">
        <is>
          <t>Assertions &amp; Execution Plans</t>
        </is>
      </c>
      <c r="C1870" s="16" t="inlineStr">
        <is>
          <t>Step with pre-script error / Duration</t>
        </is>
      </c>
      <c r="D1870" s="16" t="inlineStr">
        <is>
          <t>Negative</t>
        </is>
      </c>
      <c r="E1870" s="16" t="inlineStr">
        <is>
          <t>Plan step: Pre-script throws with Duration assertion</t>
        </is>
      </c>
      <c r="F1870" s="16" t="inlineStr">
        <is>
          <t>Plan configured.</t>
        </is>
      </c>
      <c r="G1870" s="16" t="inlineStr">
        <is>
          <t>1. Step 2 has pre-script error.
2. Run.
Assertion: responseTime lt N</t>
        </is>
      </c>
      <c r="H1870" s="16" t="inlineStr">
        <is>
          <t>plan</t>
        </is>
      </c>
      <c r="I1870" s="16" t="inlineStr">
        <is>
          <t>Step 2 marked failed; plan continues or stops per setting. Assertion outcome (pass/fail) recorded in step report; plan aggregate updates.</t>
        </is>
      </c>
      <c r="J1870" s="16" t="inlineStr"/>
      <c r="K1870" s="16" t="inlineStr">
        <is>
          <t>Not Run</t>
        </is>
      </c>
      <c r="L1870" s="16" t="inlineStr">
        <is>
          <t>Medium</t>
        </is>
      </c>
      <c r="M1870" s="16" t="inlineStr"/>
      <c r="N1870" s="16" t="inlineStr"/>
      <c r="O1870" s="16" t="inlineStr"/>
    </row>
    <row r="1871" ht="72" customHeight="1">
      <c r="A1871" s="16" t="inlineStr">
        <is>
          <t>TC-AS-0041</t>
        </is>
      </c>
      <c r="B1871" s="16" t="inlineStr">
        <is>
          <t>Assertions &amp; Execution Plans</t>
        </is>
      </c>
      <c r="C1871" s="16" t="inlineStr">
        <is>
          <t>Step with pre-script error / Schema</t>
        </is>
      </c>
      <c r="D1871" s="16" t="inlineStr">
        <is>
          <t>Negative</t>
        </is>
      </c>
      <c r="E1871" s="16" t="inlineStr">
        <is>
          <t>Plan step: Pre-script throws with Schema assertion</t>
        </is>
      </c>
      <c r="F1871" s="16" t="inlineStr">
        <is>
          <t>Plan configured.</t>
        </is>
      </c>
      <c r="G1871" s="16" t="inlineStr">
        <is>
          <t>1. Step 2 has pre-script error.
2. Run.
Assertion: body schema valid</t>
        </is>
      </c>
      <c r="H1871" s="16" t="inlineStr">
        <is>
          <t>plan</t>
        </is>
      </c>
      <c r="I1871" s="16" t="inlineStr">
        <is>
          <t>Step 2 marked failed; plan continues or stops per setting. Assertion outcome (pass/fail) recorded in step report; plan aggregate updates.</t>
        </is>
      </c>
      <c r="J1871" s="16" t="inlineStr"/>
      <c r="K1871" s="16" t="inlineStr">
        <is>
          <t>Not Run</t>
        </is>
      </c>
      <c r="L1871" s="16" t="inlineStr">
        <is>
          <t>Low</t>
        </is>
      </c>
      <c r="M1871" s="16" t="inlineStr"/>
      <c r="N1871" s="16" t="inlineStr"/>
      <c r="O1871" s="16" t="inlineStr"/>
    </row>
    <row r="1872" ht="72" customHeight="1">
      <c r="A1872" s="16" t="inlineStr">
        <is>
          <t>TC-AS-0042</t>
        </is>
      </c>
      <c r="B1872" s="16" t="inlineStr">
        <is>
          <t>Assertions &amp; Execution Plans</t>
        </is>
      </c>
      <c r="C1872" s="16" t="inlineStr">
        <is>
          <t>Step with post-script error / Status check</t>
        </is>
      </c>
      <c r="D1872" s="16" t="inlineStr">
        <is>
          <t>Negative</t>
        </is>
      </c>
      <c r="E1872" s="16" t="inlineStr">
        <is>
          <t>Plan step: Tests script throws with Status check assertion</t>
        </is>
      </c>
      <c r="F1872" s="16" t="inlineStr">
        <is>
          <t>Plan configured.</t>
        </is>
      </c>
      <c r="G1872" s="16" t="inlineStr">
        <is>
          <t>1. Step 2 tests throw.
2. Run.
Assertion: status==X</t>
        </is>
      </c>
      <c r="H1872" s="16" t="inlineStr">
        <is>
          <t>plan</t>
        </is>
      </c>
      <c r="I1872" s="16" t="inlineStr">
        <is>
          <t>Step 2 marked failed; HTTP response still shown. Assertion outcome (pass/fail) recorded in step report; plan aggregate updates.</t>
        </is>
      </c>
      <c r="J1872" s="16" t="inlineStr"/>
      <c r="K1872" s="16" t="inlineStr">
        <is>
          <t>Not Run</t>
        </is>
      </c>
      <c r="L1872" s="16" t="inlineStr">
        <is>
          <t>Medium</t>
        </is>
      </c>
      <c r="M1872" s="16" t="inlineStr"/>
      <c r="N1872" s="16" t="inlineStr"/>
      <c r="O1872" s="16" t="inlineStr"/>
    </row>
    <row r="1873" ht="72" customHeight="1">
      <c r="A1873" s="16" t="inlineStr">
        <is>
          <t>TC-AS-0043</t>
        </is>
      </c>
      <c r="B1873" s="16" t="inlineStr">
        <is>
          <t>Assertions &amp; Execution Plans</t>
        </is>
      </c>
      <c r="C1873" s="16" t="inlineStr">
        <is>
          <t>Step with post-script error / Status range</t>
        </is>
      </c>
      <c r="D1873" s="16" t="inlineStr">
        <is>
          <t>Negative</t>
        </is>
      </c>
      <c r="E1873" s="16" t="inlineStr">
        <is>
          <t>Plan step: Tests script throws with Status range assertion</t>
        </is>
      </c>
      <c r="F1873" s="16" t="inlineStr">
        <is>
          <t>Plan configured.</t>
        </is>
      </c>
      <c r="G1873" s="16" t="inlineStr">
        <is>
          <t>1. Step 2 tests throw.
2. Run.
Assertion: status&lt;Y</t>
        </is>
      </c>
      <c r="H1873" s="16" t="inlineStr">
        <is>
          <t>plan</t>
        </is>
      </c>
      <c r="I1873" s="16" t="inlineStr">
        <is>
          <t>Step 2 marked failed; HTTP response still shown. Assertion outcome (pass/fail) recorded in step report; plan aggregate updates.</t>
        </is>
      </c>
      <c r="J1873" s="16" t="inlineStr"/>
      <c r="K1873" s="16" t="inlineStr">
        <is>
          <t>Not Run</t>
        </is>
      </c>
      <c r="L1873" s="16" t="inlineStr">
        <is>
          <t>Low</t>
        </is>
      </c>
      <c r="M1873" s="16" t="inlineStr"/>
      <c r="N1873" s="16" t="inlineStr"/>
      <c r="O1873" s="16" t="inlineStr"/>
    </row>
    <row r="1874" ht="72" customHeight="1">
      <c r="A1874" s="16" t="inlineStr">
        <is>
          <t>TC-AS-0044</t>
        </is>
      </c>
      <c r="B1874" s="16" t="inlineStr">
        <is>
          <t>Assertions &amp; Execution Plans</t>
        </is>
      </c>
      <c r="C1874" s="16" t="inlineStr">
        <is>
          <t>Step with post-script error / JSON path</t>
        </is>
      </c>
      <c r="D1874" s="16" t="inlineStr">
        <is>
          <t>Negative</t>
        </is>
      </c>
      <c r="E1874" s="16" t="inlineStr">
        <is>
          <t>Plan step: Tests script throws with JSON path assertion</t>
        </is>
      </c>
      <c r="F1874" s="16" t="inlineStr">
        <is>
          <t>Plan configured.</t>
        </is>
      </c>
      <c r="G1874" s="16" t="inlineStr">
        <is>
          <t>1. Step 2 tests throw.
2. Run.
Assertion: body.path == value</t>
        </is>
      </c>
      <c r="H1874" s="16" t="inlineStr">
        <is>
          <t>plan</t>
        </is>
      </c>
      <c r="I1874" s="16" t="inlineStr">
        <is>
          <t>Step 2 marked failed; HTTP response still shown. Assertion outcome (pass/fail) recorded in step report; plan aggregate updates.</t>
        </is>
      </c>
      <c r="J1874" s="16" t="inlineStr"/>
      <c r="K1874" s="16" t="inlineStr">
        <is>
          <t>Not Run</t>
        </is>
      </c>
      <c r="L1874" s="16" t="inlineStr">
        <is>
          <t>Medium</t>
        </is>
      </c>
      <c r="M1874" s="16" t="inlineStr"/>
      <c r="N1874" s="16" t="inlineStr"/>
      <c r="O1874" s="16" t="inlineStr"/>
    </row>
    <row r="1875" ht="72" customHeight="1">
      <c r="A1875" s="16" t="inlineStr">
        <is>
          <t>TC-AS-0045</t>
        </is>
      </c>
      <c r="B1875" s="16" t="inlineStr">
        <is>
          <t>Assertions &amp; Execution Plans</t>
        </is>
      </c>
      <c r="C1875" s="16" t="inlineStr">
        <is>
          <t>Step with post-script error / Regex</t>
        </is>
      </c>
      <c r="D1875" s="16" t="inlineStr">
        <is>
          <t>Negative</t>
        </is>
      </c>
      <c r="E1875" s="16" t="inlineStr">
        <is>
          <t>Plan step: Tests script throws with Regex assertion</t>
        </is>
      </c>
      <c r="F1875" s="16" t="inlineStr">
        <is>
          <t>Plan configured.</t>
        </is>
      </c>
      <c r="G1875" s="16" t="inlineStr">
        <is>
          <t>1. Step 2 tests throw.
2. Run.
Assertion: body matches regex</t>
        </is>
      </c>
      <c r="H1875" s="16" t="inlineStr">
        <is>
          <t>plan</t>
        </is>
      </c>
      <c r="I1875" s="16" t="inlineStr">
        <is>
          <t>Step 2 marked failed; HTTP response still shown. Assertion outcome (pass/fail) recorded in step report; plan aggregate updates.</t>
        </is>
      </c>
      <c r="J1875" s="16" t="inlineStr"/>
      <c r="K1875" s="16" t="inlineStr">
        <is>
          <t>Not Run</t>
        </is>
      </c>
      <c r="L1875" s="16" t="inlineStr">
        <is>
          <t>Low</t>
        </is>
      </c>
      <c r="M1875" s="16" t="inlineStr"/>
      <c r="N1875" s="16" t="inlineStr"/>
      <c r="O1875" s="16" t="inlineStr"/>
    </row>
    <row r="1876" ht="72" customHeight="1">
      <c r="A1876" s="16" t="inlineStr">
        <is>
          <t>TC-AS-0046</t>
        </is>
      </c>
      <c r="B1876" s="16" t="inlineStr">
        <is>
          <t>Assertions &amp; Execution Plans</t>
        </is>
      </c>
      <c r="C1876" s="16" t="inlineStr">
        <is>
          <t>Step with post-script error / Header</t>
        </is>
      </c>
      <c r="D1876" s="16" t="inlineStr">
        <is>
          <t>Negative</t>
        </is>
      </c>
      <c r="E1876" s="16" t="inlineStr">
        <is>
          <t>Plan step: Tests script throws with Header assertion</t>
        </is>
      </c>
      <c r="F1876" s="16" t="inlineStr">
        <is>
          <t>Plan configured.</t>
        </is>
      </c>
      <c r="G1876" s="16" t="inlineStr">
        <is>
          <t>1. Step 2 tests throw.
2. Run.
Assertion: header present</t>
        </is>
      </c>
      <c r="H1876" s="16" t="inlineStr">
        <is>
          <t>plan</t>
        </is>
      </c>
      <c r="I1876" s="16" t="inlineStr">
        <is>
          <t>Step 2 marked failed; HTTP response still shown. Assertion outcome (pass/fail) recorded in step report; plan aggregate updates.</t>
        </is>
      </c>
      <c r="J1876" s="16" t="inlineStr"/>
      <c r="K1876" s="16" t="inlineStr">
        <is>
          <t>Not Run</t>
        </is>
      </c>
      <c r="L1876" s="16" t="inlineStr">
        <is>
          <t>Low</t>
        </is>
      </c>
      <c r="M1876" s="16" t="inlineStr"/>
      <c r="N1876" s="16" t="inlineStr"/>
      <c r="O1876" s="16" t="inlineStr"/>
    </row>
    <row r="1877" ht="72" customHeight="1">
      <c r="A1877" s="16" t="inlineStr">
        <is>
          <t>TC-AS-0047</t>
        </is>
      </c>
      <c r="B1877" s="16" t="inlineStr">
        <is>
          <t>Assertions &amp; Execution Plans</t>
        </is>
      </c>
      <c r="C1877" s="16" t="inlineStr">
        <is>
          <t>Step with post-script error / Header value</t>
        </is>
      </c>
      <c r="D1877" s="16" t="inlineStr">
        <is>
          <t>Negative</t>
        </is>
      </c>
      <c r="E1877" s="16" t="inlineStr">
        <is>
          <t>Plan step: Tests script throws with Header value assertion</t>
        </is>
      </c>
      <c r="F1877" s="16" t="inlineStr">
        <is>
          <t>Plan configured.</t>
        </is>
      </c>
      <c r="G1877" s="16" t="inlineStr">
        <is>
          <t>1. Step 2 tests throw.
2. Run.
Assertion: header value matches</t>
        </is>
      </c>
      <c r="H1877" s="16" t="inlineStr">
        <is>
          <t>plan</t>
        </is>
      </c>
      <c r="I1877" s="16" t="inlineStr">
        <is>
          <t>Step 2 marked failed; HTTP response still shown. Assertion outcome (pass/fail) recorded in step report; plan aggregate updates.</t>
        </is>
      </c>
      <c r="J1877" s="16" t="inlineStr"/>
      <c r="K1877" s="16" t="inlineStr">
        <is>
          <t>Not Run</t>
        </is>
      </c>
      <c r="L1877" s="16" t="inlineStr">
        <is>
          <t>Low</t>
        </is>
      </c>
      <c r="M1877" s="16" t="inlineStr"/>
      <c r="N1877" s="16" t="inlineStr"/>
      <c r="O1877" s="16" t="inlineStr"/>
    </row>
    <row r="1878" ht="72" customHeight="1">
      <c r="A1878" s="16" t="inlineStr">
        <is>
          <t>TC-AS-0048</t>
        </is>
      </c>
      <c r="B1878" s="16" t="inlineStr">
        <is>
          <t>Assertions &amp; Execution Plans</t>
        </is>
      </c>
      <c r="C1878" s="16" t="inlineStr">
        <is>
          <t>Step with post-script error / Duration</t>
        </is>
      </c>
      <c r="D1878" s="16" t="inlineStr">
        <is>
          <t>Negative</t>
        </is>
      </c>
      <c r="E1878" s="16" t="inlineStr">
        <is>
          <t>Plan step: Tests script throws with Duration assertion</t>
        </is>
      </c>
      <c r="F1878" s="16" t="inlineStr">
        <is>
          <t>Plan configured.</t>
        </is>
      </c>
      <c r="G1878" s="16" t="inlineStr">
        <is>
          <t>1. Step 2 tests throw.
2. Run.
Assertion: responseTime lt N</t>
        </is>
      </c>
      <c r="H1878" s="16" t="inlineStr">
        <is>
          <t>plan</t>
        </is>
      </c>
      <c r="I1878" s="16" t="inlineStr">
        <is>
          <t>Step 2 marked failed; HTTP response still shown. Assertion outcome (pass/fail) recorded in step report; plan aggregate updates.</t>
        </is>
      </c>
      <c r="J1878" s="16" t="inlineStr"/>
      <c r="K1878" s="16" t="inlineStr">
        <is>
          <t>Not Run</t>
        </is>
      </c>
      <c r="L1878" s="16" t="inlineStr">
        <is>
          <t>Medium</t>
        </is>
      </c>
      <c r="M1878" s="16" t="inlineStr"/>
      <c r="N1878" s="16" t="inlineStr"/>
      <c r="O1878" s="16" t="inlineStr"/>
    </row>
    <row r="1879" ht="72" customHeight="1">
      <c r="A1879" s="16" t="inlineStr">
        <is>
          <t>TC-AS-0049</t>
        </is>
      </c>
      <c r="B1879" s="16" t="inlineStr">
        <is>
          <t>Assertions &amp; Execution Plans</t>
        </is>
      </c>
      <c r="C1879" s="16" t="inlineStr">
        <is>
          <t>Step with post-script error / Schema</t>
        </is>
      </c>
      <c r="D1879" s="16" t="inlineStr">
        <is>
          <t>Negative</t>
        </is>
      </c>
      <c r="E1879" s="16" t="inlineStr">
        <is>
          <t>Plan step: Tests script throws with Schema assertion</t>
        </is>
      </c>
      <c r="F1879" s="16" t="inlineStr">
        <is>
          <t>Plan configured.</t>
        </is>
      </c>
      <c r="G1879" s="16" t="inlineStr">
        <is>
          <t>1. Step 2 tests throw.
2. Run.
Assertion: body schema valid</t>
        </is>
      </c>
      <c r="H1879" s="16" t="inlineStr">
        <is>
          <t>plan</t>
        </is>
      </c>
      <c r="I1879" s="16" t="inlineStr">
        <is>
          <t>Step 2 marked failed; HTTP response still shown. Assertion outcome (pass/fail) recorded in step report; plan aggregate updates.</t>
        </is>
      </c>
      <c r="J1879" s="16" t="inlineStr"/>
      <c r="K1879" s="16" t="inlineStr">
        <is>
          <t>Not Run</t>
        </is>
      </c>
      <c r="L1879" s="16" t="inlineStr">
        <is>
          <t>Low</t>
        </is>
      </c>
      <c r="M1879" s="16" t="inlineStr"/>
      <c r="N1879" s="16" t="inlineStr"/>
      <c r="O1879" s="16" t="inlineStr"/>
    </row>
    <row r="1880" ht="72" customHeight="1">
      <c r="A1880" s="16" t="inlineStr">
        <is>
          <t>TC-AS-0050</t>
        </is>
      </c>
      <c r="B1880" s="16" t="inlineStr">
        <is>
          <t>Assertions &amp; Execution Plans</t>
        </is>
      </c>
      <c r="C1880" s="16" t="inlineStr">
        <is>
          <t>Disabled step skipped / Status check</t>
        </is>
      </c>
      <c r="D1880" s="16" t="inlineStr">
        <is>
          <t>Functional</t>
        </is>
      </c>
      <c r="E1880" s="16" t="inlineStr">
        <is>
          <t>Plan step: 1 of 5 disabled with Status check assertion</t>
        </is>
      </c>
      <c r="F1880" s="16" t="inlineStr">
        <is>
          <t>Plan configured.</t>
        </is>
      </c>
      <c r="G1880" s="16" t="inlineStr">
        <is>
          <t>1. Disable step 3; Run.
Assertion: status==X</t>
        </is>
      </c>
      <c r="H1880" s="16" t="inlineStr">
        <is>
          <t>plan</t>
        </is>
      </c>
      <c r="I1880" s="16" t="inlineStr">
        <is>
          <t>Step 3 'skipped'; 1,2,4,5 run. Assertion outcome (pass/fail) recorded in step report; plan aggregate updates.</t>
        </is>
      </c>
      <c r="J1880" s="16" t="inlineStr"/>
      <c r="K1880" s="16" t="inlineStr">
        <is>
          <t>Not Run</t>
        </is>
      </c>
      <c r="L1880" s="16" t="inlineStr">
        <is>
          <t>High</t>
        </is>
      </c>
      <c r="M1880" s="16" t="inlineStr"/>
      <c r="N1880" s="16" t="inlineStr"/>
      <c r="O1880" s="16" t="inlineStr"/>
    </row>
    <row r="1881" ht="72" customHeight="1">
      <c r="A1881" s="16" t="inlineStr">
        <is>
          <t>TC-AS-0051</t>
        </is>
      </c>
      <c r="B1881" s="16" t="inlineStr">
        <is>
          <t>Assertions &amp; Execution Plans</t>
        </is>
      </c>
      <c r="C1881" s="16" t="inlineStr">
        <is>
          <t>Disabled step skipped / Status range</t>
        </is>
      </c>
      <c r="D1881" s="16" t="inlineStr">
        <is>
          <t>Functional</t>
        </is>
      </c>
      <c r="E1881" s="16" t="inlineStr">
        <is>
          <t>Plan step: 1 of 5 disabled with Status range assertion</t>
        </is>
      </c>
      <c r="F1881" s="16" t="inlineStr">
        <is>
          <t>Plan configured.</t>
        </is>
      </c>
      <c r="G1881" s="16" t="inlineStr">
        <is>
          <t>1. Disable step 3; Run.
Assertion: status&lt;Y</t>
        </is>
      </c>
      <c r="H1881" s="16" t="inlineStr">
        <is>
          <t>plan</t>
        </is>
      </c>
      <c r="I1881" s="16" t="inlineStr">
        <is>
          <t>Step 3 'skipped'; 1,2,4,5 run. Assertion outcome (pass/fail) recorded in step report; plan aggregate updates.</t>
        </is>
      </c>
      <c r="J1881" s="16" t="inlineStr"/>
      <c r="K1881" s="16" t="inlineStr">
        <is>
          <t>Not Run</t>
        </is>
      </c>
      <c r="L1881" s="16" t="inlineStr">
        <is>
          <t>Low</t>
        </is>
      </c>
      <c r="M1881" s="16" t="inlineStr"/>
      <c r="N1881" s="16" t="inlineStr"/>
      <c r="O1881" s="16" t="inlineStr"/>
    </row>
    <row r="1882" ht="72" customHeight="1">
      <c r="A1882" s="16" t="inlineStr">
        <is>
          <t>TC-AS-0052</t>
        </is>
      </c>
      <c r="B1882" s="16" t="inlineStr">
        <is>
          <t>Assertions &amp; Execution Plans</t>
        </is>
      </c>
      <c r="C1882" s="16" t="inlineStr">
        <is>
          <t>Disabled step skipped / JSON path</t>
        </is>
      </c>
      <c r="D1882" s="16" t="inlineStr">
        <is>
          <t>Functional</t>
        </is>
      </c>
      <c r="E1882" s="16" t="inlineStr">
        <is>
          <t>Plan step: 1 of 5 disabled with JSON path assertion</t>
        </is>
      </c>
      <c r="F1882" s="16" t="inlineStr">
        <is>
          <t>Plan configured.</t>
        </is>
      </c>
      <c r="G1882" s="16" t="inlineStr">
        <is>
          <t>1. Disable step 3; Run.
Assertion: body.path == value</t>
        </is>
      </c>
      <c r="H1882" s="16" t="inlineStr">
        <is>
          <t>plan</t>
        </is>
      </c>
      <c r="I1882" s="16" t="inlineStr">
        <is>
          <t>Step 3 'skipped'; 1,2,4,5 run. Assertion outcome (pass/fail) recorded in step report; plan aggregate updates.</t>
        </is>
      </c>
      <c r="J1882" s="16" t="inlineStr"/>
      <c r="K1882" s="16" t="inlineStr">
        <is>
          <t>Not Run</t>
        </is>
      </c>
      <c r="L1882" s="16" t="inlineStr">
        <is>
          <t>High</t>
        </is>
      </c>
      <c r="M1882" s="16" t="inlineStr"/>
      <c r="N1882" s="16" t="inlineStr"/>
      <c r="O1882" s="16" t="inlineStr"/>
    </row>
    <row r="1883" ht="72" customHeight="1">
      <c r="A1883" s="16" t="inlineStr">
        <is>
          <t>TC-AS-0053</t>
        </is>
      </c>
      <c r="B1883" s="16" t="inlineStr">
        <is>
          <t>Assertions &amp; Execution Plans</t>
        </is>
      </c>
      <c r="C1883" s="16" t="inlineStr">
        <is>
          <t>Disabled step skipped / Regex</t>
        </is>
      </c>
      <c r="D1883" s="16" t="inlineStr">
        <is>
          <t>Functional</t>
        </is>
      </c>
      <c r="E1883" s="16" t="inlineStr">
        <is>
          <t>Plan step: 1 of 5 disabled with Regex assertion</t>
        </is>
      </c>
      <c r="F1883" s="16" t="inlineStr">
        <is>
          <t>Plan configured.</t>
        </is>
      </c>
      <c r="G1883" s="16" t="inlineStr">
        <is>
          <t>1. Disable step 3; Run.
Assertion: body matches regex</t>
        </is>
      </c>
      <c r="H1883" s="16" t="inlineStr">
        <is>
          <t>plan</t>
        </is>
      </c>
      <c r="I1883" s="16" t="inlineStr">
        <is>
          <t>Step 3 'skipped'; 1,2,4,5 run. Assertion outcome (pass/fail) recorded in step report; plan aggregate updates.</t>
        </is>
      </c>
      <c r="J1883" s="16" t="inlineStr"/>
      <c r="K1883" s="16" t="inlineStr">
        <is>
          <t>Not Run</t>
        </is>
      </c>
      <c r="L1883" s="16" t="inlineStr">
        <is>
          <t>Low</t>
        </is>
      </c>
      <c r="M1883" s="16" t="inlineStr"/>
      <c r="N1883" s="16" t="inlineStr"/>
      <c r="O1883" s="16" t="inlineStr"/>
    </row>
    <row r="1884" ht="72" customHeight="1">
      <c r="A1884" s="16" t="inlineStr">
        <is>
          <t>TC-AS-0054</t>
        </is>
      </c>
      <c r="B1884" s="16" t="inlineStr">
        <is>
          <t>Assertions &amp; Execution Plans</t>
        </is>
      </c>
      <c r="C1884" s="16" t="inlineStr">
        <is>
          <t>Disabled step skipped / Header</t>
        </is>
      </c>
      <c r="D1884" s="16" t="inlineStr">
        <is>
          <t>Functional</t>
        </is>
      </c>
      <c r="E1884" s="16" t="inlineStr">
        <is>
          <t>Plan step: 1 of 5 disabled with Header assertion</t>
        </is>
      </c>
      <c r="F1884" s="16" t="inlineStr">
        <is>
          <t>Plan configured.</t>
        </is>
      </c>
      <c r="G1884" s="16" t="inlineStr">
        <is>
          <t>1. Disable step 3; Run.
Assertion: header present</t>
        </is>
      </c>
      <c r="H1884" s="16" t="inlineStr">
        <is>
          <t>plan</t>
        </is>
      </c>
      <c r="I1884" s="16" t="inlineStr">
        <is>
          <t>Step 3 'skipped'; 1,2,4,5 run. Assertion outcome (pass/fail) recorded in step report; plan aggregate updates.</t>
        </is>
      </c>
      <c r="J1884" s="16" t="inlineStr"/>
      <c r="K1884" s="16" t="inlineStr">
        <is>
          <t>Not Run</t>
        </is>
      </c>
      <c r="L1884" s="16" t="inlineStr">
        <is>
          <t>Low</t>
        </is>
      </c>
      <c r="M1884" s="16" t="inlineStr"/>
      <c r="N1884" s="16" t="inlineStr"/>
      <c r="O1884" s="16" t="inlineStr"/>
    </row>
    <row r="1885" ht="72" customHeight="1">
      <c r="A1885" s="16" t="inlineStr">
        <is>
          <t>TC-AS-0055</t>
        </is>
      </c>
      <c r="B1885" s="16" t="inlineStr">
        <is>
          <t>Assertions &amp; Execution Plans</t>
        </is>
      </c>
      <c r="C1885" s="16" t="inlineStr">
        <is>
          <t>Disabled step skipped / Header value</t>
        </is>
      </c>
      <c r="D1885" s="16" t="inlineStr">
        <is>
          <t>Functional</t>
        </is>
      </c>
      <c r="E1885" s="16" t="inlineStr">
        <is>
          <t>Plan step: 1 of 5 disabled with Header value assertion</t>
        </is>
      </c>
      <c r="F1885" s="16" t="inlineStr">
        <is>
          <t>Plan configured.</t>
        </is>
      </c>
      <c r="G1885" s="16" t="inlineStr">
        <is>
          <t>1. Disable step 3; Run.
Assertion: header value matches</t>
        </is>
      </c>
      <c r="H1885" s="16" t="inlineStr">
        <is>
          <t>plan</t>
        </is>
      </c>
      <c r="I1885" s="16" t="inlineStr">
        <is>
          <t>Step 3 'skipped'; 1,2,4,5 run. Assertion outcome (pass/fail) recorded in step report; plan aggregate updates.</t>
        </is>
      </c>
      <c r="J1885" s="16" t="inlineStr"/>
      <c r="K1885" s="16" t="inlineStr">
        <is>
          <t>Not Run</t>
        </is>
      </c>
      <c r="L1885" s="16" t="inlineStr">
        <is>
          <t>Low</t>
        </is>
      </c>
      <c r="M1885" s="16" t="inlineStr"/>
      <c r="N1885" s="16" t="inlineStr"/>
      <c r="O1885" s="16" t="inlineStr"/>
    </row>
    <row r="1886" ht="72" customHeight="1">
      <c r="A1886" s="16" t="inlineStr">
        <is>
          <t>TC-AS-0056</t>
        </is>
      </c>
      <c r="B1886" s="16" t="inlineStr">
        <is>
          <t>Assertions &amp; Execution Plans</t>
        </is>
      </c>
      <c r="C1886" s="16" t="inlineStr">
        <is>
          <t>Disabled step skipped / Duration</t>
        </is>
      </c>
      <c r="D1886" s="16" t="inlineStr">
        <is>
          <t>Functional</t>
        </is>
      </c>
      <c r="E1886" s="16" t="inlineStr">
        <is>
          <t>Plan step: 1 of 5 disabled with Duration assertion</t>
        </is>
      </c>
      <c r="F1886" s="16" t="inlineStr">
        <is>
          <t>Plan configured.</t>
        </is>
      </c>
      <c r="G1886" s="16" t="inlineStr">
        <is>
          <t>1. Disable step 3; Run.
Assertion: responseTime lt N</t>
        </is>
      </c>
      <c r="H1886" s="16" t="inlineStr">
        <is>
          <t>plan</t>
        </is>
      </c>
      <c r="I1886" s="16" t="inlineStr">
        <is>
          <t>Step 3 'skipped'; 1,2,4,5 run. Assertion outcome (pass/fail) recorded in step report; plan aggregate updates.</t>
        </is>
      </c>
      <c r="J1886" s="16" t="inlineStr"/>
      <c r="K1886" s="16" t="inlineStr">
        <is>
          <t>Not Run</t>
        </is>
      </c>
      <c r="L1886" s="16" t="inlineStr">
        <is>
          <t>High</t>
        </is>
      </c>
      <c r="M1886" s="16" t="inlineStr"/>
      <c r="N1886" s="16" t="inlineStr"/>
      <c r="O1886" s="16" t="inlineStr"/>
    </row>
    <row r="1887" ht="72" customHeight="1">
      <c r="A1887" s="16" t="inlineStr">
        <is>
          <t>TC-AS-0057</t>
        </is>
      </c>
      <c r="B1887" s="16" t="inlineStr">
        <is>
          <t>Assertions &amp; Execution Plans</t>
        </is>
      </c>
      <c r="C1887" s="16" t="inlineStr">
        <is>
          <t>Disabled step skipped / Schema</t>
        </is>
      </c>
      <c r="D1887" s="16" t="inlineStr">
        <is>
          <t>Functional</t>
        </is>
      </c>
      <c r="E1887" s="16" t="inlineStr">
        <is>
          <t>Plan step: 1 of 5 disabled with Schema assertion</t>
        </is>
      </c>
      <c r="F1887" s="16" t="inlineStr">
        <is>
          <t>Plan configured.</t>
        </is>
      </c>
      <c r="G1887" s="16" t="inlineStr">
        <is>
          <t>1. Disable step 3; Run.
Assertion: body schema valid</t>
        </is>
      </c>
      <c r="H1887" s="16" t="inlineStr">
        <is>
          <t>plan</t>
        </is>
      </c>
      <c r="I1887" s="16" t="inlineStr">
        <is>
          <t>Step 3 'skipped'; 1,2,4,5 run. Assertion outcome (pass/fail) recorded in step report; plan aggregate updates.</t>
        </is>
      </c>
      <c r="J1887" s="16" t="inlineStr"/>
      <c r="K1887" s="16" t="inlineStr">
        <is>
          <t>Not Run</t>
        </is>
      </c>
      <c r="L1887" s="16" t="inlineStr">
        <is>
          <t>Low</t>
        </is>
      </c>
      <c r="M1887" s="16" t="inlineStr"/>
      <c r="N1887" s="16" t="inlineStr"/>
      <c r="O1887" s="16" t="inlineStr"/>
    </row>
    <row r="1888" ht="72" customHeight="1">
      <c r="A1888" s="16" t="inlineStr">
        <is>
          <t>TC-AS-0058</t>
        </is>
      </c>
      <c r="B1888" s="16" t="inlineStr">
        <is>
          <t>Assertions &amp; Execution Plans</t>
        </is>
      </c>
      <c r="C1888" s="16" t="inlineStr">
        <is>
          <t>Re-run idempotent for read-only / Status check</t>
        </is>
      </c>
      <c r="D1888" s="16" t="inlineStr">
        <is>
          <t>Functional</t>
        </is>
      </c>
      <c r="E1888" s="16" t="inlineStr">
        <is>
          <t>Plan step: All GETs with Status check assertion</t>
        </is>
      </c>
      <c r="F1888" s="16" t="inlineStr">
        <is>
          <t>Plan configured.</t>
        </is>
      </c>
      <c r="G1888" s="16" t="inlineStr">
        <is>
          <t>1. Run twice.
Assertion: status==X</t>
        </is>
      </c>
      <c r="H1888" s="16" t="inlineStr">
        <is>
          <t>plan</t>
        </is>
      </c>
      <c r="I1888" s="16" t="inlineStr">
        <is>
          <t>Same aggregate result; no side-effects. Assertion outcome (pass/fail) recorded in step report; plan aggregate updates.</t>
        </is>
      </c>
      <c r="J1888" s="16" t="inlineStr"/>
      <c r="K1888" s="16" t="inlineStr">
        <is>
          <t>Not Run</t>
        </is>
      </c>
      <c r="L1888" s="16" t="inlineStr">
        <is>
          <t>Medium</t>
        </is>
      </c>
      <c r="M1888" s="16" t="inlineStr"/>
      <c r="N1888" s="16" t="inlineStr"/>
      <c r="O1888" s="16" t="inlineStr"/>
    </row>
    <row r="1889" ht="72" customHeight="1">
      <c r="A1889" s="16" t="inlineStr">
        <is>
          <t>TC-AS-0059</t>
        </is>
      </c>
      <c r="B1889" s="16" t="inlineStr">
        <is>
          <t>Assertions &amp; Execution Plans</t>
        </is>
      </c>
      <c r="C1889" s="16" t="inlineStr">
        <is>
          <t>Re-run idempotent for read-only / Status range</t>
        </is>
      </c>
      <c r="D1889" s="16" t="inlineStr">
        <is>
          <t>Functional</t>
        </is>
      </c>
      <c r="E1889" s="16" t="inlineStr">
        <is>
          <t>Plan step: All GETs with Status range assertion</t>
        </is>
      </c>
      <c r="F1889" s="16" t="inlineStr">
        <is>
          <t>Plan configured.</t>
        </is>
      </c>
      <c r="G1889" s="16" t="inlineStr">
        <is>
          <t>1. Run twice.
Assertion: status&lt;Y</t>
        </is>
      </c>
      <c r="H1889" s="16" t="inlineStr">
        <is>
          <t>plan</t>
        </is>
      </c>
      <c r="I1889" s="16" t="inlineStr">
        <is>
          <t>Same aggregate result; no side-effects. Assertion outcome (pass/fail) recorded in step report; plan aggregate updates.</t>
        </is>
      </c>
      <c r="J1889" s="16" t="inlineStr"/>
      <c r="K1889" s="16" t="inlineStr">
        <is>
          <t>Not Run</t>
        </is>
      </c>
      <c r="L1889" s="16" t="inlineStr">
        <is>
          <t>Low</t>
        </is>
      </c>
      <c r="M1889" s="16" t="inlineStr"/>
      <c r="N1889" s="16" t="inlineStr"/>
      <c r="O1889" s="16" t="inlineStr"/>
    </row>
    <row r="1890" ht="72" customHeight="1">
      <c r="A1890" s="16" t="inlineStr">
        <is>
          <t>TC-AS-0060</t>
        </is>
      </c>
      <c r="B1890" s="16" t="inlineStr">
        <is>
          <t>Assertions &amp; Execution Plans</t>
        </is>
      </c>
      <c r="C1890" s="16" t="inlineStr">
        <is>
          <t>Re-run idempotent for read-only / JSON path</t>
        </is>
      </c>
      <c r="D1890" s="16" t="inlineStr">
        <is>
          <t>Functional</t>
        </is>
      </c>
      <c r="E1890" s="16" t="inlineStr">
        <is>
          <t>Plan step: All GETs with JSON path assertion</t>
        </is>
      </c>
      <c r="F1890" s="16" t="inlineStr">
        <is>
          <t>Plan configured.</t>
        </is>
      </c>
      <c r="G1890" s="16" t="inlineStr">
        <is>
          <t>1. Run twice.
Assertion: body.path == value</t>
        </is>
      </c>
      <c r="H1890" s="16" t="inlineStr">
        <is>
          <t>plan</t>
        </is>
      </c>
      <c r="I1890" s="16" t="inlineStr">
        <is>
          <t>Same aggregate result; no side-effects. Assertion outcome (pass/fail) recorded in step report; plan aggregate updates.</t>
        </is>
      </c>
      <c r="J1890" s="16" t="inlineStr"/>
      <c r="K1890" s="16" t="inlineStr">
        <is>
          <t>Not Run</t>
        </is>
      </c>
      <c r="L1890" s="16" t="inlineStr">
        <is>
          <t>Medium</t>
        </is>
      </c>
      <c r="M1890" s="16" t="inlineStr"/>
      <c r="N1890" s="16" t="inlineStr"/>
      <c r="O1890" s="16" t="inlineStr"/>
    </row>
    <row r="1891" ht="72" customHeight="1">
      <c r="A1891" s="16" t="inlineStr">
        <is>
          <t>TC-AS-0061</t>
        </is>
      </c>
      <c r="B1891" s="16" t="inlineStr">
        <is>
          <t>Assertions &amp; Execution Plans</t>
        </is>
      </c>
      <c r="C1891" s="16" t="inlineStr">
        <is>
          <t>Re-run idempotent for read-only / Regex</t>
        </is>
      </c>
      <c r="D1891" s="16" t="inlineStr">
        <is>
          <t>Functional</t>
        </is>
      </c>
      <c r="E1891" s="16" t="inlineStr">
        <is>
          <t>Plan step: All GETs with Regex assertion</t>
        </is>
      </c>
      <c r="F1891" s="16" t="inlineStr">
        <is>
          <t>Plan configured.</t>
        </is>
      </c>
      <c r="G1891" s="16" t="inlineStr">
        <is>
          <t>1. Run twice.
Assertion: body matches regex</t>
        </is>
      </c>
      <c r="H1891" s="16" t="inlineStr">
        <is>
          <t>plan</t>
        </is>
      </c>
      <c r="I1891" s="16" t="inlineStr">
        <is>
          <t>Same aggregate result; no side-effects. Assertion outcome (pass/fail) recorded in step report; plan aggregate updates.</t>
        </is>
      </c>
      <c r="J1891" s="16" t="inlineStr"/>
      <c r="K1891" s="16" t="inlineStr">
        <is>
          <t>Not Run</t>
        </is>
      </c>
      <c r="L1891" s="16" t="inlineStr">
        <is>
          <t>Low</t>
        </is>
      </c>
      <c r="M1891" s="16" t="inlineStr"/>
      <c r="N1891" s="16" t="inlineStr"/>
      <c r="O1891" s="16" t="inlineStr"/>
    </row>
    <row r="1892" ht="72" customHeight="1">
      <c r="A1892" s="16" t="inlineStr">
        <is>
          <t>TC-AS-0062</t>
        </is>
      </c>
      <c r="B1892" s="16" t="inlineStr">
        <is>
          <t>Assertions &amp; Execution Plans</t>
        </is>
      </c>
      <c r="C1892" s="16" t="inlineStr">
        <is>
          <t>Re-run idempotent for read-only / Header</t>
        </is>
      </c>
      <c r="D1892" s="16" t="inlineStr">
        <is>
          <t>Functional</t>
        </is>
      </c>
      <c r="E1892" s="16" t="inlineStr">
        <is>
          <t>Plan step: All GETs with Header assertion</t>
        </is>
      </c>
      <c r="F1892" s="16" t="inlineStr">
        <is>
          <t>Plan configured.</t>
        </is>
      </c>
      <c r="G1892" s="16" t="inlineStr">
        <is>
          <t>1. Run twice.
Assertion: header present</t>
        </is>
      </c>
      <c r="H1892" s="16" t="inlineStr">
        <is>
          <t>plan</t>
        </is>
      </c>
      <c r="I1892" s="16" t="inlineStr">
        <is>
          <t>Same aggregate result; no side-effects. Assertion outcome (pass/fail) recorded in step report; plan aggregate updates.</t>
        </is>
      </c>
      <c r="J1892" s="16" t="inlineStr"/>
      <c r="K1892" s="16" t="inlineStr">
        <is>
          <t>Not Run</t>
        </is>
      </c>
      <c r="L1892" s="16" t="inlineStr">
        <is>
          <t>Low</t>
        </is>
      </c>
      <c r="M1892" s="16" t="inlineStr"/>
      <c r="N1892" s="16" t="inlineStr"/>
      <c r="O1892" s="16" t="inlineStr"/>
    </row>
    <row r="1893" ht="72" customHeight="1">
      <c r="A1893" s="16" t="inlineStr">
        <is>
          <t>TC-AS-0063</t>
        </is>
      </c>
      <c r="B1893" s="16" t="inlineStr">
        <is>
          <t>Assertions &amp; Execution Plans</t>
        </is>
      </c>
      <c r="C1893" s="16" t="inlineStr">
        <is>
          <t>Re-run idempotent for read-only / Header value</t>
        </is>
      </c>
      <c r="D1893" s="16" t="inlineStr">
        <is>
          <t>Functional</t>
        </is>
      </c>
      <c r="E1893" s="16" t="inlineStr">
        <is>
          <t>Plan step: All GETs with Header value assertion</t>
        </is>
      </c>
      <c r="F1893" s="16" t="inlineStr">
        <is>
          <t>Plan configured.</t>
        </is>
      </c>
      <c r="G1893" s="16" t="inlineStr">
        <is>
          <t>1. Run twice.
Assertion: header value matches</t>
        </is>
      </c>
      <c r="H1893" s="16" t="inlineStr">
        <is>
          <t>plan</t>
        </is>
      </c>
      <c r="I1893" s="16" t="inlineStr">
        <is>
          <t>Same aggregate result; no side-effects. Assertion outcome (pass/fail) recorded in step report; plan aggregate updates.</t>
        </is>
      </c>
      <c r="J1893" s="16" t="inlineStr"/>
      <c r="K1893" s="16" t="inlineStr">
        <is>
          <t>Not Run</t>
        </is>
      </c>
      <c r="L1893" s="16" t="inlineStr">
        <is>
          <t>Low</t>
        </is>
      </c>
      <c r="M1893" s="16" t="inlineStr"/>
      <c r="N1893" s="16" t="inlineStr"/>
      <c r="O1893" s="16" t="inlineStr"/>
    </row>
    <row r="1894" ht="72" customHeight="1">
      <c r="A1894" s="16" t="inlineStr">
        <is>
          <t>TC-AS-0064</t>
        </is>
      </c>
      <c r="B1894" s="16" t="inlineStr">
        <is>
          <t>Assertions &amp; Execution Plans</t>
        </is>
      </c>
      <c r="C1894" s="16" t="inlineStr">
        <is>
          <t>Re-run idempotent for read-only / Duration</t>
        </is>
      </c>
      <c r="D1894" s="16" t="inlineStr">
        <is>
          <t>Functional</t>
        </is>
      </c>
      <c r="E1894" s="16" t="inlineStr">
        <is>
          <t>Plan step: All GETs with Duration assertion</t>
        </is>
      </c>
      <c r="F1894" s="16" t="inlineStr">
        <is>
          <t>Plan configured.</t>
        </is>
      </c>
      <c r="G1894" s="16" t="inlineStr">
        <is>
          <t>1. Run twice.
Assertion: responseTime lt N</t>
        </is>
      </c>
      <c r="H1894" s="16" t="inlineStr">
        <is>
          <t>plan</t>
        </is>
      </c>
      <c r="I1894" s="16" t="inlineStr">
        <is>
          <t>Same aggregate result; no side-effects. Assertion outcome (pass/fail) recorded in step report; plan aggregate updates.</t>
        </is>
      </c>
      <c r="J1894" s="16" t="inlineStr"/>
      <c r="K1894" s="16" t="inlineStr">
        <is>
          <t>Not Run</t>
        </is>
      </c>
      <c r="L1894" s="16" t="inlineStr">
        <is>
          <t>Medium</t>
        </is>
      </c>
      <c r="M1894" s="16" t="inlineStr"/>
      <c r="N1894" s="16" t="inlineStr"/>
      <c r="O1894" s="16" t="inlineStr"/>
    </row>
    <row r="1895" ht="72" customHeight="1">
      <c r="A1895" s="16" t="inlineStr">
        <is>
          <t>TC-AS-0065</t>
        </is>
      </c>
      <c r="B1895" s="16" t="inlineStr">
        <is>
          <t>Assertions &amp; Execution Plans</t>
        </is>
      </c>
      <c r="C1895" s="16" t="inlineStr">
        <is>
          <t>Re-run idempotent for read-only / Schema</t>
        </is>
      </c>
      <c r="D1895" s="16" t="inlineStr">
        <is>
          <t>Functional</t>
        </is>
      </c>
      <c r="E1895" s="16" t="inlineStr">
        <is>
          <t>Plan step: All GETs with Schema assertion</t>
        </is>
      </c>
      <c r="F1895" s="16" t="inlineStr">
        <is>
          <t>Plan configured.</t>
        </is>
      </c>
      <c r="G1895" s="16" t="inlineStr">
        <is>
          <t>1. Run twice.
Assertion: body schema valid</t>
        </is>
      </c>
      <c r="H1895" s="16" t="inlineStr">
        <is>
          <t>plan</t>
        </is>
      </c>
      <c r="I1895" s="16" t="inlineStr">
        <is>
          <t>Same aggregate result; no side-effects. Assertion outcome (pass/fail) recorded in step report; plan aggregate updates.</t>
        </is>
      </c>
      <c r="J1895" s="16" t="inlineStr"/>
      <c r="K1895" s="16" t="inlineStr">
        <is>
          <t>Not Run</t>
        </is>
      </c>
      <c r="L1895" s="16" t="inlineStr">
        <is>
          <t>Low</t>
        </is>
      </c>
      <c r="M1895" s="16" t="inlineStr"/>
      <c r="N1895" s="16" t="inlineStr"/>
      <c r="O1895" s="16" t="inlineStr"/>
    </row>
    <row r="1896" ht="72" customHeight="1">
      <c r="A1896" s="16" t="inlineStr">
        <is>
          <t>TC-AS-0066</t>
        </is>
      </c>
      <c r="B1896" s="16" t="inlineStr">
        <is>
          <t>Assertions &amp; Execution Plans</t>
        </is>
      </c>
      <c r="C1896" s="16" t="inlineStr">
        <is>
          <t>Loop step (if supported) / Status check</t>
        </is>
      </c>
      <c r="D1896" s="16" t="inlineStr">
        <is>
          <t>Functional</t>
        </is>
      </c>
      <c r="E1896" s="16" t="inlineStr">
        <is>
          <t>Plan step: Step inside loop with Status check assertion</t>
        </is>
      </c>
      <c r="F1896" s="16" t="inlineStr">
        <is>
          <t>Plan configured.</t>
        </is>
      </c>
      <c r="G1896" s="16" t="inlineStr">
        <is>
          <t>1. Define loop; Run.
Assertion: status==X</t>
        </is>
      </c>
      <c r="H1896" s="16" t="inlineStr">
        <is>
          <t>plan</t>
        </is>
      </c>
      <c r="I1896" s="16" t="inlineStr">
        <is>
          <t>Each iteration recorded; aggregated. Assertion outcome (pass/fail) recorded in step report; plan aggregate updates.</t>
        </is>
      </c>
      <c r="J1896" s="16" t="inlineStr"/>
      <c r="K1896" s="16" t="inlineStr">
        <is>
          <t>Not Run</t>
        </is>
      </c>
      <c r="L1896" s="16" t="inlineStr">
        <is>
          <t>Low</t>
        </is>
      </c>
      <c r="M1896" s="16" t="inlineStr"/>
      <c r="N1896" s="16" t="inlineStr"/>
      <c r="O1896" s="16" t="inlineStr"/>
    </row>
    <row r="1897" ht="72" customHeight="1">
      <c r="A1897" s="16" t="inlineStr">
        <is>
          <t>TC-AS-0067</t>
        </is>
      </c>
      <c r="B1897" s="16" t="inlineStr">
        <is>
          <t>Assertions &amp; Execution Plans</t>
        </is>
      </c>
      <c r="C1897" s="16" t="inlineStr">
        <is>
          <t>Loop step (if supported) / Status range</t>
        </is>
      </c>
      <c r="D1897" s="16" t="inlineStr">
        <is>
          <t>Functional</t>
        </is>
      </c>
      <c r="E1897" s="16" t="inlineStr">
        <is>
          <t>Plan step: Step inside loop with Status range assertion</t>
        </is>
      </c>
      <c r="F1897" s="16" t="inlineStr">
        <is>
          <t>Plan configured.</t>
        </is>
      </c>
      <c r="G1897" s="16" t="inlineStr">
        <is>
          <t>1. Define loop; Run.
Assertion: status&lt;Y</t>
        </is>
      </c>
      <c r="H1897" s="16" t="inlineStr">
        <is>
          <t>plan</t>
        </is>
      </c>
      <c r="I1897" s="16" t="inlineStr">
        <is>
          <t>Each iteration recorded; aggregated. Assertion outcome (pass/fail) recorded in step report; plan aggregate updates.</t>
        </is>
      </c>
      <c r="J1897" s="16" t="inlineStr"/>
      <c r="K1897" s="16" t="inlineStr">
        <is>
          <t>Not Run</t>
        </is>
      </c>
      <c r="L1897" s="16" t="inlineStr">
        <is>
          <t>Low</t>
        </is>
      </c>
      <c r="M1897" s="16" t="inlineStr"/>
      <c r="N1897" s="16" t="inlineStr"/>
      <c r="O1897" s="16" t="inlineStr"/>
    </row>
    <row r="1898" ht="72" customHeight="1">
      <c r="A1898" s="16" t="inlineStr">
        <is>
          <t>TC-AS-0068</t>
        </is>
      </c>
      <c r="B1898" s="16" t="inlineStr">
        <is>
          <t>Assertions &amp; Execution Plans</t>
        </is>
      </c>
      <c r="C1898" s="16" t="inlineStr">
        <is>
          <t>Loop step (if supported) / JSON path</t>
        </is>
      </c>
      <c r="D1898" s="16" t="inlineStr">
        <is>
          <t>Functional</t>
        </is>
      </c>
      <c r="E1898" s="16" t="inlineStr">
        <is>
          <t>Plan step: Step inside loop with JSON path assertion</t>
        </is>
      </c>
      <c r="F1898" s="16" t="inlineStr">
        <is>
          <t>Plan configured.</t>
        </is>
      </c>
      <c r="G1898" s="16" t="inlineStr">
        <is>
          <t>1. Define loop; Run.
Assertion: body.path == value</t>
        </is>
      </c>
      <c r="H1898" s="16" t="inlineStr">
        <is>
          <t>plan</t>
        </is>
      </c>
      <c r="I1898" s="16" t="inlineStr">
        <is>
          <t>Each iteration recorded; aggregated. Assertion outcome (pass/fail) recorded in step report; plan aggregate updates.</t>
        </is>
      </c>
      <c r="J1898" s="16" t="inlineStr"/>
      <c r="K1898" s="16" t="inlineStr">
        <is>
          <t>Not Run</t>
        </is>
      </c>
      <c r="L1898" s="16" t="inlineStr">
        <is>
          <t>Low</t>
        </is>
      </c>
      <c r="M1898" s="16" t="inlineStr"/>
      <c r="N1898" s="16" t="inlineStr"/>
      <c r="O1898" s="16" t="inlineStr"/>
    </row>
    <row r="1899" ht="72" customHeight="1">
      <c r="A1899" s="16" t="inlineStr">
        <is>
          <t>TC-AS-0069</t>
        </is>
      </c>
      <c r="B1899" s="16" t="inlineStr">
        <is>
          <t>Assertions &amp; Execution Plans</t>
        </is>
      </c>
      <c r="C1899" s="16" t="inlineStr">
        <is>
          <t>Loop step (if supported) / Regex</t>
        </is>
      </c>
      <c r="D1899" s="16" t="inlineStr">
        <is>
          <t>Functional</t>
        </is>
      </c>
      <c r="E1899" s="16" t="inlineStr">
        <is>
          <t>Plan step: Step inside loop with Regex assertion</t>
        </is>
      </c>
      <c r="F1899" s="16" t="inlineStr">
        <is>
          <t>Plan configured.</t>
        </is>
      </c>
      <c r="G1899" s="16" t="inlineStr">
        <is>
          <t>1. Define loop; Run.
Assertion: body matches regex</t>
        </is>
      </c>
      <c r="H1899" s="16" t="inlineStr">
        <is>
          <t>plan</t>
        </is>
      </c>
      <c r="I1899" s="16" t="inlineStr">
        <is>
          <t>Each iteration recorded; aggregated. Assertion outcome (pass/fail) recorded in step report; plan aggregate updates.</t>
        </is>
      </c>
      <c r="J1899" s="16" t="inlineStr"/>
      <c r="K1899" s="16" t="inlineStr">
        <is>
          <t>Not Run</t>
        </is>
      </c>
      <c r="L1899" s="16" t="inlineStr">
        <is>
          <t>Low</t>
        </is>
      </c>
      <c r="M1899" s="16" t="inlineStr"/>
      <c r="N1899" s="16" t="inlineStr"/>
      <c r="O1899" s="16" t="inlineStr"/>
    </row>
    <row r="1900" ht="72" customHeight="1">
      <c r="A1900" s="16" t="inlineStr">
        <is>
          <t>TC-AS-0070</t>
        </is>
      </c>
      <c r="B1900" s="16" t="inlineStr">
        <is>
          <t>Assertions &amp; Execution Plans</t>
        </is>
      </c>
      <c r="C1900" s="16" t="inlineStr">
        <is>
          <t>Loop step (if supported) / Header</t>
        </is>
      </c>
      <c r="D1900" s="16" t="inlineStr">
        <is>
          <t>Functional</t>
        </is>
      </c>
      <c r="E1900" s="16" t="inlineStr">
        <is>
          <t>Plan step: Step inside loop with Header assertion</t>
        </is>
      </c>
      <c r="F1900" s="16" t="inlineStr">
        <is>
          <t>Plan configured.</t>
        </is>
      </c>
      <c r="G1900" s="16" t="inlineStr">
        <is>
          <t>1. Define loop; Run.
Assertion: header present</t>
        </is>
      </c>
      <c r="H1900" s="16" t="inlineStr">
        <is>
          <t>plan</t>
        </is>
      </c>
      <c r="I1900" s="16" t="inlineStr">
        <is>
          <t>Each iteration recorded; aggregated. Assertion outcome (pass/fail) recorded in step report; plan aggregate updates.</t>
        </is>
      </c>
      <c r="J1900" s="16" t="inlineStr"/>
      <c r="K1900" s="16" t="inlineStr">
        <is>
          <t>Not Run</t>
        </is>
      </c>
      <c r="L1900" s="16" t="inlineStr">
        <is>
          <t>Low</t>
        </is>
      </c>
      <c r="M1900" s="16" t="inlineStr"/>
      <c r="N1900" s="16" t="inlineStr"/>
      <c r="O1900" s="16" t="inlineStr"/>
    </row>
    <row r="1901" ht="72" customHeight="1">
      <c r="A1901" s="16" t="inlineStr">
        <is>
          <t>TC-AS-0071</t>
        </is>
      </c>
      <c r="B1901" s="16" t="inlineStr">
        <is>
          <t>Assertions &amp; Execution Plans</t>
        </is>
      </c>
      <c r="C1901" s="16" t="inlineStr">
        <is>
          <t>Loop step (if supported) / Header value</t>
        </is>
      </c>
      <c r="D1901" s="16" t="inlineStr">
        <is>
          <t>Functional</t>
        </is>
      </c>
      <c r="E1901" s="16" t="inlineStr">
        <is>
          <t>Plan step: Step inside loop with Header value assertion</t>
        </is>
      </c>
      <c r="F1901" s="16" t="inlineStr">
        <is>
          <t>Plan configured.</t>
        </is>
      </c>
      <c r="G1901" s="16" t="inlineStr">
        <is>
          <t>1. Define loop; Run.
Assertion: header value matches</t>
        </is>
      </c>
      <c r="H1901" s="16" t="inlineStr">
        <is>
          <t>plan</t>
        </is>
      </c>
      <c r="I1901" s="16" t="inlineStr">
        <is>
          <t>Each iteration recorded; aggregated. Assertion outcome (pass/fail) recorded in step report; plan aggregate updates.</t>
        </is>
      </c>
      <c r="J1901" s="16" t="inlineStr"/>
      <c r="K1901" s="16" t="inlineStr">
        <is>
          <t>Not Run</t>
        </is>
      </c>
      <c r="L1901" s="16" t="inlineStr">
        <is>
          <t>Low</t>
        </is>
      </c>
      <c r="M1901" s="16" t="inlineStr"/>
      <c r="N1901" s="16" t="inlineStr"/>
      <c r="O1901" s="16" t="inlineStr"/>
    </row>
    <row r="1902" ht="72" customHeight="1">
      <c r="A1902" s="16" t="inlineStr">
        <is>
          <t>TC-AS-0072</t>
        </is>
      </c>
      <c r="B1902" s="16" t="inlineStr">
        <is>
          <t>Assertions &amp; Execution Plans</t>
        </is>
      </c>
      <c r="C1902" s="16" t="inlineStr">
        <is>
          <t>Loop step (if supported) / Duration</t>
        </is>
      </c>
      <c r="D1902" s="16" t="inlineStr">
        <is>
          <t>Functional</t>
        </is>
      </c>
      <c r="E1902" s="16" t="inlineStr">
        <is>
          <t>Plan step: Step inside loop with Duration assertion</t>
        </is>
      </c>
      <c r="F1902" s="16" t="inlineStr">
        <is>
          <t>Plan configured.</t>
        </is>
      </c>
      <c r="G1902" s="16" t="inlineStr">
        <is>
          <t>1. Define loop; Run.
Assertion: responseTime lt N</t>
        </is>
      </c>
      <c r="H1902" s="16" t="inlineStr">
        <is>
          <t>plan</t>
        </is>
      </c>
      <c r="I1902" s="16" t="inlineStr">
        <is>
          <t>Each iteration recorded; aggregated. Assertion outcome (pass/fail) recorded in step report; plan aggregate updates.</t>
        </is>
      </c>
      <c r="J1902" s="16" t="inlineStr"/>
      <c r="K1902" s="16" t="inlineStr">
        <is>
          <t>Not Run</t>
        </is>
      </c>
      <c r="L1902" s="16" t="inlineStr">
        <is>
          <t>Low</t>
        </is>
      </c>
      <c r="M1902" s="16" t="inlineStr"/>
      <c r="N1902" s="16" t="inlineStr"/>
      <c r="O1902" s="16" t="inlineStr"/>
    </row>
    <row r="1903" ht="72" customHeight="1">
      <c r="A1903" s="16" t="inlineStr">
        <is>
          <t>TC-AS-0073</t>
        </is>
      </c>
      <c r="B1903" s="16" t="inlineStr">
        <is>
          <t>Assertions &amp; Execution Plans</t>
        </is>
      </c>
      <c r="C1903" s="16" t="inlineStr">
        <is>
          <t>Loop step (if supported) / Schema</t>
        </is>
      </c>
      <c r="D1903" s="16" t="inlineStr">
        <is>
          <t>Functional</t>
        </is>
      </c>
      <c r="E1903" s="16" t="inlineStr">
        <is>
          <t>Plan step: Step inside loop with Schema assertion</t>
        </is>
      </c>
      <c r="F1903" s="16" t="inlineStr">
        <is>
          <t>Plan configured.</t>
        </is>
      </c>
      <c r="G1903" s="16" t="inlineStr">
        <is>
          <t>1. Define loop; Run.
Assertion: body schema valid</t>
        </is>
      </c>
      <c r="H1903" s="16" t="inlineStr">
        <is>
          <t>plan</t>
        </is>
      </c>
      <c r="I1903" s="16" t="inlineStr">
        <is>
          <t>Each iteration recorded; aggregated. Assertion outcome (pass/fail) recorded in step report; plan aggregate updates.</t>
        </is>
      </c>
      <c r="J1903" s="16" t="inlineStr"/>
      <c r="K1903" s="16" t="inlineStr">
        <is>
          <t>Not Run</t>
        </is>
      </c>
      <c r="L1903" s="16" t="inlineStr">
        <is>
          <t>Low</t>
        </is>
      </c>
      <c r="M1903" s="16" t="inlineStr"/>
      <c r="N1903" s="16" t="inlineStr"/>
      <c r="O1903" s="16" t="inlineStr"/>
    </row>
    <row r="1904" ht="72" customHeight="1">
      <c r="A1904" s="16" t="inlineStr">
        <is>
          <t>TC-AS-0074</t>
        </is>
      </c>
      <c r="B1904" s="16" t="inlineStr">
        <is>
          <t>Assertions &amp; Execution Plans</t>
        </is>
      </c>
      <c r="C1904" s="16" t="inlineStr">
        <is>
          <t>Conditional step (if supported) / Status check</t>
        </is>
      </c>
      <c r="D1904" s="16" t="inlineStr">
        <is>
          <t>Functional</t>
        </is>
      </c>
      <c r="E1904" s="16" t="inlineStr">
        <is>
          <t>Plan step: Step gated by assertion with Status check assertion</t>
        </is>
      </c>
      <c r="F1904" s="16" t="inlineStr">
        <is>
          <t>Plan configured.</t>
        </is>
      </c>
      <c r="G1904" s="16" t="inlineStr">
        <is>
          <t>1. Step 2 runs only if step 1.status==200.
Assertion: status==X</t>
        </is>
      </c>
      <c r="H1904" s="16" t="inlineStr">
        <is>
          <t>plan</t>
        </is>
      </c>
      <c r="I1904" s="16" t="inlineStr">
        <is>
          <t>Conditional honored. Assertion outcome (pass/fail) recorded in step report; plan aggregate updates.</t>
        </is>
      </c>
      <c r="J1904" s="16" t="inlineStr"/>
      <c r="K1904" s="16" t="inlineStr">
        <is>
          <t>Not Run</t>
        </is>
      </c>
      <c r="L1904" s="16" t="inlineStr">
        <is>
          <t>Low</t>
        </is>
      </c>
      <c r="M1904" s="16" t="inlineStr"/>
      <c r="N1904" s="16" t="inlineStr"/>
      <c r="O1904" s="16" t="inlineStr"/>
    </row>
    <row r="1905" ht="72" customHeight="1">
      <c r="A1905" s="16" t="inlineStr">
        <is>
          <t>TC-AS-0075</t>
        </is>
      </c>
      <c r="B1905" s="16" t="inlineStr">
        <is>
          <t>Assertions &amp; Execution Plans</t>
        </is>
      </c>
      <c r="C1905" s="16" t="inlineStr">
        <is>
          <t>Conditional step (if supported) / Status range</t>
        </is>
      </c>
      <c r="D1905" s="16" t="inlineStr">
        <is>
          <t>Functional</t>
        </is>
      </c>
      <c r="E1905" s="16" t="inlineStr">
        <is>
          <t>Plan step: Step gated by assertion with Status range assertion</t>
        </is>
      </c>
      <c r="F1905" s="16" t="inlineStr">
        <is>
          <t>Plan configured.</t>
        </is>
      </c>
      <c r="G1905" s="16" t="inlineStr">
        <is>
          <t>1. Step 2 runs only if step 1.status==200.
Assertion: status&lt;Y</t>
        </is>
      </c>
      <c r="H1905" s="16" t="inlineStr">
        <is>
          <t>plan</t>
        </is>
      </c>
      <c r="I1905" s="16" t="inlineStr">
        <is>
          <t>Conditional honored. Assertion outcome (pass/fail) recorded in step report; plan aggregate updates.</t>
        </is>
      </c>
      <c r="J1905" s="16" t="inlineStr"/>
      <c r="K1905" s="16" t="inlineStr">
        <is>
          <t>Not Run</t>
        </is>
      </c>
      <c r="L1905" s="16" t="inlineStr">
        <is>
          <t>Low</t>
        </is>
      </c>
      <c r="M1905" s="16" t="inlineStr"/>
      <c r="N1905" s="16" t="inlineStr"/>
      <c r="O1905" s="16" t="inlineStr"/>
    </row>
    <row r="1906" ht="72" customHeight="1">
      <c r="A1906" s="16" t="inlineStr">
        <is>
          <t>TC-AS-0076</t>
        </is>
      </c>
      <c r="B1906" s="16" t="inlineStr">
        <is>
          <t>Assertions &amp; Execution Plans</t>
        </is>
      </c>
      <c r="C1906" s="16" t="inlineStr">
        <is>
          <t>Conditional step (if supported) / JSON path</t>
        </is>
      </c>
      <c r="D1906" s="16" t="inlineStr">
        <is>
          <t>Functional</t>
        </is>
      </c>
      <c r="E1906" s="16" t="inlineStr">
        <is>
          <t>Plan step: Step gated by assertion with JSON path assertion</t>
        </is>
      </c>
      <c r="F1906" s="16" t="inlineStr">
        <is>
          <t>Plan configured.</t>
        </is>
      </c>
      <c r="G1906" s="16" t="inlineStr">
        <is>
          <t>1. Step 2 runs only if step 1.status==200.
Assertion: body.path == value</t>
        </is>
      </c>
      <c r="H1906" s="16" t="inlineStr">
        <is>
          <t>plan</t>
        </is>
      </c>
      <c r="I1906" s="16" t="inlineStr">
        <is>
          <t>Conditional honored. Assertion outcome (pass/fail) recorded in step report; plan aggregate updates.</t>
        </is>
      </c>
      <c r="J1906" s="16" t="inlineStr"/>
      <c r="K1906" s="16" t="inlineStr">
        <is>
          <t>Not Run</t>
        </is>
      </c>
      <c r="L1906" s="16" t="inlineStr">
        <is>
          <t>Low</t>
        </is>
      </c>
      <c r="M1906" s="16" t="inlineStr"/>
      <c r="N1906" s="16" t="inlineStr"/>
      <c r="O1906" s="16" t="inlineStr"/>
    </row>
    <row r="1907" ht="72" customHeight="1">
      <c r="A1907" s="16" t="inlineStr">
        <is>
          <t>TC-AS-0077</t>
        </is>
      </c>
      <c r="B1907" s="16" t="inlineStr">
        <is>
          <t>Assertions &amp; Execution Plans</t>
        </is>
      </c>
      <c r="C1907" s="16" t="inlineStr">
        <is>
          <t>Conditional step (if supported) / Regex</t>
        </is>
      </c>
      <c r="D1907" s="16" t="inlineStr">
        <is>
          <t>Functional</t>
        </is>
      </c>
      <c r="E1907" s="16" t="inlineStr">
        <is>
          <t>Plan step: Step gated by assertion with Regex assertion</t>
        </is>
      </c>
      <c r="F1907" s="16" t="inlineStr">
        <is>
          <t>Plan configured.</t>
        </is>
      </c>
      <c r="G1907" s="16" t="inlineStr">
        <is>
          <t>1. Step 2 runs only if step 1.status==200.
Assertion: body matches regex</t>
        </is>
      </c>
      <c r="H1907" s="16" t="inlineStr">
        <is>
          <t>plan</t>
        </is>
      </c>
      <c r="I1907" s="16" t="inlineStr">
        <is>
          <t>Conditional honored. Assertion outcome (pass/fail) recorded in step report; plan aggregate updates.</t>
        </is>
      </c>
      <c r="J1907" s="16" t="inlineStr"/>
      <c r="K1907" s="16" t="inlineStr">
        <is>
          <t>Not Run</t>
        </is>
      </c>
      <c r="L1907" s="16" t="inlineStr">
        <is>
          <t>Low</t>
        </is>
      </c>
      <c r="M1907" s="16" t="inlineStr"/>
      <c r="N1907" s="16" t="inlineStr"/>
      <c r="O1907" s="16" t="inlineStr"/>
    </row>
    <row r="1908" ht="72" customHeight="1">
      <c r="A1908" s="16" t="inlineStr">
        <is>
          <t>TC-AS-0078</t>
        </is>
      </c>
      <c r="B1908" s="16" t="inlineStr">
        <is>
          <t>Assertions &amp; Execution Plans</t>
        </is>
      </c>
      <c r="C1908" s="16" t="inlineStr">
        <is>
          <t>Conditional step (if supported) / Header</t>
        </is>
      </c>
      <c r="D1908" s="16" t="inlineStr">
        <is>
          <t>Functional</t>
        </is>
      </c>
      <c r="E1908" s="16" t="inlineStr">
        <is>
          <t>Plan step: Step gated by assertion with Header assertion</t>
        </is>
      </c>
      <c r="F1908" s="16" t="inlineStr">
        <is>
          <t>Plan configured.</t>
        </is>
      </c>
      <c r="G1908" s="16" t="inlineStr">
        <is>
          <t>1. Step 2 runs only if step 1.status==200.
Assertion: header present</t>
        </is>
      </c>
      <c r="H1908" s="16" t="inlineStr">
        <is>
          <t>plan</t>
        </is>
      </c>
      <c r="I1908" s="16" t="inlineStr">
        <is>
          <t>Conditional honored. Assertion outcome (pass/fail) recorded in step report; plan aggregate updates.</t>
        </is>
      </c>
      <c r="J1908" s="16" t="inlineStr"/>
      <c r="K1908" s="16" t="inlineStr">
        <is>
          <t>Not Run</t>
        </is>
      </c>
      <c r="L1908" s="16" t="inlineStr">
        <is>
          <t>Low</t>
        </is>
      </c>
      <c r="M1908" s="16" t="inlineStr"/>
      <c r="N1908" s="16" t="inlineStr"/>
      <c r="O1908" s="16" t="inlineStr"/>
    </row>
    <row r="1909" ht="72" customHeight="1">
      <c r="A1909" s="16" t="inlineStr">
        <is>
          <t>TC-AS-0079</t>
        </is>
      </c>
      <c r="B1909" s="16" t="inlineStr">
        <is>
          <t>Assertions &amp; Execution Plans</t>
        </is>
      </c>
      <c r="C1909" s="16" t="inlineStr">
        <is>
          <t>Conditional step (if supported) / Header value</t>
        </is>
      </c>
      <c r="D1909" s="16" t="inlineStr">
        <is>
          <t>Functional</t>
        </is>
      </c>
      <c r="E1909" s="16" t="inlineStr">
        <is>
          <t>Plan step: Step gated by assertion with Header value assertion</t>
        </is>
      </c>
      <c r="F1909" s="16" t="inlineStr">
        <is>
          <t>Plan configured.</t>
        </is>
      </c>
      <c r="G1909" s="16" t="inlineStr">
        <is>
          <t>1. Step 2 runs only if step 1.status==200.
Assertion: header value matches</t>
        </is>
      </c>
      <c r="H1909" s="16" t="inlineStr">
        <is>
          <t>plan</t>
        </is>
      </c>
      <c r="I1909" s="16" t="inlineStr">
        <is>
          <t>Conditional honored. Assertion outcome (pass/fail) recorded in step report; plan aggregate updates.</t>
        </is>
      </c>
      <c r="J1909" s="16" t="inlineStr"/>
      <c r="K1909" s="16" t="inlineStr">
        <is>
          <t>Not Run</t>
        </is>
      </c>
      <c r="L1909" s="16" t="inlineStr">
        <is>
          <t>Low</t>
        </is>
      </c>
      <c r="M1909" s="16" t="inlineStr"/>
      <c r="N1909" s="16" t="inlineStr"/>
      <c r="O1909" s="16" t="inlineStr"/>
    </row>
    <row r="1910" ht="72" customHeight="1">
      <c r="A1910" s="16" t="inlineStr">
        <is>
          <t>TC-AS-0080</t>
        </is>
      </c>
      <c r="B1910" s="16" t="inlineStr">
        <is>
          <t>Assertions &amp; Execution Plans</t>
        </is>
      </c>
      <c r="C1910" s="16" t="inlineStr">
        <is>
          <t>Conditional step (if supported) / Duration</t>
        </is>
      </c>
      <c r="D1910" s="16" t="inlineStr">
        <is>
          <t>Functional</t>
        </is>
      </c>
      <c r="E1910" s="16" t="inlineStr">
        <is>
          <t>Plan step: Step gated by assertion with Duration assertion</t>
        </is>
      </c>
      <c r="F1910" s="16" t="inlineStr">
        <is>
          <t>Plan configured.</t>
        </is>
      </c>
      <c r="G1910" s="16" t="inlineStr">
        <is>
          <t>1. Step 2 runs only if step 1.status==200.
Assertion: responseTime lt N</t>
        </is>
      </c>
      <c r="H1910" s="16" t="inlineStr">
        <is>
          <t>plan</t>
        </is>
      </c>
      <c r="I1910" s="16" t="inlineStr">
        <is>
          <t>Conditional honored. Assertion outcome (pass/fail) recorded in step report; plan aggregate updates.</t>
        </is>
      </c>
      <c r="J1910" s="16" t="inlineStr"/>
      <c r="K1910" s="16" t="inlineStr">
        <is>
          <t>Not Run</t>
        </is>
      </c>
      <c r="L1910" s="16" t="inlineStr">
        <is>
          <t>Low</t>
        </is>
      </c>
      <c r="M1910" s="16" t="inlineStr"/>
      <c r="N1910" s="16" t="inlineStr"/>
      <c r="O1910" s="16" t="inlineStr"/>
    </row>
    <row r="1911" ht="72" customHeight="1">
      <c r="A1911" s="16" t="inlineStr">
        <is>
          <t>TC-AS-0081</t>
        </is>
      </c>
      <c r="B1911" s="16" t="inlineStr">
        <is>
          <t>Assertions &amp; Execution Plans</t>
        </is>
      </c>
      <c r="C1911" s="16" t="inlineStr">
        <is>
          <t>Conditional step (if supported) / Schema</t>
        </is>
      </c>
      <c r="D1911" s="16" t="inlineStr">
        <is>
          <t>Functional</t>
        </is>
      </c>
      <c r="E1911" s="16" t="inlineStr">
        <is>
          <t>Plan step: Step gated by assertion with Schema assertion</t>
        </is>
      </c>
      <c r="F1911" s="16" t="inlineStr">
        <is>
          <t>Plan configured.</t>
        </is>
      </c>
      <c r="G1911" s="16" t="inlineStr">
        <is>
          <t>1. Step 2 runs only if step 1.status==200.
Assertion: body schema valid</t>
        </is>
      </c>
      <c r="H1911" s="16" t="inlineStr">
        <is>
          <t>plan</t>
        </is>
      </c>
      <c r="I1911" s="16" t="inlineStr">
        <is>
          <t>Conditional honored. Assertion outcome (pass/fail) recorded in step report; plan aggregate updates.</t>
        </is>
      </c>
      <c r="J1911" s="16" t="inlineStr"/>
      <c r="K1911" s="16" t="inlineStr">
        <is>
          <t>Not Run</t>
        </is>
      </c>
      <c r="L1911" s="16" t="inlineStr">
        <is>
          <t>Low</t>
        </is>
      </c>
      <c r="M1911" s="16" t="inlineStr"/>
      <c r="N1911" s="16" t="inlineStr"/>
      <c r="O1911" s="16" t="inlineStr"/>
    </row>
    <row r="1912" ht="72" customHeight="1">
      <c r="A1912" s="16" t="inlineStr">
        <is>
          <t>TC-AS-0082</t>
        </is>
      </c>
      <c r="B1912" s="16" t="inlineStr">
        <is>
          <t>Assertions &amp; Execution Plans</t>
        </is>
      </c>
      <c r="C1912" s="16" t="inlineStr">
        <is>
          <t>Step with empty assertions / Status check</t>
        </is>
      </c>
      <c r="D1912" s="16" t="inlineStr">
        <is>
          <t>Functional</t>
        </is>
      </c>
      <c r="E1912" s="16" t="inlineStr">
        <is>
          <t>Plan step: No tests defined with Status check assertion</t>
        </is>
      </c>
      <c r="F1912" s="16" t="inlineStr">
        <is>
          <t>Plan configured.</t>
        </is>
      </c>
      <c r="G1912" s="16" t="inlineStr">
        <is>
          <t>1. Run.
Assertion: status==X</t>
        </is>
      </c>
      <c r="H1912" s="16" t="inlineStr">
        <is>
          <t>plan</t>
        </is>
      </c>
      <c r="I1912" s="16" t="inlineStr">
        <is>
          <t>Step shows '0 assertions'; status shown. Assertion outcome (pass/fail) recorded in step report; plan aggregate updates.</t>
        </is>
      </c>
      <c r="J1912" s="16" t="inlineStr"/>
      <c r="K1912" s="16" t="inlineStr">
        <is>
          <t>Not Run</t>
        </is>
      </c>
      <c r="L1912" s="16" t="inlineStr">
        <is>
          <t>Low</t>
        </is>
      </c>
      <c r="M1912" s="16" t="inlineStr"/>
      <c r="N1912" s="16" t="inlineStr"/>
      <c r="O1912" s="16" t="inlineStr"/>
    </row>
    <row r="1913" ht="72" customHeight="1">
      <c r="A1913" s="16" t="inlineStr">
        <is>
          <t>TC-AS-0083</t>
        </is>
      </c>
      <c r="B1913" s="16" t="inlineStr">
        <is>
          <t>Assertions &amp; Execution Plans</t>
        </is>
      </c>
      <c r="C1913" s="16" t="inlineStr">
        <is>
          <t>Step with empty assertions / Status range</t>
        </is>
      </c>
      <c r="D1913" s="16" t="inlineStr">
        <is>
          <t>Functional</t>
        </is>
      </c>
      <c r="E1913" s="16" t="inlineStr">
        <is>
          <t>Plan step: No tests defined with Status range assertion</t>
        </is>
      </c>
      <c r="F1913" s="16" t="inlineStr">
        <is>
          <t>Plan configured.</t>
        </is>
      </c>
      <c r="G1913" s="16" t="inlineStr">
        <is>
          <t>1. Run.
Assertion: status&lt;Y</t>
        </is>
      </c>
      <c r="H1913" s="16" t="inlineStr">
        <is>
          <t>plan</t>
        </is>
      </c>
      <c r="I1913" s="16" t="inlineStr">
        <is>
          <t>Step shows '0 assertions'; status shown. Assertion outcome (pass/fail) recorded in step report; plan aggregate updates.</t>
        </is>
      </c>
      <c r="J1913" s="16" t="inlineStr"/>
      <c r="K1913" s="16" t="inlineStr">
        <is>
          <t>Not Run</t>
        </is>
      </c>
      <c r="L1913" s="16" t="inlineStr">
        <is>
          <t>Low</t>
        </is>
      </c>
      <c r="M1913" s="16" t="inlineStr"/>
      <c r="N1913" s="16" t="inlineStr"/>
      <c r="O1913" s="16" t="inlineStr"/>
    </row>
    <row r="1914" ht="72" customHeight="1">
      <c r="A1914" s="16" t="inlineStr">
        <is>
          <t>TC-AS-0084</t>
        </is>
      </c>
      <c r="B1914" s="16" t="inlineStr">
        <is>
          <t>Assertions &amp; Execution Plans</t>
        </is>
      </c>
      <c r="C1914" s="16" t="inlineStr">
        <is>
          <t>Step with empty assertions / JSON path</t>
        </is>
      </c>
      <c r="D1914" s="16" t="inlineStr">
        <is>
          <t>Functional</t>
        </is>
      </c>
      <c r="E1914" s="16" t="inlineStr">
        <is>
          <t>Plan step: No tests defined with JSON path assertion</t>
        </is>
      </c>
      <c r="F1914" s="16" t="inlineStr">
        <is>
          <t>Plan configured.</t>
        </is>
      </c>
      <c r="G1914" s="16" t="inlineStr">
        <is>
          <t>1. Run.
Assertion: body.path == value</t>
        </is>
      </c>
      <c r="H1914" s="16" t="inlineStr">
        <is>
          <t>plan</t>
        </is>
      </c>
      <c r="I1914" s="16" t="inlineStr">
        <is>
          <t>Step shows '0 assertions'; status shown. Assertion outcome (pass/fail) recorded in step report; plan aggregate updates.</t>
        </is>
      </c>
      <c r="J1914" s="16" t="inlineStr"/>
      <c r="K1914" s="16" t="inlineStr">
        <is>
          <t>Not Run</t>
        </is>
      </c>
      <c r="L1914" s="16" t="inlineStr">
        <is>
          <t>Low</t>
        </is>
      </c>
      <c r="M1914" s="16" t="inlineStr"/>
      <c r="N1914" s="16" t="inlineStr"/>
      <c r="O1914" s="16" t="inlineStr"/>
    </row>
    <row r="1915" ht="72" customHeight="1">
      <c r="A1915" s="16" t="inlineStr">
        <is>
          <t>TC-AS-0085</t>
        </is>
      </c>
      <c r="B1915" s="16" t="inlineStr">
        <is>
          <t>Assertions &amp; Execution Plans</t>
        </is>
      </c>
      <c r="C1915" s="16" t="inlineStr">
        <is>
          <t>Step with empty assertions / Regex</t>
        </is>
      </c>
      <c r="D1915" s="16" t="inlineStr">
        <is>
          <t>Functional</t>
        </is>
      </c>
      <c r="E1915" s="16" t="inlineStr">
        <is>
          <t>Plan step: No tests defined with Regex assertion</t>
        </is>
      </c>
      <c r="F1915" s="16" t="inlineStr">
        <is>
          <t>Plan configured.</t>
        </is>
      </c>
      <c r="G1915" s="16" t="inlineStr">
        <is>
          <t>1. Run.
Assertion: body matches regex</t>
        </is>
      </c>
      <c r="H1915" s="16" t="inlineStr">
        <is>
          <t>plan</t>
        </is>
      </c>
      <c r="I1915" s="16" t="inlineStr">
        <is>
          <t>Step shows '0 assertions'; status shown. Assertion outcome (pass/fail) recorded in step report; plan aggregate updates.</t>
        </is>
      </c>
      <c r="J1915" s="16" t="inlineStr"/>
      <c r="K1915" s="16" t="inlineStr">
        <is>
          <t>Not Run</t>
        </is>
      </c>
      <c r="L1915" s="16" t="inlineStr">
        <is>
          <t>Low</t>
        </is>
      </c>
      <c r="M1915" s="16" t="inlineStr"/>
      <c r="N1915" s="16" t="inlineStr"/>
      <c r="O1915" s="16" t="inlineStr"/>
    </row>
    <row r="1916" ht="72" customHeight="1">
      <c r="A1916" s="16" t="inlineStr">
        <is>
          <t>TC-AS-0086</t>
        </is>
      </c>
      <c r="B1916" s="16" t="inlineStr">
        <is>
          <t>Assertions &amp; Execution Plans</t>
        </is>
      </c>
      <c r="C1916" s="16" t="inlineStr">
        <is>
          <t>Step with empty assertions / Header</t>
        </is>
      </c>
      <c r="D1916" s="16" t="inlineStr">
        <is>
          <t>Functional</t>
        </is>
      </c>
      <c r="E1916" s="16" t="inlineStr">
        <is>
          <t>Plan step: No tests defined with Header assertion</t>
        </is>
      </c>
      <c r="F1916" s="16" t="inlineStr">
        <is>
          <t>Plan configured.</t>
        </is>
      </c>
      <c r="G1916" s="16" t="inlineStr">
        <is>
          <t>1. Run.
Assertion: header present</t>
        </is>
      </c>
      <c r="H1916" s="16" t="inlineStr">
        <is>
          <t>plan</t>
        </is>
      </c>
      <c r="I1916" s="16" t="inlineStr">
        <is>
          <t>Step shows '0 assertions'; status shown. Assertion outcome (pass/fail) recorded in step report; plan aggregate updates.</t>
        </is>
      </c>
      <c r="J1916" s="16" t="inlineStr"/>
      <c r="K1916" s="16" t="inlineStr">
        <is>
          <t>Not Run</t>
        </is>
      </c>
      <c r="L1916" s="16" t="inlineStr">
        <is>
          <t>Low</t>
        </is>
      </c>
      <c r="M1916" s="16" t="inlineStr"/>
      <c r="N1916" s="16" t="inlineStr"/>
      <c r="O1916" s="16" t="inlineStr"/>
    </row>
    <row r="1917" ht="72" customHeight="1">
      <c r="A1917" s="16" t="inlineStr">
        <is>
          <t>TC-AS-0087</t>
        </is>
      </c>
      <c r="B1917" s="16" t="inlineStr">
        <is>
          <t>Assertions &amp; Execution Plans</t>
        </is>
      </c>
      <c r="C1917" s="16" t="inlineStr">
        <is>
          <t>Step with empty assertions / Header value</t>
        </is>
      </c>
      <c r="D1917" s="16" t="inlineStr">
        <is>
          <t>Functional</t>
        </is>
      </c>
      <c r="E1917" s="16" t="inlineStr">
        <is>
          <t>Plan step: No tests defined with Header value assertion</t>
        </is>
      </c>
      <c r="F1917" s="16" t="inlineStr">
        <is>
          <t>Plan configured.</t>
        </is>
      </c>
      <c r="G1917" s="16" t="inlineStr">
        <is>
          <t>1. Run.
Assertion: header value matches</t>
        </is>
      </c>
      <c r="H1917" s="16" t="inlineStr">
        <is>
          <t>plan</t>
        </is>
      </c>
      <c r="I1917" s="16" t="inlineStr">
        <is>
          <t>Step shows '0 assertions'; status shown. Assertion outcome (pass/fail) recorded in step report; plan aggregate updates.</t>
        </is>
      </c>
      <c r="J1917" s="16" t="inlineStr"/>
      <c r="K1917" s="16" t="inlineStr">
        <is>
          <t>Not Run</t>
        </is>
      </c>
      <c r="L1917" s="16" t="inlineStr">
        <is>
          <t>Low</t>
        </is>
      </c>
      <c r="M1917" s="16" t="inlineStr"/>
      <c r="N1917" s="16" t="inlineStr"/>
      <c r="O1917" s="16" t="inlineStr"/>
    </row>
    <row r="1918" ht="72" customHeight="1">
      <c r="A1918" s="16" t="inlineStr">
        <is>
          <t>TC-AS-0088</t>
        </is>
      </c>
      <c r="B1918" s="16" t="inlineStr">
        <is>
          <t>Assertions &amp; Execution Plans</t>
        </is>
      </c>
      <c r="C1918" s="16" t="inlineStr">
        <is>
          <t>Step with empty assertions / Duration</t>
        </is>
      </c>
      <c r="D1918" s="16" t="inlineStr">
        <is>
          <t>Functional</t>
        </is>
      </c>
      <c r="E1918" s="16" t="inlineStr">
        <is>
          <t>Plan step: No tests defined with Duration assertion</t>
        </is>
      </c>
      <c r="F1918" s="16" t="inlineStr">
        <is>
          <t>Plan configured.</t>
        </is>
      </c>
      <c r="G1918" s="16" t="inlineStr">
        <is>
          <t>1. Run.
Assertion: responseTime lt N</t>
        </is>
      </c>
      <c r="H1918" s="16" t="inlineStr">
        <is>
          <t>plan</t>
        </is>
      </c>
      <c r="I1918" s="16" t="inlineStr">
        <is>
          <t>Step shows '0 assertions'; status shown. Assertion outcome (pass/fail) recorded in step report; plan aggregate updates.</t>
        </is>
      </c>
      <c r="J1918" s="16" t="inlineStr"/>
      <c r="K1918" s="16" t="inlineStr">
        <is>
          <t>Not Run</t>
        </is>
      </c>
      <c r="L1918" s="16" t="inlineStr">
        <is>
          <t>Low</t>
        </is>
      </c>
      <c r="M1918" s="16" t="inlineStr"/>
      <c r="N1918" s="16" t="inlineStr"/>
      <c r="O1918" s="16" t="inlineStr"/>
    </row>
    <row r="1919" ht="72" customHeight="1">
      <c r="A1919" s="16" t="inlineStr">
        <is>
          <t>TC-AS-0089</t>
        </is>
      </c>
      <c r="B1919" s="16" t="inlineStr">
        <is>
          <t>Assertions &amp; Execution Plans</t>
        </is>
      </c>
      <c r="C1919" s="16" t="inlineStr">
        <is>
          <t>Step with empty assertions / Schema</t>
        </is>
      </c>
      <c r="D1919" s="16" t="inlineStr">
        <is>
          <t>Functional</t>
        </is>
      </c>
      <c r="E1919" s="16" t="inlineStr">
        <is>
          <t>Plan step: No tests defined with Schema assertion</t>
        </is>
      </c>
      <c r="F1919" s="16" t="inlineStr">
        <is>
          <t>Plan configured.</t>
        </is>
      </c>
      <c r="G1919" s="16" t="inlineStr">
        <is>
          <t>1. Run.
Assertion: body schema valid</t>
        </is>
      </c>
      <c r="H1919" s="16" t="inlineStr">
        <is>
          <t>plan</t>
        </is>
      </c>
      <c r="I1919" s="16" t="inlineStr">
        <is>
          <t>Step shows '0 assertions'; status shown. Assertion outcome (pass/fail) recorded in step report; plan aggregate updates.</t>
        </is>
      </c>
      <c r="J1919" s="16" t="inlineStr"/>
      <c r="K1919" s="16" t="inlineStr">
        <is>
          <t>Not Run</t>
        </is>
      </c>
      <c r="L1919" s="16" t="inlineStr">
        <is>
          <t>Low</t>
        </is>
      </c>
      <c r="M1919" s="16" t="inlineStr"/>
      <c r="N1919" s="16" t="inlineStr"/>
      <c r="O1919" s="16" t="inlineStr"/>
    </row>
    <row r="1920" ht="72" customHeight="1">
      <c r="A1920" s="16" t="inlineStr">
        <is>
          <t>TC-AS-0090</t>
        </is>
      </c>
      <c r="B1920" s="16" t="inlineStr">
        <is>
          <t>Assertions &amp; Execution Plans</t>
        </is>
      </c>
      <c r="C1920" s="16" t="inlineStr">
        <is>
          <t>Step with 50 assertions / Status check</t>
        </is>
      </c>
      <c r="D1920" s="16" t="inlineStr">
        <is>
          <t>Functional</t>
        </is>
      </c>
      <c r="E1920" s="16" t="inlineStr">
        <is>
          <t>Plan step: Many assertions with Status check assertion</t>
        </is>
      </c>
      <c r="F1920" s="16" t="inlineStr">
        <is>
          <t>Plan configured.</t>
        </is>
      </c>
      <c r="G1920" s="16" t="inlineStr">
        <is>
          <t>1. Run.
Assertion: status==X</t>
        </is>
      </c>
      <c r="H1920" s="16" t="inlineStr">
        <is>
          <t>plan</t>
        </is>
      </c>
      <c r="I1920" s="16" t="inlineStr">
        <is>
          <t>All evaluated; aggregate counts. Assertion outcome (pass/fail) recorded in step report; plan aggregate updates.</t>
        </is>
      </c>
      <c r="J1920" s="16" t="inlineStr"/>
      <c r="K1920" s="16" t="inlineStr">
        <is>
          <t>Not Run</t>
        </is>
      </c>
      <c r="L1920" s="16" t="inlineStr">
        <is>
          <t>Medium</t>
        </is>
      </c>
      <c r="M1920" s="16" t="inlineStr"/>
      <c r="N1920" s="16" t="inlineStr"/>
      <c r="O1920" s="16" t="inlineStr"/>
    </row>
    <row r="1921" ht="72" customHeight="1">
      <c r="A1921" s="16" t="inlineStr">
        <is>
          <t>TC-AS-0091</t>
        </is>
      </c>
      <c r="B1921" s="16" t="inlineStr">
        <is>
          <t>Assertions &amp; Execution Plans</t>
        </is>
      </c>
      <c r="C1921" s="16" t="inlineStr">
        <is>
          <t>Step with 50 assertions / Status range</t>
        </is>
      </c>
      <c r="D1921" s="16" t="inlineStr">
        <is>
          <t>Functional</t>
        </is>
      </c>
      <c r="E1921" s="16" t="inlineStr">
        <is>
          <t>Plan step: Many assertions with Status range assertion</t>
        </is>
      </c>
      <c r="F1921" s="16" t="inlineStr">
        <is>
          <t>Plan configured.</t>
        </is>
      </c>
      <c r="G1921" s="16" t="inlineStr">
        <is>
          <t>1. Run.
Assertion: status&lt;Y</t>
        </is>
      </c>
      <c r="H1921" s="16" t="inlineStr">
        <is>
          <t>plan</t>
        </is>
      </c>
      <c r="I1921" s="16" t="inlineStr">
        <is>
          <t>All evaluated; aggregate counts. Assertion outcome (pass/fail) recorded in step report; plan aggregate updates.</t>
        </is>
      </c>
      <c r="J1921" s="16" t="inlineStr"/>
      <c r="K1921" s="16" t="inlineStr">
        <is>
          <t>Not Run</t>
        </is>
      </c>
      <c r="L1921" s="16" t="inlineStr">
        <is>
          <t>Low</t>
        </is>
      </c>
      <c r="M1921" s="16" t="inlineStr"/>
      <c r="N1921" s="16" t="inlineStr"/>
      <c r="O1921" s="16" t="inlineStr"/>
    </row>
    <row r="1922" ht="72" customHeight="1">
      <c r="A1922" s="16" t="inlineStr">
        <is>
          <t>TC-AS-0092</t>
        </is>
      </c>
      <c r="B1922" s="16" t="inlineStr">
        <is>
          <t>Assertions &amp; Execution Plans</t>
        </is>
      </c>
      <c r="C1922" s="16" t="inlineStr">
        <is>
          <t>Step with 50 assertions / JSON path</t>
        </is>
      </c>
      <c r="D1922" s="16" t="inlineStr">
        <is>
          <t>Functional</t>
        </is>
      </c>
      <c r="E1922" s="16" t="inlineStr">
        <is>
          <t>Plan step: Many assertions with JSON path assertion</t>
        </is>
      </c>
      <c r="F1922" s="16" t="inlineStr">
        <is>
          <t>Plan configured.</t>
        </is>
      </c>
      <c r="G1922" s="16" t="inlineStr">
        <is>
          <t>1. Run.
Assertion: body.path == value</t>
        </is>
      </c>
      <c r="H1922" s="16" t="inlineStr">
        <is>
          <t>plan</t>
        </is>
      </c>
      <c r="I1922" s="16" t="inlineStr">
        <is>
          <t>All evaluated; aggregate counts. Assertion outcome (pass/fail) recorded in step report; plan aggregate updates.</t>
        </is>
      </c>
      <c r="J1922" s="16" t="inlineStr"/>
      <c r="K1922" s="16" t="inlineStr">
        <is>
          <t>Not Run</t>
        </is>
      </c>
      <c r="L1922" s="16" t="inlineStr">
        <is>
          <t>Medium</t>
        </is>
      </c>
      <c r="M1922" s="16" t="inlineStr"/>
      <c r="N1922" s="16" t="inlineStr"/>
      <c r="O1922" s="16" t="inlineStr"/>
    </row>
    <row r="1923" ht="72" customHeight="1">
      <c r="A1923" s="16" t="inlineStr">
        <is>
          <t>TC-AS-0093</t>
        </is>
      </c>
      <c r="B1923" s="16" t="inlineStr">
        <is>
          <t>Assertions &amp; Execution Plans</t>
        </is>
      </c>
      <c r="C1923" s="16" t="inlineStr">
        <is>
          <t>Step with 50 assertions / Regex</t>
        </is>
      </c>
      <c r="D1923" s="16" t="inlineStr">
        <is>
          <t>Functional</t>
        </is>
      </c>
      <c r="E1923" s="16" t="inlineStr">
        <is>
          <t>Plan step: Many assertions with Regex assertion</t>
        </is>
      </c>
      <c r="F1923" s="16" t="inlineStr">
        <is>
          <t>Plan configured.</t>
        </is>
      </c>
      <c r="G1923" s="16" t="inlineStr">
        <is>
          <t>1. Run.
Assertion: body matches regex</t>
        </is>
      </c>
      <c r="H1923" s="16" t="inlineStr">
        <is>
          <t>plan</t>
        </is>
      </c>
      <c r="I1923" s="16" t="inlineStr">
        <is>
          <t>All evaluated; aggregate counts. Assertion outcome (pass/fail) recorded in step report; plan aggregate updates.</t>
        </is>
      </c>
      <c r="J1923" s="16" t="inlineStr"/>
      <c r="K1923" s="16" t="inlineStr">
        <is>
          <t>Not Run</t>
        </is>
      </c>
      <c r="L1923" s="16" t="inlineStr">
        <is>
          <t>Low</t>
        </is>
      </c>
      <c r="M1923" s="16" t="inlineStr"/>
      <c r="N1923" s="16" t="inlineStr"/>
      <c r="O1923" s="16" t="inlineStr"/>
    </row>
    <row r="1924" ht="72" customHeight="1">
      <c r="A1924" s="16" t="inlineStr">
        <is>
          <t>TC-AS-0094</t>
        </is>
      </c>
      <c r="B1924" s="16" t="inlineStr">
        <is>
          <t>Assertions &amp; Execution Plans</t>
        </is>
      </c>
      <c r="C1924" s="16" t="inlineStr">
        <is>
          <t>Step with 50 assertions / Header</t>
        </is>
      </c>
      <c r="D1924" s="16" t="inlineStr">
        <is>
          <t>Functional</t>
        </is>
      </c>
      <c r="E1924" s="16" t="inlineStr">
        <is>
          <t>Plan step: Many assertions with Header assertion</t>
        </is>
      </c>
      <c r="F1924" s="16" t="inlineStr">
        <is>
          <t>Plan configured.</t>
        </is>
      </c>
      <c r="G1924" s="16" t="inlineStr">
        <is>
          <t>1. Run.
Assertion: header present</t>
        </is>
      </c>
      <c r="H1924" s="16" t="inlineStr">
        <is>
          <t>plan</t>
        </is>
      </c>
      <c r="I1924" s="16" t="inlineStr">
        <is>
          <t>All evaluated; aggregate counts. Assertion outcome (pass/fail) recorded in step report; plan aggregate updates.</t>
        </is>
      </c>
      <c r="J1924" s="16" t="inlineStr"/>
      <c r="K1924" s="16" t="inlineStr">
        <is>
          <t>Not Run</t>
        </is>
      </c>
      <c r="L1924" s="16" t="inlineStr">
        <is>
          <t>Low</t>
        </is>
      </c>
      <c r="M1924" s="16" t="inlineStr"/>
      <c r="N1924" s="16" t="inlineStr"/>
      <c r="O1924" s="16" t="inlineStr"/>
    </row>
    <row r="1925" ht="72" customHeight="1">
      <c r="A1925" s="16" t="inlineStr">
        <is>
          <t>TC-AS-0095</t>
        </is>
      </c>
      <c r="B1925" s="16" t="inlineStr">
        <is>
          <t>Assertions &amp; Execution Plans</t>
        </is>
      </c>
      <c r="C1925" s="16" t="inlineStr">
        <is>
          <t>Step with 50 assertions / Header value</t>
        </is>
      </c>
      <c r="D1925" s="16" t="inlineStr">
        <is>
          <t>Functional</t>
        </is>
      </c>
      <c r="E1925" s="16" t="inlineStr">
        <is>
          <t>Plan step: Many assertions with Header value assertion</t>
        </is>
      </c>
      <c r="F1925" s="16" t="inlineStr">
        <is>
          <t>Plan configured.</t>
        </is>
      </c>
      <c r="G1925" s="16" t="inlineStr">
        <is>
          <t>1. Run.
Assertion: header value matches</t>
        </is>
      </c>
      <c r="H1925" s="16" t="inlineStr">
        <is>
          <t>plan</t>
        </is>
      </c>
      <c r="I1925" s="16" t="inlineStr">
        <is>
          <t>All evaluated; aggregate counts. Assertion outcome (pass/fail) recorded in step report; plan aggregate updates.</t>
        </is>
      </c>
      <c r="J1925" s="16" t="inlineStr"/>
      <c r="K1925" s="16" t="inlineStr">
        <is>
          <t>Not Run</t>
        </is>
      </c>
      <c r="L1925" s="16" t="inlineStr">
        <is>
          <t>Low</t>
        </is>
      </c>
      <c r="M1925" s="16" t="inlineStr"/>
      <c r="N1925" s="16" t="inlineStr"/>
      <c r="O1925" s="16" t="inlineStr"/>
    </row>
    <row r="1926" ht="72" customHeight="1">
      <c r="A1926" s="16" t="inlineStr">
        <is>
          <t>TC-AS-0096</t>
        </is>
      </c>
      <c r="B1926" s="16" t="inlineStr">
        <is>
          <t>Assertions &amp; Execution Plans</t>
        </is>
      </c>
      <c r="C1926" s="16" t="inlineStr">
        <is>
          <t>Step with 50 assertions / Duration</t>
        </is>
      </c>
      <c r="D1926" s="16" t="inlineStr">
        <is>
          <t>Functional</t>
        </is>
      </c>
      <c r="E1926" s="16" t="inlineStr">
        <is>
          <t>Plan step: Many assertions with Duration assertion</t>
        </is>
      </c>
      <c r="F1926" s="16" t="inlineStr">
        <is>
          <t>Plan configured.</t>
        </is>
      </c>
      <c r="G1926" s="16" t="inlineStr">
        <is>
          <t>1. Run.
Assertion: responseTime lt N</t>
        </is>
      </c>
      <c r="H1926" s="16" t="inlineStr">
        <is>
          <t>plan</t>
        </is>
      </c>
      <c r="I1926" s="16" t="inlineStr">
        <is>
          <t>All evaluated; aggregate counts. Assertion outcome (pass/fail) recorded in step report; plan aggregate updates.</t>
        </is>
      </c>
      <c r="J1926" s="16" t="inlineStr"/>
      <c r="K1926" s="16" t="inlineStr">
        <is>
          <t>Not Run</t>
        </is>
      </c>
      <c r="L1926" s="16" t="inlineStr">
        <is>
          <t>Medium</t>
        </is>
      </c>
      <c r="M1926" s="16" t="inlineStr"/>
      <c r="N1926" s="16" t="inlineStr"/>
      <c r="O1926" s="16" t="inlineStr"/>
    </row>
    <row r="1927" ht="72" customHeight="1">
      <c r="A1927" s="16" t="inlineStr">
        <is>
          <t>TC-AS-0097</t>
        </is>
      </c>
      <c r="B1927" s="16" t="inlineStr">
        <is>
          <t>Assertions &amp; Execution Plans</t>
        </is>
      </c>
      <c r="C1927" s="16" t="inlineStr">
        <is>
          <t>Step with 50 assertions / Schema</t>
        </is>
      </c>
      <c r="D1927" s="16" t="inlineStr">
        <is>
          <t>Functional</t>
        </is>
      </c>
      <c r="E1927" s="16" t="inlineStr">
        <is>
          <t>Plan step: Many assertions with Schema assertion</t>
        </is>
      </c>
      <c r="F1927" s="16" t="inlineStr">
        <is>
          <t>Plan configured.</t>
        </is>
      </c>
      <c r="G1927" s="16" t="inlineStr">
        <is>
          <t>1. Run.
Assertion: body schema valid</t>
        </is>
      </c>
      <c r="H1927" s="16" t="inlineStr">
        <is>
          <t>plan</t>
        </is>
      </c>
      <c r="I1927" s="16" t="inlineStr">
        <is>
          <t>All evaluated; aggregate counts. Assertion outcome (pass/fail) recorded in step report; plan aggregate updates.</t>
        </is>
      </c>
      <c r="J1927" s="16" t="inlineStr"/>
      <c r="K1927" s="16" t="inlineStr">
        <is>
          <t>Not Run</t>
        </is>
      </c>
      <c r="L1927" s="16" t="inlineStr">
        <is>
          <t>Low</t>
        </is>
      </c>
      <c r="M1927" s="16" t="inlineStr"/>
      <c r="N1927" s="16" t="inlineStr"/>
      <c r="O1927" s="16" t="inlineStr"/>
    </row>
    <row r="1928" ht="72" customHeight="1">
      <c r="A1928" s="16" t="inlineStr">
        <is>
          <t>TC-AS-0098</t>
        </is>
      </c>
      <c r="B1928" s="16" t="inlineStr">
        <is>
          <t>Assertions &amp; Execution Plans</t>
        </is>
      </c>
      <c r="C1928" s="16" t="inlineStr">
        <is>
          <t>Plan with parallel branch (if supported) / Status check</t>
        </is>
      </c>
      <c r="D1928" s="16" t="inlineStr">
        <is>
          <t>Functional</t>
        </is>
      </c>
      <c r="E1928" s="16" t="inlineStr">
        <is>
          <t>Plan step: Parallel with Status check assertion</t>
        </is>
      </c>
      <c r="F1928" s="16" t="inlineStr">
        <is>
          <t>Plan configured.</t>
        </is>
      </c>
      <c r="G1928" s="16" t="inlineStr">
        <is>
          <t>1. Run.
Assertion: status==X</t>
        </is>
      </c>
      <c r="H1928" s="16" t="inlineStr">
        <is>
          <t>plan</t>
        </is>
      </c>
      <c r="I1928" s="16" t="inlineStr">
        <is>
          <t>Parallel results joined. Assertion outcome (pass/fail) recorded in step report; plan aggregate updates.</t>
        </is>
      </c>
      <c r="J1928" s="16" t="inlineStr"/>
      <c r="K1928" s="16" t="inlineStr">
        <is>
          <t>Not Run</t>
        </is>
      </c>
      <c r="L1928" s="16" t="inlineStr">
        <is>
          <t>Low</t>
        </is>
      </c>
      <c r="M1928" s="16" t="inlineStr"/>
      <c r="N1928" s="16" t="inlineStr"/>
      <c r="O1928" s="16" t="inlineStr"/>
    </row>
    <row r="1929" ht="72" customHeight="1">
      <c r="A1929" s="16" t="inlineStr">
        <is>
          <t>TC-AS-0099</t>
        </is>
      </c>
      <c r="B1929" s="16" t="inlineStr">
        <is>
          <t>Assertions &amp; Execution Plans</t>
        </is>
      </c>
      <c r="C1929" s="16" t="inlineStr">
        <is>
          <t>Plan with parallel branch (if supported) / Status range</t>
        </is>
      </c>
      <c r="D1929" s="16" t="inlineStr">
        <is>
          <t>Functional</t>
        </is>
      </c>
      <c r="E1929" s="16" t="inlineStr">
        <is>
          <t>Plan step: Parallel with Status range assertion</t>
        </is>
      </c>
      <c r="F1929" s="16" t="inlineStr">
        <is>
          <t>Plan configured.</t>
        </is>
      </c>
      <c r="G1929" s="16" t="inlineStr">
        <is>
          <t>1. Run.
Assertion: status&lt;Y</t>
        </is>
      </c>
      <c r="H1929" s="16" t="inlineStr">
        <is>
          <t>plan</t>
        </is>
      </c>
      <c r="I1929" s="16" t="inlineStr">
        <is>
          <t>Parallel results joined. Assertion outcome (pass/fail) recorded in step report; plan aggregate updates.</t>
        </is>
      </c>
      <c r="J1929" s="16" t="inlineStr"/>
      <c r="K1929" s="16" t="inlineStr">
        <is>
          <t>Not Run</t>
        </is>
      </c>
      <c r="L1929" s="16" t="inlineStr">
        <is>
          <t>Low</t>
        </is>
      </c>
      <c r="M1929" s="16" t="inlineStr"/>
      <c r="N1929" s="16" t="inlineStr"/>
      <c r="O1929" s="16" t="inlineStr"/>
    </row>
    <row r="1930" ht="72" customHeight="1">
      <c r="A1930" s="16" t="inlineStr">
        <is>
          <t>TC-AS-0100</t>
        </is>
      </c>
      <c r="B1930" s="16" t="inlineStr">
        <is>
          <t>Assertions &amp; Execution Plans</t>
        </is>
      </c>
      <c r="C1930" s="16" t="inlineStr">
        <is>
          <t>Plan with parallel branch (if supported) / JSON path</t>
        </is>
      </c>
      <c r="D1930" s="16" t="inlineStr">
        <is>
          <t>Functional</t>
        </is>
      </c>
      <c r="E1930" s="16" t="inlineStr">
        <is>
          <t>Plan step: Parallel with JSON path assertion</t>
        </is>
      </c>
      <c r="F1930" s="16" t="inlineStr">
        <is>
          <t>Plan configured.</t>
        </is>
      </c>
      <c r="G1930" s="16" t="inlineStr">
        <is>
          <t>1. Run.
Assertion: body.path == value</t>
        </is>
      </c>
      <c r="H1930" s="16" t="inlineStr">
        <is>
          <t>plan</t>
        </is>
      </c>
      <c r="I1930" s="16" t="inlineStr">
        <is>
          <t>Parallel results joined. Assertion outcome (pass/fail) recorded in step report; plan aggregate updates.</t>
        </is>
      </c>
      <c r="J1930" s="16" t="inlineStr"/>
      <c r="K1930" s="16" t="inlineStr">
        <is>
          <t>Not Run</t>
        </is>
      </c>
      <c r="L1930" s="16" t="inlineStr">
        <is>
          <t>Low</t>
        </is>
      </c>
      <c r="M1930" s="16" t="inlineStr"/>
      <c r="N1930" s="16" t="inlineStr"/>
      <c r="O1930" s="16" t="inlineStr"/>
    </row>
    <row r="1931" ht="72" customHeight="1">
      <c r="A1931" s="16" t="inlineStr">
        <is>
          <t>TC-AS-0101</t>
        </is>
      </c>
      <c r="B1931" s="16" t="inlineStr">
        <is>
          <t>Assertions &amp; Execution Plans</t>
        </is>
      </c>
      <c r="C1931" s="16" t="inlineStr">
        <is>
          <t>Plan with parallel branch (if supported) / Regex</t>
        </is>
      </c>
      <c r="D1931" s="16" t="inlineStr">
        <is>
          <t>Functional</t>
        </is>
      </c>
      <c r="E1931" s="16" t="inlineStr">
        <is>
          <t>Plan step: Parallel with Regex assertion</t>
        </is>
      </c>
      <c r="F1931" s="16" t="inlineStr">
        <is>
          <t>Plan configured.</t>
        </is>
      </c>
      <c r="G1931" s="16" t="inlineStr">
        <is>
          <t>1. Run.
Assertion: body matches regex</t>
        </is>
      </c>
      <c r="H1931" s="16" t="inlineStr">
        <is>
          <t>plan</t>
        </is>
      </c>
      <c r="I1931" s="16" t="inlineStr">
        <is>
          <t>Parallel results joined. Assertion outcome (pass/fail) recorded in step report; plan aggregate updates.</t>
        </is>
      </c>
      <c r="J1931" s="16" t="inlineStr"/>
      <c r="K1931" s="16" t="inlineStr">
        <is>
          <t>Not Run</t>
        </is>
      </c>
      <c r="L1931" s="16" t="inlineStr">
        <is>
          <t>Low</t>
        </is>
      </c>
      <c r="M1931" s="16" t="inlineStr"/>
      <c r="N1931" s="16" t="inlineStr"/>
      <c r="O1931" s="16" t="inlineStr"/>
    </row>
    <row r="1932" ht="72" customHeight="1">
      <c r="A1932" s="16" t="inlineStr">
        <is>
          <t>TC-AS-0102</t>
        </is>
      </c>
      <c r="B1932" s="16" t="inlineStr">
        <is>
          <t>Assertions &amp; Execution Plans</t>
        </is>
      </c>
      <c r="C1932" s="16" t="inlineStr">
        <is>
          <t>Plan with parallel branch (if supported) / Header</t>
        </is>
      </c>
      <c r="D1932" s="16" t="inlineStr">
        <is>
          <t>Functional</t>
        </is>
      </c>
      <c r="E1932" s="16" t="inlineStr">
        <is>
          <t>Plan step: Parallel with Header assertion</t>
        </is>
      </c>
      <c r="F1932" s="16" t="inlineStr">
        <is>
          <t>Plan configured.</t>
        </is>
      </c>
      <c r="G1932" s="16" t="inlineStr">
        <is>
          <t>1. Run.
Assertion: header present</t>
        </is>
      </c>
      <c r="H1932" s="16" t="inlineStr">
        <is>
          <t>plan</t>
        </is>
      </c>
      <c r="I1932" s="16" t="inlineStr">
        <is>
          <t>Parallel results joined. Assertion outcome (pass/fail) recorded in step report; plan aggregate updates.</t>
        </is>
      </c>
      <c r="J1932" s="16" t="inlineStr"/>
      <c r="K1932" s="16" t="inlineStr">
        <is>
          <t>Not Run</t>
        </is>
      </c>
      <c r="L1932" s="16" t="inlineStr">
        <is>
          <t>Low</t>
        </is>
      </c>
      <c r="M1932" s="16" t="inlineStr"/>
      <c r="N1932" s="16" t="inlineStr"/>
      <c r="O1932" s="16" t="inlineStr"/>
    </row>
    <row r="1933" ht="72" customHeight="1">
      <c r="A1933" s="16" t="inlineStr">
        <is>
          <t>TC-AS-0103</t>
        </is>
      </c>
      <c r="B1933" s="16" t="inlineStr">
        <is>
          <t>Assertions &amp; Execution Plans</t>
        </is>
      </c>
      <c r="C1933" s="16" t="inlineStr">
        <is>
          <t>Plan with parallel branch (if supported) / Header value</t>
        </is>
      </c>
      <c r="D1933" s="16" t="inlineStr">
        <is>
          <t>Functional</t>
        </is>
      </c>
      <c r="E1933" s="16" t="inlineStr">
        <is>
          <t>Plan step: Parallel with Header value assertion</t>
        </is>
      </c>
      <c r="F1933" s="16" t="inlineStr">
        <is>
          <t>Plan configured.</t>
        </is>
      </c>
      <c r="G1933" s="16" t="inlineStr">
        <is>
          <t>1. Run.
Assertion: header value matches</t>
        </is>
      </c>
      <c r="H1933" s="16" t="inlineStr">
        <is>
          <t>plan</t>
        </is>
      </c>
      <c r="I1933" s="16" t="inlineStr">
        <is>
          <t>Parallel results joined. Assertion outcome (pass/fail) recorded in step report; plan aggregate updates.</t>
        </is>
      </c>
      <c r="J1933" s="16" t="inlineStr"/>
      <c r="K1933" s="16" t="inlineStr">
        <is>
          <t>Not Run</t>
        </is>
      </c>
      <c r="L1933" s="16" t="inlineStr">
        <is>
          <t>Low</t>
        </is>
      </c>
      <c r="M1933" s="16" t="inlineStr"/>
      <c r="N1933" s="16" t="inlineStr"/>
      <c r="O1933" s="16" t="inlineStr"/>
    </row>
    <row r="1934" ht="72" customHeight="1">
      <c r="A1934" s="16" t="inlineStr">
        <is>
          <t>TC-AS-0104</t>
        </is>
      </c>
      <c r="B1934" s="16" t="inlineStr">
        <is>
          <t>Assertions &amp; Execution Plans</t>
        </is>
      </c>
      <c r="C1934" s="16" t="inlineStr">
        <is>
          <t>Plan with parallel branch (if supported) / Duration</t>
        </is>
      </c>
      <c r="D1934" s="16" t="inlineStr">
        <is>
          <t>Functional</t>
        </is>
      </c>
      <c r="E1934" s="16" t="inlineStr">
        <is>
          <t>Plan step: Parallel with Duration assertion</t>
        </is>
      </c>
      <c r="F1934" s="16" t="inlineStr">
        <is>
          <t>Plan configured.</t>
        </is>
      </c>
      <c r="G1934" s="16" t="inlineStr">
        <is>
          <t>1. Run.
Assertion: responseTime lt N</t>
        </is>
      </c>
      <c r="H1934" s="16" t="inlineStr">
        <is>
          <t>plan</t>
        </is>
      </c>
      <c r="I1934" s="16" t="inlineStr">
        <is>
          <t>Parallel results joined. Assertion outcome (pass/fail) recorded in step report; plan aggregate updates.</t>
        </is>
      </c>
      <c r="J1934" s="16" t="inlineStr"/>
      <c r="K1934" s="16" t="inlineStr">
        <is>
          <t>Not Run</t>
        </is>
      </c>
      <c r="L1934" s="16" t="inlineStr">
        <is>
          <t>Low</t>
        </is>
      </c>
      <c r="M1934" s="16" t="inlineStr"/>
      <c r="N1934" s="16" t="inlineStr"/>
      <c r="O1934" s="16" t="inlineStr"/>
    </row>
    <row r="1935" ht="72" customHeight="1">
      <c r="A1935" s="16" t="inlineStr">
        <is>
          <t>TC-AS-0105</t>
        </is>
      </c>
      <c r="B1935" s="16" t="inlineStr">
        <is>
          <t>Assertions &amp; Execution Plans</t>
        </is>
      </c>
      <c r="C1935" s="16" t="inlineStr">
        <is>
          <t>Plan with parallel branch (if supported) / Schema</t>
        </is>
      </c>
      <c r="D1935" s="16" t="inlineStr">
        <is>
          <t>Functional</t>
        </is>
      </c>
      <c r="E1935" s="16" t="inlineStr">
        <is>
          <t>Plan step: Parallel with Schema assertion</t>
        </is>
      </c>
      <c r="F1935" s="16" t="inlineStr">
        <is>
          <t>Plan configured.</t>
        </is>
      </c>
      <c r="G1935" s="16" t="inlineStr">
        <is>
          <t>1. Run.
Assertion: body schema valid</t>
        </is>
      </c>
      <c r="H1935" s="16" t="inlineStr">
        <is>
          <t>plan</t>
        </is>
      </c>
      <c r="I1935" s="16" t="inlineStr">
        <is>
          <t>Parallel results joined. Assertion outcome (pass/fail) recorded in step report; plan aggregate updates.</t>
        </is>
      </c>
      <c r="J1935" s="16" t="inlineStr"/>
      <c r="K1935" s="16" t="inlineStr">
        <is>
          <t>Not Run</t>
        </is>
      </c>
      <c r="L1935" s="16" t="inlineStr">
        <is>
          <t>Low</t>
        </is>
      </c>
      <c r="M1935" s="16" t="inlineStr"/>
      <c r="N1935" s="16" t="inlineStr"/>
      <c r="O1935" s="16" t="inlineStr"/>
    </row>
    <row r="1936" ht="72" customHeight="1">
      <c r="A1936" s="16" t="inlineStr">
        <is>
          <t>TC-AS-0106</t>
        </is>
      </c>
      <c r="B1936" s="16" t="inlineStr">
        <is>
          <t>Assertions &amp; Execution Plans</t>
        </is>
      </c>
      <c r="C1936" s="16" t="inlineStr">
        <is>
          <t>Step timeout / Status check</t>
        </is>
      </c>
      <c r="D1936" s="16" t="inlineStr">
        <is>
          <t>Negative</t>
        </is>
      </c>
      <c r="E1936" s="16" t="inlineStr">
        <is>
          <t>Plan step: Step timeout 5s; slow endpoint with Status check assertion</t>
        </is>
      </c>
      <c r="F1936" s="16" t="inlineStr">
        <is>
          <t>Plan configured.</t>
        </is>
      </c>
      <c r="G1936" s="16" t="inlineStr">
        <is>
          <t>1. Run.
Assertion: status==X</t>
        </is>
      </c>
      <c r="H1936" s="16" t="inlineStr">
        <is>
          <t>plan</t>
        </is>
      </c>
      <c r="I1936" s="16" t="inlineStr">
        <is>
          <t>Step times out; marked failed. Assertion outcome (pass/fail) recorded in step report; plan aggregate updates.</t>
        </is>
      </c>
      <c r="J1936" s="16" t="inlineStr"/>
      <c r="K1936" s="16" t="inlineStr">
        <is>
          <t>Not Run</t>
        </is>
      </c>
      <c r="L1936" s="16" t="inlineStr">
        <is>
          <t>Medium</t>
        </is>
      </c>
      <c r="M1936" s="16" t="inlineStr"/>
      <c r="N1936" s="16" t="inlineStr"/>
      <c r="O1936" s="16" t="inlineStr"/>
    </row>
    <row r="1937" ht="72" customHeight="1">
      <c r="A1937" s="16" t="inlineStr">
        <is>
          <t>TC-AS-0107</t>
        </is>
      </c>
      <c r="B1937" s="16" t="inlineStr">
        <is>
          <t>Assertions &amp; Execution Plans</t>
        </is>
      </c>
      <c r="C1937" s="16" t="inlineStr">
        <is>
          <t>Step timeout / Status range</t>
        </is>
      </c>
      <c r="D1937" s="16" t="inlineStr">
        <is>
          <t>Negative</t>
        </is>
      </c>
      <c r="E1937" s="16" t="inlineStr">
        <is>
          <t>Plan step: Step timeout 5s; slow endpoint with Status range assertion</t>
        </is>
      </c>
      <c r="F1937" s="16" t="inlineStr">
        <is>
          <t>Plan configured.</t>
        </is>
      </c>
      <c r="G1937" s="16" t="inlineStr">
        <is>
          <t>1. Run.
Assertion: status&lt;Y</t>
        </is>
      </c>
      <c r="H1937" s="16" t="inlineStr">
        <is>
          <t>plan</t>
        </is>
      </c>
      <c r="I1937" s="16" t="inlineStr">
        <is>
          <t>Step times out; marked failed. Assertion outcome (pass/fail) recorded in step report; plan aggregate updates.</t>
        </is>
      </c>
      <c r="J1937" s="16" t="inlineStr"/>
      <c r="K1937" s="16" t="inlineStr">
        <is>
          <t>Not Run</t>
        </is>
      </c>
      <c r="L1937" s="16" t="inlineStr">
        <is>
          <t>Low</t>
        </is>
      </c>
      <c r="M1937" s="16" t="inlineStr"/>
      <c r="N1937" s="16" t="inlineStr"/>
      <c r="O1937" s="16" t="inlineStr"/>
    </row>
    <row r="1938" ht="72" customHeight="1">
      <c r="A1938" s="16" t="inlineStr">
        <is>
          <t>TC-AS-0108</t>
        </is>
      </c>
      <c r="B1938" s="16" t="inlineStr">
        <is>
          <t>Assertions &amp; Execution Plans</t>
        </is>
      </c>
      <c r="C1938" s="16" t="inlineStr">
        <is>
          <t>Step timeout / JSON path</t>
        </is>
      </c>
      <c r="D1938" s="16" t="inlineStr">
        <is>
          <t>Negative</t>
        </is>
      </c>
      <c r="E1938" s="16" t="inlineStr">
        <is>
          <t>Plan step: Step timeout 5s; slow endpoint with JSON path assertion</t>
        </is>
      </c>
      <c r="F1938" s="16" t="inlineStr">
        <is>
          <t>Plan configured.</t>
        </is>
      </c>
      <c r="G1938" s="16" t="inlineStr">
        <is>
          <t>1. Run.
Assertion: body.path == value</t>
        </is>
      </c>
      <c r="H1938" s="16" t="inlineStr">
        <is>
          <t>plan</t>
        </is>
      </c>
      <c r="I1938" s="16" t="inlineStr">
        <is>
          <t>Step times out; marked failed. Assertion outcome (pass/fail) recorded in step report; plan aggregate updates.</t>
        </is>
      </c>
      <c r="J1938" s="16" t="inlineStr"/>
      <c r="K1938" s="16" t="inlineStr">
        <is>
          <t>Not Run</t>
        </is>
      </c>
      <c r="L1938" s="16" t="inlineStr">
        <is>
          <t>Medium</t>
        </is>
      </c>
      <c r="M1938" s="16" t="inlineStr"/>
      <c r="N1938" s="16" t="inlineStr"/>
      <c r="O1938" s="16" t="inlineStr"/>
    </row>
    <row r="1939" ht="72" customHeight="1">
      <c r="A1939" s="16" t="inlineStr">
        <is>
          <t>TC-AS-0109</t>
        </is>
      </c>
      <c r="B1939" s="16" t="inlineStr">
        <is>
          <t>Assertions &amp; Execution Plans</t>
        </is>
      </c>
      <c r="C1939" s="16" t="inlineStr">
        <is>
          <t>Step timeout / Regex</t>
        </is>
      </c>
      <c r="D1939" s="16" t="inlineStr">
        <is>
          <t>Negative</t>
        </is>
      </c>
      <c r="E1939" s="16" t="inlineStr">
        <is>
          <t>Plan step: Step timeout 5s; slow endpoint with Regex assertion</t>
        </is>
      </c>
      <c r="F1939" s="16" t="inlineStr">
        <is>
          <t>Plan configured.</t>
        </is>
      </c>
      <c r="G1939" s="16" t="inlineStr">
        <is>
          <t>1. Run.
Assertion: body matches regex</t>
        </is>
      </c>
      <c r="H1939" s="16" t="inlineStr">
        <is>
          <t>plan</t>
        </is>
      </c>
      <c r="I1939" s="16" t="inlineStr">
        <is>
          <t>Step times out; marked failed. Assertion outcome (pass/fail) recorded in step report; plan aggregate updates.</t>
        </is>
      </c>
      <c r="J1939" s="16" t="inlineStr"/>
      <c r="K1939" s="16" t="inlineStr">
        <is>
          <t>Not Run</t>
        </is>
      </c>
      <c r="L1939" s="16" t="inlineStr">
        <is>
          <t>Low</t>
        </is>
      </c>
      <c r="M1939" s="16" t="inlineStr"/>
      <c r="N1939" s="16" t="inlineStr"/>
      <c r="O1939" s="16" t="inlineStr"/>
    </row>
    <row r="1940" ht="72" customHeight="1">
      <c r="A1940" s="16" t="inlineStr">
        <is>
          <t>TC-AS-0110</t>
        </is>
      </c>
      <c r="B1940" s="16" t="inlineStr">
        <is>
          <t>Assertions &amp; Execution Plans</t>
        </is>
      </c>
      <c r="C1940" s="16" t="inlineStr">
        <is>
          <t>Step timeout / Header</t>
        </is>
      </c>
      <c r="D1940" s="16" t="inlineStr">
        <is>
          <t>Negative</t>
        </is>
      </c>
      <c r="E1940" s="16" t="inlineStr">
        <is>
          <t>Plan step: Step timeout 5s; slow endpoint with Header assertion</t>
        </is>
      </c>
      <c r="F1940" s="16" t="inlineStr">
        <is>
          <t>Plan configured.</t>
        </is>
      </c>
      <c r="G1940" s="16" t="inlineStr">
        <is>
          <t>1. Run.
Assertion: header present</t>
        </is>
      </c>
      <c r="H1940" s="16" t="inlineStr">
        <is>
          <t>plan</t>
        </is>
      </c>
      <c r="I1940" s="16" t="inlineStr">
        <is>
          <t>Step times out; marked failed. Assertion outcome (pass/fail) recorded in step report; plan aggregate updates.</t>
        </is>
      </c>
      <c r="J1940" s="16" t="inlineStr"/>
      <c r="K1940" s="16" t="inlineStr">
        <is>
          <t>Not Run</t>
        </is>
      </c>
      <c r="L1940" s="16" t="inlineStr">
        <is>
          <t>Low</t>
        </is>
      </c>
      <c r="M1940" s="16" t="inlineStr"/>
      <c r="N1940" s="16" t="inlineStr"/>
      <c r="O1940" s="16" t="inlineStr"/>
    </row>
    <row r="1941" ht="72" customHeight="1">
      <c r="A1941" s="16" t="inlineStr">
        <is>
          <t>TC-AS-0111</t>
        </is>
      </c>
      <c r="B1941" s="16" t="inlineStr">
        <is>
          <t>Assertions &amp; Execution Plans</t>
        </is>
      </c>
      <c r="C1941" s="16" t="inlineStr">
        <is>
          <t>Step timeout / Header value</t>
        </is>
      </c>
      <c r="D1941" s="16" t="inlineStr">
        <is>
          <t>Negative</t>
        </is>
      </c>
      <c r="E1941" s="16" t="inlineStr">
        <is>
          <t>Plan step: Step timeout 5s; slow endpoint with Header value assertion</t>
        </is>
      </c>
      <c r="F1941" s="16" t="inlineStr">
        <is>
          <t>Plan configured.</t>
        </is>
      </c>
      <c r="G1941" s="16" t="inlineStr">
        <is>
          <t>1. Run.
Assertion: header value matches</t>
        </is>
      </c>
      <c r="H1941" s="16" t="inlineStr">
        <is>
          <t>plan</t>
        </is>
      </c>
      <c r="I1941" s="16" t="inlineStr">
        <is>
          <t>Step times out; marked failed. Assertion outcome (pass/fail) recorded in step report; plan aggregate updates.</t>
        </is>
      </c>
      <c r="J1941" s="16" t="inlineStr"/>
      <c r="K1941" s="16" t="inlineStr">
        <is>
          <t>Not Run</t>
        </is>
      </c>
      <c r="L1941" s="16" t="inlineStr">
        <is>
          <t>Low</t>
        </is>
      </c>
      <c r="M1941" s="16" t="inlineStr"/>
      <c r="N1941" s="16" t="inlineStr"/>
      <c r="O1941" s="16" t="inlineStr"/>
    </row>
    <row r="1942" ht="72" customHeight="1">
      <c r="A1942" s="16" t="inlineStr">
        <is>
          <t>TC-AS-0112</t>
        </is>
      </c>
      <c r="B1942" s="16" t="inlineStr">
        <is>
          <t>Assertions &amp; Execution Plans</t>
        </is>
      </c>
      <c r="C1942" s="16" t="inlineStr">
        <is>
          <t>Step timeout / Duration</t>
        </is>
      </c>
      <c r="D1942" s="16" t="inlineStr">
        <is>
          <t>Negative</t>
        </is>
      </c>
      <c r="E1942" s="16" t="inlineStr">
        <is>
          <t>Plan step: Step timeout 5s; slow endpoint with Duration assertion</t>
        </is>
      </c>
      <c r="F1942" s="16" t="inlineStr">
        <is>
          <t>Plan configured.</t>
        </is>
      </c>
      <c r="G1942" s="16" t="inlineStr">
        <is>
          <t>1. Run.
Assertion: responseTime lt N</t>
        </is>
      </c>
      <c r="H1942" s="16" t="inlineStr">
        <is>
          <t>plan</t>
        </is>
      </c>
      <c r="I1942" s="16" t="inlineStr">
        <is>
          <t>Step times out; marked failed. Assertion outcome (pass/fail) recorded in step report; plan aggregate updates.</t>
        </is>
      </c>
      <c r="J1942" s="16" t="inlineStr"/>
      <c r="K1942" s="16" t="inlineStr">
        <is>
          <t>Not Run</t>
        </is>
      </c>
      <c r="L1942" s="16" t="inlineStr">
        <is>
          <t>Medium</t>
        </is>
      </c>
      <c r="M1942" s="16" t="inlineStr"/>
      <c r="N1942" s="16" t="inlineStr"/>
      <c r="O1942" s="16" t="inlineStr"/>
    </row>
    <row r="1943" ht="72" customHeight="1">
      <c r="A1943" s="16" t="inlineStr">
        <is>
          <t>TC-AS-0113</t>
        </is>
      </c>
      <c r="B1943" s="16" t="inlineStr">
        <is>
          <t>Assertions &amp; Execution Plans</t>
        </is>
      </c>
      <c r="C1943" s="16" t="inlineStr">
        <is>
          <t>Step timeout / Schema</t>
        </is>
      </c>
      <c r="D1943" s="16" t="inlineStr">
        <is>
          <t>Negative</t>
        </is>
      </c>
      <c r="E1943" s="16" t="inlineStr">
        <is>
          <t>Plan step: Step timeout 5s; slow endpoint with Schema assertion</t>
        </is>
      </c>
      <c r="F1943" s="16" t="inlineStr">
        <is>
          <t>Plan configured.</t>
        </is>
      </c>
      <c r="G1943" s="16" t="inlineStr">
        <is>
          <t>1. Run.
Assertion: body schema valid</t>
        </is>
      </c>
      <c r="H1943" s="16" t="inlineStr">
        <is>
          <t>plan</t>
        </is>
      </c>
      <c r="I1943" s="16" t="inlineStr">
        <is>
          <t>Step times out; marked failed. Assertion outcome (pass/fail) recorded in step report; plan aggregate updates.</t>
        </is>
      </c>
      <c r="J1943" s="16" t="inlineStr"/>
      <c r="K1943" s="16" t="inlineStr">
        <is>
          <t>Not Run</t>
        </is>
      </c>
      <c r="L1943" s="16" t="inlineStr">
        <is>
          <t>Low</t>
        </is>
      </c>
      <c r="M1943" s="16" t="inlineStr"/>
      <c r="N1943" s="16" t="inlineStr"/>
      <c r="O1943" s="16" t="inlineStr"/>
    </row>
    <row r="1944" ht="72" customHeight="1">
      <c r="A1944" s="16" t="inlineStr">
        <is>
          <t>TC-AS-0114</t>
        </is>
      </c>
      <c r="B1944" s="16" t="inlineStr">
        <is>
          <t>Assertions &amp; Execution Plans</t>
        </is>
      </c>
      <c r="C1944" s="16" t="inlineStr">
        <is>
          <t>Step retry on failure / Status check</t>
        </is>
      </c>
      <c r="D1944" s="16" t="inlineStr">
        <is>
          <t>Functional</t>
        </is>
      </c>
      <c r="E1944" s="16" t="inlineStr">
        <is>
          <t>Plan step: Retry policy with Status check assertion</t>
        </is>
      </c>
      <c r="F1944" s="16" t="inlineStr">
        <is>
          <t>Plan configured.</t>
        </is>
      </c>
      <c r="G1944" s="16" t="inlineStr">
        <is>
          <t>1. Step retries 3x.
Assertion: status==X</t>
        </is>
      </c>
      <c r="H1944" s="16" t="inlineStr">
        <is>
          <t>plan</t>
        </is>
      </c>
      <c r="I1944" s="16" t="inlineStr">
        <is>
          <t>Retries until success or count exhausted. Assertion outcome (pass/fail) recorded in step report; plan aggregate updates.</t>
        </is>
      </c>
      <c r="J1944" s="16" t="inlineStr"/>
      <c r="K1944" s="16" t="inlineStr">
        <is>
          <t>Not Run</t>
        </is>
      </c>
      <c r="L1944" s="16" t="inlineStr">
        <is>
          <t>Medium</t>
        </is>
      </c>
      <c r="M1944" s="16" t="inlineStr"/>
      <c r="N1944" s="16" t="inlineStr"/>
      <c r="O1944" s="16" t="inlineStr"/>
    </row>
    <row r="1945" ht="72" customHeight="1">
      <c r="A1945" s="16" t="inlineStr">
        <is>
          <t>TC-AS-0115</t>
        </is>
      </c>
      <c r="B1945" s="16" t="inlineStr">
        <is>
          <t>Assertions &amp; Execution Plans</t>
        </is>
      </c>
      <c r="C1945" s="16" t="inlineStr">
        <is>
          <t>Step retry on failure / Status range</t>
        </is>
      </c>
      <c r="D1945" s="16" t="inlineStr">
        <is>
          <t>Functional</t>
        </is>
      </c>
      <c r="E1945" s="16" t="inlineStr">
        <is>
          <t>Plan step: Retry policy with Status range assertion</t>
        </is>
      </c>
      <c r="F1945" s="16" t="inlineStr">
        <is>
          <t>Plan configured.</t>
        </is>
      </c>
      <c r="G1945" s="16" t="inlineStr">
        <is>
          <t>1. Step retries 3x.
Assertion: status&lt;Y</t>
        </is>
      </c>
      <c r="H1945" s="16" t="inlineStr">
        <is>
          <t>plan</t>
        </is>
      </c>
      <c r="I1945" s="16" t="inlineStr">
        <is>
          <t>Retries until success or count exhausted. Assertion outcome (pass/fail) recorded in step report; plan aggregate updates.</t>
        </is>
      </c>
      <c r="J1945" s="16" t="inlineStr"/>
      <c r="K1945" s="16" t="inlineStr">
        <is>
          <t>Not Run</t>
        </is>
      </c>
      <c r="L1945" s="16" t="inlineStr">
        <is>
          <t>Low</t>
        </is>
      </c>
      <c r="M1945" s="16" t="inlineStr"/>
      <c r="N1945" s="16" t="inlineStr"/>
      <c r="O1945" s="16" t="inlineStr"/>
    </row>
    <row r="1946" ht="72" customHeight="1">
      <c r="A1946" s="16" t="inlineStr">
        <is>
          <t>TC-AS-0116</t>
        </is>
      </c>
      <c r="B1946" s="16" t="inlineStr">
        <is>
          <t>Assertions &amp; Execution Plans</t>
        </is>
      </c>
      <c r="C1946" s="16" t="inlineStr">
        <is>
          <t>Step retry on failure / JSON path</t>
        </is>
      </c>
      <c r="D1946" s="16" t="inlineStr">
        <is>
          <t>Functional</t>
        </is>
      </c>
      <c r="E1946" s="16" t="inlineStr">
        <is>
          <t>Plan step: Retry policy with JSON path assertion</t>
        </is>
      </c>
      <c r="F1946" s="16" t="inlineStr">
        <is>
          <t>Plan configured.</t>
        </is>
      </c>
      <c r="G1946" s="16" t="inlineStr">
        <is>
          <t>1. Step retries 3x.
Assertion: body.path == value</t>
        </is>
      </c>
      <c r="H1946" s="16" t="inlineStr">
        <is>
          <t>plan</t>
        </is>
      </c>
      <c r="I1946" s="16" t="inlineStr">
        <is>
          <t>Retries until success or count exhausted. Assertion outcome (pass/fail) recorded in step report; plan aggregate updates.</t>
        </is>
      </c>
      <c r="J1946" s="16" t="inlineStr"/>
      <c r="K1946" s="16" t="inlineStr">
        <is>
          <t>Not Run</t>
        </is>
      </c>
      <c r="L1946" s="16" t="inlineStr">
        <is>
          <t>Medium</t>
        </is>
      </c>
      <c r="M1946" s="16" t="inlineStr"/>
      <c r="N1946" s="16" t="inlineStr"/>
      <c r="O1946" s="16" t="inlineStr"/>
    </row>
    <row r="1947" ht="72" customHeight="1">
      <c r="A1947" s="16" t="inlineStr">
        <is>
          <t>TC-AS-0117</t>
        </is>
      </c>
      <c r="B1947" s="16" t="inlineStr">
        <is>
          <t>Assertions &amp; Execution Plans</t>
        </is>
      </c>
      <c r="C1947" s="16" t="inlineStr">
        <is>
          <t>Step retry on failure / Regex</t>
        </is>
      </c>
      <c r="D1947" s="16" t="inlineStr">
        <is>
          <t>Functional</t>
        </is>
      </c>
      <c r="E1947" s="16" t="inlineStr">
        <is>
          <t>Plan step: Retry policy with Regex assertion</t>
        </is>
      </c>
      <c r="F1947" s="16" t="inlineStr">
        <is>
          <t>Plan configured.</t>
        </is>
      </c>
      <c r="G1947" s="16" t="inlineStr">
        <is>
          <t>1. Step retries 3x.
Assertion: body matches regex</t>
        </is>
      </c>
      <c r="H1947" s="16" t="inlineStr">
        <is>
          <t>plan</t>
        </is>
      </c>
      <c r="I1947" s="16" t="inlineStr">
        <is>
          <t>Retries until success or count exhausted. Assertion outcome (pass/fail) recorded in step report; plan aggregate updates.</t>
        </is>
      </c>
      <c r="J1947" s="16" t="inlineStr"/>
      <c r="K1947" s="16" t="inlineStr">
        <is>
          <t>Not Run</t>
        </is>
      </c>
      <c r="L1947" s="16" t="inlineStr">
        <is>
          <t>Low</t>
        </is>
      </c>
      <c r="M1947" s="16" t="inlineStr"/>
      <c r="N1947" s="16" t="inlineStr"/>
      <c r="O1947" s="16" t="inlineStr"/>
    </row>
    <row r="1948" ht="72" customHeight="1">
      <c r="A1948" s="16" t="inlineStr">
        <is>
          <t>TC-AS-0118</t>
        </is>
      </c>
      <c r="B1948" s="16" t="inlineStr">
        <is>
          <t>Assertions &amp; Execution Plans</t>
        </is>
      </c>
      <c r="C1948" s="16" t="inlineStr">
        <is>
          <t>Step retry on failure / Header</t>
        </is>
      </c>
      <c r="D1948" s="16" t="inlineStr">
        <is>
          <t>Functional</t>
        </is>
      </c>
      <c r="E1948" s="16" t="inlineStr">
        <is>
          <t>Plan step: Retry policy with Header assertion</t>
        </is>
      </c>
      <c r="F1948" s="16" t="inlineStr">
        <is>
          <t>Plan configured.</t>
        </is>
      </c>
      <c r="G1948" s="16" t="inlineStr">
        <is>
          <t>1. Step retries 3x.
Assertion: header present</t>
        </is>
      </c>
      <c r="H1948" s="16" t="inlineStr">
        <is>
          <t>plan</t>
        </is>
      </c>
      <c r="I1948" s="16" t="inlineStr">
        <is>
          <t>Retries until success or count exhausted. Assertion outcome (pass/fail) recorded in step report; plan aggregate updates.</t>
        </is>
      </c>
      <c r="J1948" s="16" t="inlineStr"/>
      <c r="K1948" s="16" t="inlineStr">
        <is>
          <t>Not Run</t>
        </is>
      </c>
      <c r="L1948" s="16" t="inlineStr">
        <is>
          <t>Low</t>
        </is>
      </c>
      <c r="M1948" s="16" t="inlineStr"/>
      <c r="N1948" s="16" t="inlineStr"/>
      <c r="O1948" s="16" t="inlineStr"/>
    </row>
    <row r="1949" ht="72" customHeight="1">
      <c r="A1949" s="16" t="inlineStr">
        <is>
          <t>TC-AS-0119</t>
        </is>
      </c>
      <c r="B1949" s="16" t="inlineStr">
        <is>
          <t>Assertions &amp; Execution Plans</t>
        </is>
      </c>
      <c r="C1949" s="16" t="inlineStr">
        <is>
          <t>Step retry on failure / Header value</t>
        </is>
      </c>
      <c r="D1949" s="16" t="inlineStr">
        <is>
          <t>Functional</t>
        </is>
      </c>
      <c r="E1949" s="16" t="inlineStr">
        <is>
          <t>Plan step: Retry policy with Header value assertion</t>
        </is>
      </c>
      <c r="F1949" s="16" t="inlineStr">
        <is>
          <t>Plan configured.</t>
        </is>
      </c>
      <c r="G1949" s="16" t="inlineStr">
        <is>
          <t>1. Step retries 3x.
Assertion: header value matches</t>
        </is>
      </c>
      <c r="H1949" s="16" t="inlineStr">
        <is>
          <t>plan</t>
        </is>
      </c>
      <c r="I1949" s="16" t="inlineStr">
        <is>
          <t>Retries until success or count exhausted. Assertion outcome (pass/fail) recorded in step report; plan aggregate updates.</t>
        </is>
      </c>
      <c r="J1949" s="16" t="inlineStr"/>
      <c r="K1949" s="16" t="inlineStr">
        <is>
          <t>Not Run</t>
        </is>
      </c>
      <c r="L1949" s="16" t="inlineStr">
        <is>
          <t>Low</t>
        </is>
      </c>
      <c r="M1949" s="16" t="inlineStr"/>
      <c r="N1949" s="16" t="inlineStr"/>
      <c r="O1949" s="16" t="inlineStr"/>
    </row>
    <row r="1950" ht="72" customHeight="1">
      <c r="A1950" s="16" t="inlineStr">
        <is>
          <t>TC-AS-0120</t>
        </is>
      </c>
      <c r="B1950" s="16" t="inlineStr">
        <is>
          <t>Assertions &amp; Execution Plans</t>
        </is>
      </c>
      <c r="C1950" s="16" t="inlineStr">
        <is>
          <t>Step retry on failure / Duration</t>
        </is>
      </c>
      <c r="D1950" s="16" t="inlineStr">
        <is>
          <t>Functional</t>
        </is>
      </c>
      <c r="E1950" s="16" t="inlineStr">
        <is>
          <t>Plan step: Retry policy with Duration assertion</t>
        </is>
      </c>
      <c r="F1950" s="16" t="inlineStr">
        <is>
          <t>Plan configured.</t>
        </is>
      </c>
      <c r="G1950" s="16" t="inlineStr">
        <is>
          <t>1. Step retries 3x.
Assertion: responseTime lt N</t>
        </is>
      </c>
      <c r="H1950" s="16" t="inlineStr">
        <is>
          <t>plan</t>
        </is>
      </c>
      <c r="I1950" s="16" t="inlineStr">
        <is>
          <t>Retries until success or count exhausted. Assertion outcome (pass/fail) recorded in step report; plan aggregate updates.</t>
        </is>
      </c>
      <c r="J1950" s="16" t="inlineStr"/>
      <c r="K1950" s="16" t="inlineStr">
        <is>
          <t>Not Run</t>
        </is>
      </c>
      <c r="L1950" s="16" t="inlineStr">
        <is>
          <t>Medium</t>
        </is>
      </c>
      <c r="M1950" s="16" t="inlineStr"/>
      <c r="N1950" s="16" t="inlineStr"/>
      <c r="O1950" s="16" t="inlineStr"/>
    </row>
    <row r="1951" ht="72" customHeight="1">
      <c r="A1951" s="16" t="inlineStr">
        <is>
          <t>TC-AS-0121</t>
        </is>
      </c>
      <c r="B1951" s="16" t="inlineStr">
        <is>
          <t>Assertions &amp; Execution Plans</t>
        </is>
      </c>
      <c r="C1951" s="16" t="inlineStr">
        <is>
          <t>Step retry on failure / Schema</t>
        </is>
      </c>
      <c r="D1951" s="16" t="inlineStr">
        <is>
          <t>Functional</t>
        </is>
      </c>
      <c r="E1951" s="16" t="inlineStr">
        <is>
          <t>Plan step: Retry policy with Schema assertion</t>
        </is>
      </c>
      <c r="F1951" s="16" t="inlineStr">
        <is>
          <t>Plan configured.</t>
        </is>
      </c>
      <c r="G1951" s="16" t="inlineStr">
        <is>
          <t>1. Step retries 3x.
Assertion: body schema valid</t>
        </is>
      </c>
      <c r="H1951" s="16" t="inlineStr">
        <is>
          <t>plan</t>
        </is>
      </c>
      <c r="I1951" s="16" t="inlineStr">
        <is>
          <t>Retries until success or count exhausted. Assertion outcome (pass/fail) recorded in step report; plan aggregate updates.</t>
        </is>
      </c>
      <c r="J1951" s="16" t="inlineStr"/>
      <c r="K1951" s="16" t="inlineStr">
        <is>
          <t>Not Run</t>
        </is>
      </c>
      <c r="L1951" s="16" t="inlineStr">
        <is>
          <t>Low</t>
        </is>
      </c>
      <c r="M1951" s="16" t="inlineStr"/>
      <c r="N1951" s="16" t="inlineStr"/>
      <c r="O1951" s="16" t="inlineStr"/>
    </row>
    <row r="1952" ht="72" customHeight="1">
      <c r="A1952" s="16" t="inlineStr">
        <is>
          <t>TC-IE-0015</t>
        </is>
      </c>
      <c r="B1952" s="16" t="inlineStr">
        <is>
          <t>Import / Export</t>
        </is>
      </c>
      <c r="C1952" s="16" t="inlineStr">
        <is>
          <t>Round-trip</t>
        </is>
      </c>
      <c r="D1952" s="16" t="inlineStr">
        <is>
          <t>Functional</t>
        </is>
      </c>
      <c r="E1952" s="16" t="inlineStr">
        <is>
          <t>Round-trip Postman v2.1 for: GET no body</t>
        </is>
      </c>
      <c r="F1952" s="16" t="inlineStr">
        <is>
          <t>-</t>
        </is>
      </c>
      <c r="G1952" s="16" t="inlineStr">
        <is>
          <t>1. In source tool (or fixture), create request shape 'GET no body'.
2. Export from source as Postman v2.1.
3. Import into APICircle.
4. Compare resulting request to source.
5. (Optional) Export from APICircle as same format; diff.</t>
        </is>
      </c>
      <c r="H1952" s="16" t="inlineStr">
        <is>
          <t>fmt=Postman Collection v2.1 shape=Simple GET</t>
        </is>
      </c>
      <c r="I1952" s="16" t="inlineStr">
        <is>
          <t>All compatible fields of 'GET no body' preserved through import. Any fields the format cannot represent are clearly flagged in the import warnings, not silently dropped. Round-trip export back yields a structurally equivalent file.</t>
        </is>
      </c>
      <c r="J1952" s="16" t="inlineStr"/>
      <c r="K1952" s="16" t="inlineStr">
        <is>
          <t>Not Run</t>
        </is>
      </c>
      <c r="L1952" s="16" t="inlineStr">
        <is>
          <t>Medium</t>
        </is>
      </c>
      <c r="M1952" s="16" t="inlineStr"/>
      <c r="N1952" s="16" t="inlineStr"/>
      <c r="O1952" s="16" t="inlineStr"/>
    </row>
    <row r="1953" ht="72" customHeight="1">
      <c r="A1953" s="16" t="inlineStr">
        <is>
          <t>TC-IE-0016</t>
        </is>
      </c>
      <c r="B1953" s="16" t="inlineStr">
        <is>
          <t>Import / Export</t>
        </is>
      </c>
      <c r="C1953" s="16" t="inlineStr">
        <is>
          <t>Round-trip</t>
        </is>
      </c>
      <c r="D1953" s="16" t="inlineStr">
        <is>
          <t>Functional</t>
        </is>
      </c>
      <c r="E1953" s="16" t="inlineStr">
        <is>
          <t>Round-trip Postman v2.1 for: POST with JSON body</t>
        </is>
      </c>
      <c r="F1953" s="16" t="inlineStr">
        <is>
          <t>-</t>
        </is>
      </c>
      <c r="G1953" s="16" t="inlineStr">
        <is>
          <t>1. In source tool (or fixture), create request shape 'POST with JSON body'.
2. Export from source as Postman v2.1.
3. Import into APICircle.
4. Compare resulting request to source.
5. (Optional) Export from APICircle as same format; diff.</t>
        </is>
      </c>
      <c r="H1953" s="16" t="inlineStr">
        <is>
          <t>fmt=Postman Collection v2.1 shape=POST JSON</t>
        </is>
      </c>
      <c r="I1953" s="16" t="inlineStr">
        <is>
          <t>All compatible fields of 'POST with JSON body' preserved through import. Any fields the format cannot represent are clearly flagged in the import warnings, not silently dropped. Round-trip export back yields a structurally equivalent file.</t>
        </is>
      </c>
      <c r="J1953" s="16" t="inlineStr"/>
      <c r="K1953" s="16" t="inlineStr">
        <is>
          <t>Not Run</t>
        </is>
      </c>
      <c r="L1953" s="16" t="inlineStr">
        <is>
          <t>Medium</t>
        </is>
      </c>
      <c r="M1953" s="16" t="inlineStr"/>
      <c r="N1953" s="16" t="inlineStr"/>
      <c r="O1953" s="16" t="inlineStr"/>
    </row>
    <row r="1954" ht="72" customHeight="1">
      <c r="A1954" s="16" t="inlineStr">
        <is>
          <t>TC-IE-0017</t>
        </is>
      </c>
      <c r="B1954" s="16" t="inlineStr">
        <is>
          <t>Import / Export</t>
        </is>
      </c>
      <c r="C1954" s="16" t="inlineStr">
        <is>
          <t>Round-trip</t>
        </is>
      </c>
      <c r="D1954" s="16" t="inlineStr">
        <is>
          <t>Functional</t>
        </is>
      </c>
      <c r="E1954" s="16" t="inlineStr">
        <is>
          <t>Round-trip Postman v2.1 for: POST with form-data</t>
        </is>
      </c>
      <c r="F1954" s="16" t="inlineStr">
        <is>
          <t>-</t>
        </is>
      </c>
      <c r="G1954" s="16" t="inlineStr">
        <is>
          <t>1. In source tool (or fixture), create request shape 'POST with form-data'.
2. Export from source as Postman v2.1.
3. Import into APICircle.
4. Compare resulting request to source.
5. (Optional) Export from APICircle as same format; diff.</t>
        </is>
      </c>
      <c r="H1954" s="16" t="inlineStr">
        <is>
          <t>fmt=Postman Collection v2.1 shape=POST form-data</t>
        </is>
      </c>
      <c r="I1954" s="16" t="inlineStr">
        <is>
          <t>All compatible fields of 'POST with form-data' preserved through import. Any fields the format cannot represent are clearly flagged in the import warnings, not silently dropped. Round-trip export back yields a structurally equivalent file.</t>
        </is>
      </c>
      <c r="J1954" s="16" t="inlineStr"/>
      <c r="K1954" s="16" t="inlineStr">
        <is>
          <t>Not Run</t>
        </is>
      </c>
      <c r="L1954" s="16" t="inlineStr">
        <is>
          <t>Medium</t>
        </is>
      </c>
      <c r="M1954" s="16" t="inlineStr"/>
      <c r="N1954" s="16" t="inlineStr"/>
      <c r="O1954" s="16" t="inlineStr"/>
    </row>
    <row r="1955" ht="72" customHeight="1">
      <c r="A1955" s="16" t="inlineStr">
        <is>
          <t>TC-IE-0018</t>
        </is>
      </c>
      <c r="B1955" s="16" t="inlineStr">
        <is>
          <t>Import / Export</t>
        </is>
      </c>
      <c r="C1955" s="16" t="inlineStr">
        <is>
          <t>Round-trip</t>
        </is>
      </c>
      <c r="D1955" s="16" t="inlineStr">
        <is>
          <t>Functional</t>
        </is>
      </c>
      <c r="E1955" s="16" t="inlineStr">
        <is>
          <t>Round-trip Postman v2.1 for: POST with file upload</t>
        </is>
      </c>
      <c r="F1955" s="16" t="inlineStr">
        <is>
          <t>-</t>
        </is>
      </c>
      <c r="G1955" s="16" t="inlineStr">
        <is>
          <t>1. In source tool (or fixture), create request shape 'POST with file upload'.
2. Export from source as Postman v2.1.
3. Import into APICircle.
4. Compare resulting request to source.
5. (Optional) Export from APICircle as same format; diff.</t>
        </is>
      </c>
      <c r="H1955" s="16" t="inlineStr">
        <is>
          <t>fmt=Postman Collection v2.1 shape=POST file</t>
        </is>
      </c>
      <c r="I1955" s="16" t="inlineStr">
        <is>
          <t>All compatible fields of 'POST with file upload' preserved through import. Any fields the format cannot represent are clearly flagged in the import warnings, not silently dropped. Round-trip export back yields a structurally equivalent file.</t>
        </is>
      </c>
      <c r="J1955" s="16" t="inlineStr"/>
      <c r="K1955" s="16" t="inlineStr">
        <is>
          <t>Not Run</t>
        </is>
      </c>
      <c r="L1955" s="16" t="inlineStr">
        <is>
          <t>Medium</t>
        </is>
      </c>
      <c r="M1955" s="16" t="inlineStr"/>
      <c r="N1955" s="16" t="inlineStr"/>
      <c r="O1955" s="16" t="inlineStr"/>
    </row>
    <row r="1956" ht="72" customHeight="1">
      <c r="A1956" s="16" t="inlineStr">
        <is>
          <t>TC-IE-0019</t>
        </is>
      </c>
      <c r="B1956" s="16" t="inlineStr">
        <is>
          <t>Import / Export</t>
        </is>
      </c>
      <c r="C1956" s="16" t="inlineStr">
        <is>
          <t>Round-trip</t>
        </is>
      </c>
      <c r="D1956" s="16" t="inlineStr">
        <is>
          <t>Functional</t>
        </is>
      </c>
      <c r="E1956" s="16" t="inlineStr">
        <is>
          <t>Round-trip Postman v2.1 for: GraphQL query</t>
        </is>
      </c>
      <c r="F1956" s="16" t="inlineStr">
        <is>
          <t>-</t>
        </is>
      </c>
      <c r="G1956" s="16" t="inlineStr">
        <is>
          <t>1. In source tool (or fixture), create request shape 'GraphQL query'.
2. Export from source as Postman v2.1.
3. Import into APICircle.
4. Compare resulting request to source.
5. (Optional) Export from APICircle as same format; diff.</t>
        </is>
      </c>
      <c r="H1956" s="16" t="inlineStr">
        <is>
          <t>fmt=Postman Collection v2.1 shape=GraphQL POST</t>
        </is>
      </c>
      <c r="I1956" s="16" t="inlineStr">
        <is>
          <t>All compatible fields of 'GraphQL query' preserved through import. Any fields the format cannot represent are clearly flagged in the import warnings, not silently dropped. Round-trip export back yields a structurally equivalent file.</t>
        </is>
      </c>
      <c r="J1956" s="16" t="inlineStr"/>
      <c r="K1956" s="16" t="inlineStr">
        <is>
          <t>Not Run</t>
        </is>
      </c>
      <c r="L1956" s="16" t="inlineStr">
        <is>
          <t>Medium</t>
        </is>
      </c>
      <c r="M1956" s="16" t="inlineStr"/>
      <c r="N1956" s="16" t="inlineStr"/>
      <c r="O1956" s="16" t="inlineStr"/>
    </row>
    <row r="1957" ht="72" customHeight="1">
      <c r="A1957" s="16" t="inlineStr">
        <is>
          <t>TC-IE-0020</t>
        </is>
      </c>
      <c r="B1957" s="16" t="inlineStr">
        <is>
          <t>Import / Export</t>
        </is>
      </c>
      <c r="C1957" s="16" t="inlineStr">
        <is>
          <t>Round-trip</t>
        </is>
      </c>
      <c r="D1957" s="16" t="inlineStr">
        <is>
          <t>Functional</t>
        </is>
      </c>
      <c r="E1957" s="16" t="inlineStr">
        <is>
          <t>Round-trip Postman v2.1 for: Bearer auth</t>
        </is>
      </c>
      <c r="F1957" s="16" t="inlineStr">
        <is>
          <t>-</t>
        </is>
      </c>
      <c r="G1957" s="16" t="inlineStr">
        <is>
          <t>1. In source tool (or fixture), create request shape 'Bearer auth'.
2. Export from source as Postman v2.1.
3. Import into APICircle.
4. Compare resulting request to source.
5. (Optional) Export from APICircle as same format; diff.</t>
        </is>
      </c>
      <c r="H1957" s="16" t="inlineStr">
        <is>
          <t>fmt=Postman Collection v2.1 shape=Bearer</t>
        </is>
      </c>
      <c r="I1957" s="16" t="inlineStr">
        <is>
          <t>All compatible fields of 'Bearer auth' preserved through import. Any fields the format cannot represent are clearly flagged in the import warnings, not silently dropped. Round-trip export back yields a structurally equivalent file.</t>
        </is>
      </c>
      <c r="J1957" s="16" t="inlineStr"/>
      <c r="K1957" s="16" t="inlineStr">
        <is>
          <t>Not Run</t>
        </is>
      </c>
      <c r="L1957" s="16" t="inlineStr">
        <is>
          <t>Medium</t>
        </is>
      </c>
      <c r="M1957" s="16" t="inlineStr"/>
      <c r="N1957" s="16" t="inlineStr"/>
      <c r="O1957" s="16" t="inlineStr"/>
    </row>
    <row r="1958" ht="72" customHeight="1">
      <c r="A1958" s="16" t="inlineStr">
        <is>
          <t>TC-IE-0021</t>
        </is>
      </c>
      <c r="B1958" s="16" t="inlineStr">
        <is>
          <t>Import / Export</t>
        </is>
      </c>
      <c r="C1958" s="16" t="inlineStr">
        <is>
          <t>Round-trip</t>
        </is>
      </c>
      <c r="D1958" s="16" t="inlineStr">
        <is>
          <t>Functional</t>
        </is>
      </c>
      <c r="E1958" s="16" t="inlineStr">
        <is>
          <t>Round-trip Postman v2.1 for: Basic auth</t>
        </is>
      </c>
      <c r="F1958" s="16" t="inlineStr">
        <is>
          <t>-</t>
        </is>
      </c>
      <c r="G1958" s="16" t="inlineStr">
        <is>
          <t>1. In source tool (or fixture), create request shape 'Basic auth'.
2. Export from source as Postman v2.1.
3. Import into APICircle.
4. Compare resulting request to source.
5. (Optional) Export from APICircle as same format; diff.</t>
        </is>
      </c>
      <c r="H1958" s="16" t="inlineStr">
        <is>
          <t>fmt=Postman Collection v2.1 shape=Basic</t>
        </is>
      </c>
      <c r="I1958" s="16" t="inlineStr">
        <is>
          <t>All compatible fields of 'Basic auth' preserved through import. Any fields the format cannot represent are clearly flagged in the import warnings, not silently dropped. Round-trip export back yields a structurally equivalent file.</t>
        </is>
      </c>
      <c r="J1958" s="16" t="inlineStr"/>
      <c r="K1958" s="16" t="inlineStr">
        <is>
          <t>Not Run</t>
        </is>
      </c>
      <c r="L1958" s="16" t="inlineStr">
        <is>
          <t>Medium</t>
        </is>
      </c>
      <c r="M1958" s="16" t="inlineStr"/>
      <c r="N1958" s="16" t="inlineStr"/>
      <c r="O1958" s="16" t="inlineStr"/>
    </row>
    <row r="1959" ht="72" customHeight="1">
      <c r="A1959" s="16" t="inlineStr">
        <is>
          <t>TC-IE-0022</t>
        </is>
      </c>
      <c r="B1959" s="16" t="inlineStr">
        <is>
          <t>Import / Export</t>
        </is>
      </c>
      <c r="C1959" s="16" t="inlineStr">
        <is>
          <t>Round-trip</t>
        </is>
      </c>
      <c r="D1959" s="16" t="inlineStr">
        <is>
          <t>Functional</t>
        </is>
      </c>
      <c r="E1959" s="16" t="inlineStr">
        <is>
          <t>Round-trip Postman v2.1 for: OAuth2 (with token)</t>
        </is>
      </c>
      <c r="F1959" s="16" t="inlineStr">
        <is>
          <t>-</t>
        </is>
      </c>
      <c r="G1959" s="16" t="inlineStr">
        <is>
          <t>1. In source tool (or fixture), create request shape 'OAuth2 (with token)'.
2. Export from source as Postman v2.1.
3. Import into APICircle.
4. Compare resulting request to source.
5. (Optional) Export from APICircle as same format; diff.</t>
        </is>
      </c>
      <c r="H1959" s="16" t="inlineStr">
        <is>
          <t>fmt=Postman Collection v2.1 shape=OAuth2</t>
        </is>
      </c>
      <c r="I1959" s="16" t="inlineStr">
        <is>
          <t>All compatible fields of 'OAuth2 (with token)' preserved through import. Any fields the format cannot represent are clearly flagged in the import warnings, not silently dropped. Round-trip export back yields a structurally equivalent file.</t>
        </is>
      </c>
      <c r="J1959" s="16" t="inlineStr"/>
      <c r="K1959" s="16" t="inlineStr">
        <is>
          <t>Not Run</t>
        </is>
      </c>
      <c r="L1959" s="16" t="inlineStr">
        <is>
          <t>Medium</t>
        </is>
      </c>
      <c r="M1959" s="16" t="inlineStr"/>
      <c r="N1959" s="16" t="inlineStr"/>
      <c r="O1959" s="16" t="inlineStr"/>
    </row>
    <row r="1960" ht="72" customHeight="1">
      <c r="A1960" s="16" t="inlineStr">
        <is>
          <t>TC-IE-0023</t>
        </is>
      </c>
      <c r="B1960" s="16" t="inlineStr">
        <is>
          <t>Import / Export</t>
        </is>
      </c>
      <c r="C1960" s="16" t="inlineStr">
        <is>
          <t>Round-trip</t>
        </is>
      </c>
      <c r="D1960" s="16" t="inlineStr">
        <is>
          <t>Functional</t>
        </is>
      </c>
      <c r="E1960" s="16" t="inlineStr">
        <is>
          <t>Round-trip Postman v2.1 for: API key in header</t>
        </is>
      </c>
      <c r="F1960" s="16" t="inlineStr">
        <is>
          <t>-</t>
        </is>
      </c>
      <c r="G1960" s="16" t="inlineStr">
        <is>
          <t>1. In source tool (or fixture), create request shape 'API key in header'.
2. Export from source as Postman v2.1.
3. Import into APICircle.
4. Compare resulting request to source.
5. (Optional) Export from APICircle as same format; diff.</t>
        </is>
      </c>
      <c r="H1960" s="16" t="inlineStr">
        <is>
          <t>fmt=Postman Collection v2.1 shape=API key header</t>
        </is>
      </c>
      <c r="I1960" s="16" t="inlineStr">
        <is>
          <t>All compatible fields of 'API key in header' preserved through import. Any fields the format cannot represent are clearly flagged in the import warnings, not silently dropped. Round-trip export back yields a structurally equivalent file.</t>
        </is>
      </c>
      <c r="J1960" s="16" t="inlineStr"/>
      <c r="K1960" s="16" t="inlineStr">
        <is>
          <t>Not Run</t>
        </is>
      </c>
      <c r="L1960" s="16" t="inlineStr">
        <is>
          <t>Medium</t>
        </is>
      </c>
      <c r="M1960" s="16" t="inlineStr"/>
      <c r="N1960" s="16" t="inlineStr"/>
      <c r="O1960" s="16" t="inlineStr"/>
    </row>
    <row r="1961" ht="72" customHeight="1">
      <c r="A1961" s="16" t="inlineStr">
        <is>
          <t>TC-IE-0024</t>
        </is>
      </c>
      <c r="B1961" s="16" t="inlineStr">
        <is>
          <t>Import / Export</t>
        </is>
      </c>
      <c r="C1961" s="16" t="inlineStr">
        <is>
          <t>Round-trip</t>
        </is>
      </c>
      <c r="D1961" s="16" t="inlineStr">
        <is>
          <t>Functional</t>
        </is>
      </c>
      <c r="E1961" s="16" t="inlineStr">
        <is>
          <t>Round-trip Postman v2.1 for: API key in query</t>
        </is>
      </c>
      <c r="F1961" s="16" t="inlineStr">
        <is>
          <t>-</t>
        </is>
      </c>
      <c r="G1961" s="16" t="inlineStr">
        <is>
          <t>1. In source tool (or fixture), create request shape 'API key in query'.
2. Export from source as Postman v2.1.
3. Import into APICircle.
4. Compare resulting request to source.
5. (Optional) Export from APICircle as same format; diff.</t>
        </is>
      </c>
      <c r="H1961" s="16" t="inlineStr">
        <is>
          <t>fmt=Postman Collection v2.1 shape=API key query</t>
        </is>
      </c>
      <c r="I1961" s="16" t="inlineStr">
        <is>
          <t>All compatible fields of 'API key in query' preserved through import. Any fields the format cannot represent are clearly flagged in the import warnings, not silently dropped. Round-trip export back yields a structurally equivalent file.</t>
        </is>
      </c>
      <c r="J1961" s="16" t="inlineStr"/>
      <c r="K1961" s="16" t="inlineStr">
        <is>
          <t>Not Run</t>
        </is>
      </c>
      <c r="L1961" s="16" t="inlineStr">
        <is>
          <t>Medium</t>
        </is>
      </c>
      <c r="M1961" s="16" t="inlineStr"/>
      <c r="N1961" s="16" t="inlineStr"/>
      <c r="O1961" s="16" t="inlineStr"/>
    </row>
    <row r="1962" ht="72" customHeight="1">
      <c r="A1962" s="16" t="inlineStr">
        <is>
          <t>TC-IE-0025</t>
        </is>
      </c>
      <c r="B1962" s="16" t="inlineStr">
        <is>
          <t>Import / Export</t>
        </is>
      </c>
      <c r="C1962" s="16" t="inlineStr">
        <is>
          <t>Round-trip</t>
        </is>
      </c>
      <c r="D1962" s="16" t="inlineStr">
        <is>
          <t>Functional</t>
        </is>
      </c>
      <c r="E1962" s="16" t="inlineStr">
        <is>
          <t>Round-trip Postman v2.1 for: Custom headers</t>
        </is>
      </c>
      <c r="F1962" s="16" t="inlineStr">
        <is>
          <t>-</t>
        </is>
      </c>
      <c r="G1962" s="16" t="inlineStr">
        <is>
          <t>1. In source tool (or fixture), create request shape 'Custom headers'.
2. Export from source as Postman v2.1.
3. Import into APICircle.
4. Compare resulting request to source.
5. (Optional) Export from APICircle as same format; diff.</t>
        </is>
      </c>
      <c r="H1962" s="16" t="inlineStr">
        <is>
          <t>fmt=Postman Collection v2.1 shape=Custom headers</t>
        </is>
      </c>
      <c r="I1962" s="16" t="inlineStr">
        <is>
          <t>All compatible fields of 'Custom headers' preserved through import. Any fields the format cannot represent are clearly flagged in the import warnings, not silently dropped. Round-trip export back yields a structurally equivalent file.</t>
        </is>
      </c>
      <c r="J1962" s="16" t="inlineStr"/>
      <c r="K1962" s="16" t="inlineStr">
        <is>
          <t>Not Run</t>
        </is>
      </c>
      <c r="L1962" s="16" t="inlineStr">
        <is>
          <t>Medium</t>
        </is>
      </c>
      <c r="M1962" s="16" t="inlineStr"/>
      <c r="N1962" s="16" t="inlineStr"/>
      <c r="O1962" s="16" t="inlineStr"/>
    </row>
    <row r="1963" ht="72" customHeight="1">
      <c r="A1963" s="16" t="inlineStr">
        <is>
          <t>TC-IE-0026</t>
        </is>
      </c>
      <c r="B1963" s="16" t="inlineStr">
        <is>
          <t>Import / Export</t>
        </is>
      </c>
      <c r="C1963" s="16" t="inlineStr">
        <is>
          <t>Round-trip</t>
        </is>
      </c>
      <c r="D1963" s="16" t="inlineStr">
        <is>
          <t>Functional</t>
        </is>
      </c>
      <c r="E1963" s="16" t="inlineStr">
        <is>
          <t>Round-trip Postman v2.1 for: Path params (:id)</t>
        </is>
      </c>
      <c r="F1963" s="16" t="inlineStr">
        <is>
          <t>-</t>
        </is>
      </c>
      <c r="G1963" s="16" t="inlineStr">
        <is>
          <t>1. In source tool (or fixture), create request shape 'Path params (:id)'.
2. Export from source as Postman v2.1.
3. Import into APICircle.
4. Compare resulting request to source.
5. (Optional) Export from APICircle as same format; diff.</t>
        </is>
      </c>
      <c r="H1963" s="16" t="inlineStr">
        <is>
          <t>fmt=Postman Collection v2.1 shape=Path params</t>
        </is>
      </c>
      <c r="I1963" s="16" t="inlineStr">
        <is>
          <t>All compatible fields of 'Path params (:id)' preserved through import. Any fields the format cannot represent are clearly flagged in the import warnings, not silently dropped. Round-trip export back yields a structurally equivalent file.</t>
        </is>
      </c>
      <c r="J1963" s="16" t="inlineStr"/>
      <c r="K1963" s="16" t="inlineStr">
        <is>
          <t>Not Run</t>
        </is>
      </c>
      <c r="L1963" s="16" t="inlineStr">
        <is>
          <t>Medium</t>
        </is>
      </c>
      <c r="M1963" s="16" t="inlineStr"/>
      <c r="N1963" s="16" t="inlineStr"/>
      <c r="O1963" s="16" t="inlineStr"/>
    </row>
    <row r="1964" ht="72" customHeight="1">
      <c r="A1964" s="16" t="inlineStr">
        <is>
          <t>TC-IE-0027</t>
        </is>
      </c>
      <c r="B1964" s="16" t="inlineStr">
        <is>
          <t>Import / Export</t>
        </is>
      </c>
      <c r="C1964" s="16" t="inlineStr">
        <is>
          <t>Round-trip</t>
        </is>
      </c>
      <c r="D1964" s="16" t="inlineStr">
        <is>
          <t>Functional</t>
        </is>
      </c>
      <c r="E1964" s="16" t="inlineStr">
        <is>
          <t>Round-trip Postman v2.1 for: Query params</t>
        </is>
      </c>
      <c r="F1964" s="16" t="inlineStr">
        <is>
          <t>-</t>
        </is>
      </c>
      <c r="G1964" s="16" t="inlineStr">
        <is>
          <t>1. In source tool (or fixture), create request shape 'Query params'.
2. Export from source as Postman v2.1.
3. Import into APICircle.
4. Compare resulting request to source.
5. (Optional) Export from APICircle as same format; diff.</t>
        </is>
      </c>
      <c r="H1964" s="16" t="inlineStr">
        <is>
          <t>fmt=Postman Collection v2.1 shape=Query params</t>
        </is>
      </c>
      <c r="I1964" s="16" t="inlineStr">
        <is>
          <t>All compatible fields of 'Query params' preserved through import. Any fields the format cannot represent are clearly flagged in the import warnings, not silently dropped. Round-trip export back yields a structurally equivalent file.</t>
        </is>
      </c>
      <c r="J1964" s="16" t="inlineStr"/>
      <c r="K1964" s="16" t="inlineStr">
        <is>
          <t>Not Run</t>
        </is>
      </c>
      <c r="L1964" s="16" t="inlineStr">
        <is>
          <t>Medium</t>
        </is>
      </c>
      <c r="M1964" s="16" t="inlineStr"/>
      <c r="N1964" s="16" t="inlineStr"/>
      <c r="O1964" s="16" t="inlineStr"/>
    </row>
    <row r="1965" ht="72" customHeight="1">
      <c r="A1965" s="16" t="inlineStr">
        <is>
          <t>TC-IE-0028</t>
        </is>
      </c>
      <c r="B1965" s="16" t="inlineStr">
        <is>
          <t>Import / Export</t>
        </is>
      </c>
      <c r="C1965" s="16" t="inlineStr">
        <is>
          <t>Round-trip</t>
        </is>
      </c>
      <c r="D1965" s="16" t="inlineStr">
        <is>
          <t>Functional</t>
        </is>
      </c>
      <c r="E1965" s="16" t="inlineStr">
        <is>
          <t>Round-trip Postman v2.1 for: Variables in URL/body</t>
        </is>
      </c>
      <c r="F1965" s="16" t="inlineStr">
        <is>
          <t>-</t>
        </is>
      </c>
      <c r="G1965" s="16" t="inlineStr">
        <is>
          <t>1. In source tool (or fixture), create request shape 'Variables in URL/body'.
2. Export from source as Postman v2.1.
3. Import into APICircle.
4. Compare resulting request to source.
5. (Optional) Export from APICircle as same format; diff.</t>
        </is>
      </c>
      <c r="H1965" s="16" t="inlineStr">
        <is>
          <t>fmt=Postman Collection v2.1 shape=Variables</t>
        </is>
      </c>
      <c r="I1965" s="16" t="inlineStr">
        <is>
          <t>All compatible fields of 'Variables in URL/body' preserved through import. Any fields the format cannot represent are clearly flagged in the import warnings, not silently dropped. Round-trip export back yields a structurally equivalent file.</t>
        </is>
      </c>
      <c r="J1965" s="16" t="inlineStr"/>
      <c r="K1965" s="16" t="inlineStr">
        <is>
          <t>Not Run</t>
        </is>
      </c>
      <c r="L1965" s="16" t="inlineStr">
        <is>
          <t>Medium</t>
        </is>
      </c>
      <c r="M1965" s="16" t="inlineStr"/>
      <c r="N1965" s="16" t="inlineStr"/>
      <c r="O1965" s="16" t="inlineStr"/>
    </row>
    <row r="1966" ht="72" customHeight="1">
      <c r="A1966" s="16" t="inlineStr">
        <is>
          <t>TC-IE-0029</t>
        </is>
      </c>
      <c r="B1966" s="16" t="inlineStr">
        <is>
          <t>Import / Export</t>
        </is>
      </c>
      <c r="C1966" s="16" t="inlineStr">
        <is>
          <t>Round-trip</t>
        </is>
      </c>
      <c r="D1966" s="16" t="inlineStr">
        <is>
          <t>Functional</t>
        </is>
      </c>
      <c r="E1966" s="16" t="inlineStr">
        <is>
          <t>Round-trip Postman v2.1 for: Pre-request script</t>
        </is>
      </c>
      <c r="F1966" s="16" t="inlineStr">
        <is>
          <t>-</t>
        </is>
      </c>
      <c r="G1966" s="16" t="inlineStr">
        <is>
          <t>1. In source tool (or fixture), create request shape 'Pre-request script'.
2. Export from source as Postman v2.1.
3. Import into APICircle.
4. Compare resulting request to source.
5. (Optional) Export from APICircle as same format; diff.</t>
        </is>
      </c>
      <c r="H1966" s="16" t="inlineStr">
        <is>
          <t>fmt=Postman Collection v2.1 shape=Pre-script</t>
        </is>
      </c>
      <c r="I1966" s="16" t="inlineStr">
        <is>
          <t>All compatible fields of 'Pre-request script' preserved through import. Any fields the format cannot represent are clearly flagged in the import warnings, not silently dropped. Round-trip export back yields a structurally equivalent file.</t>
        </is>
      </c>
      <c r="J1966" s="16" t="inlineStr"/>
      <c r="K1966" s="16" t="inlineStr">
        <is>
          <t>Not Run</t>
        </is>
      </c>
      <c r="L1966" s="16" t="inlineStr">
        <is>
          <t>Medium</t>
        </is>
      </c>
      <c r="M1966" s="16" t="inlineStr"/>
      <c r="N1966" s="16" t="inlineStr"/>
      <c r="O1966" s="16" t="inlineStr"/>
    </row>
    <row r="1967" ht="72" customHeight="1">
      <c r="A1967" s="16" t="inlineStr">
        <is>
          <t>TC-IE-0030</t>
        </is>
      </c>
      <c r="B1967" s="16" t="inlineStr">
        <is>
          <t>Import / Export</t>
        </is>
      </c>
      <c r="C1967" s="16" t="inlineStr">
        <is>
          <t>Round-trip</t>
        </is>
      </c>
      <c r="D1967" s="16" t="inlineStr">
        <is>
          <t>Functional</t>
        </is>
      </c>
      <c r="E1967" s="16" t="inlineStr">
        <is>
          <t>Round-trip Postman v2.1 for: Tests / assertions</t>
        </is>
      </c>
      <c r="F1967" s="16" t="inlineStr">
        <is>
          <t>-</t>
        </is>
      </c>
      <c r="G1967" s="16" t="inlineStr">
        <is>
          <t>1. In source tool (or fixture), create request shape 'Tests / assertions'.
2. Export from source as Postman v2.1.
3. Import into APICircle.
4. Compare resulting request to source.
5. (Optional) Export from APICircle as same format; diff.</t>
        </is>
      </c>
      <c r="H1967" s="16" t="inlineStr">
        <is>
          <t>fmt=Postman Collection v2.1 shape=Tests</t>
        </is>
      </c>
      <c r="I1967" s="16" t="inlineStr">
        <is>
          <t>All compatible fields of 'Tests / assertions' preserved through import. Any fields the format cannot represent are clearly flagged in the import warnings, not silently dropped. Round-trip export back yields a structurally equivalent file.</t>
        </is>
      </c>
      <c r="J1967" s="16" t="inlineStr"/>
      <c r="K1967" s="16" t="inlineStr">
        <is>
          <t>Not Run</t>
        </is>
      </c>
      <c r="L1967" s="16" t="inlineStr">
        <is>
          <t>Medium</t>
        </is>
      </c>
      <c r="M1967" s="16" t="inlineStr"/>
      <c r="N1967" s="16" t="inlineStr"/>
      <c r="O1967" s="16" t="inlineStr"/>
    </row>
    <row r="1968" ht="72" customHeight="1">
      <c r="A1968" s="16" t="inlineStr">
        <is>
          <t>TC-IE-0031</t>
        </is>
      </c>
      <c r="B1968" s="16" t="inlineStr">
        <is>
          <t>Import / Export</t>
        </is>
      </c>
      <c r="C1968" s="16" t="inlineStr">
        <is>
          <t>Round-trip</t>
        </is>
      </c>
      <c r="D1968" s="16" t="inlineStr">
        <is>
          <t>Functional</t>
        </is>
      </c>
      <c r="E1968" s="16" t="inlineStr">
        <is>
          <t>Round-trip Insomnia for: GET no body</t>
        </is>
      </c>
      <c r="F1968" s="16" t="inlineStr">
        <is>
          <t>-</t>
        </is>
      </c>
      <c r="G1968" s="16" t="inlineStr">
        <is>
          <t>1. In source tool (or fixture), create request shape 'GET no body'.
2. Export from source as Insomnia.
3. Import into APICircle.
4. Compare resulting request to source.
5. (Optional) Export from APICircle as same format; diff.</t>
        </is>
      </c>
      <c r="H1968" s="16" t="inlineStr">
        <is>
          <t>fmt=Insomnia export shape=Simple GET</t>
        </is>
      </c>
      <c r="I1968" s="16" t="inlineStr">
        <is>
          <t>All compatible fields of 'GET no body' preserved through import. Any fields the format cannot represent are clearly flagged in the import warnings, not silently dropped. Round-trip export back yields a structurally equivalent file.</t>
        </is>
      </c>
      <c r="J1968" s="16" t="inlineStr"/>
      <c r="K1968" s="16" t="inlineStr">
        <is>
          <t>Not Run</t>
        </is>
      </c>
      <c r="L1968" s="16" t="inlineStr">
        <is>
          <t>Medium</t>
        </is>
      </c>
      <c r="M1968" s="16" t="inlineStr"/>
      <c r="N1968" s="16" t="inlineStr"/>
      <c r="O1968" s="16" t="inlineStr"/>
    </row>
    <row r="1969" ht="72" customHeight="1">
      <c r="A1969" s="16" t="inlineStr">
        <is>
          <t>TC-IE-0032</t>
        </is>
      </c>
      <c r="B1969" s="16" t="inlineStr">
        <is>
          <t>Import / Export</t>
        </is>
      </c>
      <c r="C1969" s="16" t="inlineStr">
        <is>
          <t>Round-trip</t>
        </is>
      </c>
      <c r="D1969" s="16" t="inlineStr">
        <is>
          <t>Functional</t>
        </is>
      </c>
      <c r="E1969" s="16" t="inlineStr">
        <is>
          <t>Round-trip Insomnia for: POST with JSON body</t>
        </is>
      </c>
      <c r="F1969" s="16" t="inlineStr">
        <is>
          <t>-</t>
        </is>
      </c>
      <c r="G1969" s="16" t="inlineStr">
        <is>
          <t>1. In source tool (or fixture), create request shape 'POST with JSON body'.
2. Export from source as Insomnia.
3. Import into APICircle.
4. Compare resulting request to source.
5. (Optional) Export from APICircle as same format; diff.</t>
        </is>
      </c>
      <c r="H1969" s="16" t="inlineStr">
        <is>
          <t>fmt=Insomnia export shape=POST JSON</t>
        </is>
      </c>
      <c r="I1969" s="16" t="inlineStr">
        <is>
          <t>All compatible fields of 'POST with JSON body' preserved through import. Any fields the format cannot represent are clearly flagged in the import warnings, not silently dropped. Round-trip export back yields a structurally equivalent file.</t>
        </is>
      </c>
      <c r="J1969" s="16" t="inlineStr"/>
      <c r="K1969" s="16" t="inlineStr">
        <is>
          <t>Not Run</t>
        </is>
      </c>
      <c r="L1969" s="16" t="inlineStr">
        <is>
          <t>Medium</t>
        </is>
      </c>
      <c r="M1969" s="16" t="inlineStr"/>
      <c r="N1969" s="16" t="inlineStr"/>
      <c r="O1969" s="16" t="inlineStr"/>
    </row>
    <row r="1970" ht="72" customHeight="1">
      <c r="A1970" s="16" t="inlineStr">
        <is>
          <t>TC-IE-0033</t>
        </is>
      </c>
      <c r="B1970" s="16" t="inlineStr">
        <is>
          <t>Import / Export</t>
        </is>
      </c>
      <c r="C1970" s="16" t="inlineStr">
        <is>
          <t>Round-trip</t>
        </is>
      </c>
      <c r="D1970" s="16" t="inlineStr">
        <is>
          <t>Functional</t>
        </is>
      </c>
      <c r="E1970" s="16" t="inlineStr">
        <is>
          <t>Round-trip Insomnia for: POST with form-data</t>
        </is>
      </c>
      <c r="F1970" s="16" t="inlineStr">
        <is>
          <t>-</t>
        </is>
      </c>
      <c r="G1970" s="16" t="inlineStr">
        <is>
          <t>1. In source tool (or fixture), create request shape 'POST with form-data'.
2. Export from source as Insomnia.
3. Import into APICircle.
4. Compare resulting request to source.
5. (Optional) Export from APICircle as same format; diff.</t>
        </is>
      </c>
      <c r="H1970" s="16" t="inlineStr">
        <is>
          <t>fmt=Insomnia export shape=POST form-data</t>
        </is>
      </c>
      <c r="I1970" s="16" t="inlineStr">
        <is>
          <t>All compatible fields of 'POST with form-data' preserved through import. Any fields the format cannot represent are clearly flagged in the import warnings, not silently dropped. Round-trip export back yields a structurally equivalent file.</t>
        </is>
      </c>
      <c r="J1970" s="16" t="inlineStr"/>
      <c r="K1970" s="16" t="inlineStr">
        <is>
          <t>Not Run</t>
        </is>
      </c>
      <c r="L1970" s="16" t="inlineStr">
        <is>
          <t>Medium</t>
        </is>
      </c>
      <c r="M1970" s="16" t="inlineStr"/>
      <c r="N1970" s="16" t="inlineStr"/>
      <c r="O1970" s="16" t="inlineStr"/>
    </row>
    <row r="1971" ht="72" customHeight="1">
      <c r="A1971" s="16" t="inlineStr">
        <is>
          <t>TC-IE-0034</t>
        </is>
      </c>
      <c r="B1971" s="16" t="inlineStr">
        <is>
          <t>Import / Export</t>
        </is>
      </c>
      <c r="C1971" s="16" t="inlineStr">
        <is>
          <t>Round-trip</t>
        </is>
      </c>
      <c r="D1971" s="16" t="inlineStr">
        <is>
          <t>Functional</t>
        </is>
      </c>
      <c r="E1971" s="16" t="inlineStr">
        <is>
          <t>Round-trip Insomnia for: POST with file upload</t>
        </is>
      </c>
      <c r="F1971" s="16" t="inlineStr">
        <is>
          <t>-</t>
        </is>
      </c>
      <c r="G1971" s="16" t="inlineStr">
        <is>
          <t>1. In source tool (or fixture), create request shape 'POST with file upload'.
2. Export from source as Insomnia.
3. Import into APICircle.
4. Compare resulting request to source.
5. (Optional) Export from APICircle as same format; diff.</t>
        </is>
      </c>
      <c r="H1971" s="16" t="inlineStr">
        <is>
          <t>fmt=Insomnia export shape=POST file</t>
        </is>
      </c>
      <c r="I1971" s="16" t="inlineStr">
        <is>
          <t>All compatible fields of 'POST with file upload' preserved through import. Any fields the format cannot represent are clearly flagged in the import warnings, not silently dropped. Round-trip export back yields a structurally equivalent file.</t>
        </is>
      </c>
      <c r="J1971" s="16" t="inlineStr"/>
      <c r="K1971" s="16" t="inlineStr">
        <is>
          <t>Not Run</t>
        </is>
      </c>
      <c r="L1971" s="16" t="inlineStr">
        <is>
          <t>Medium</t>
        </is>
      </c>
      <c r="M1971" s="16" t="inlineStr"/>
      <c r="N1971" s="16" t="inlineStr"/>
      <c r="O1971" s="16" t="inlineStr"/>
    </row>
    <row r="1972" ht="72" customHeight="1">
      <c r="A1972" s="16" t="inlineStr">
        <is>
          <t>TC-IE-0035</t>
        </is>
      </c>
      <c r="B1972" s="16" t="inlineStr">
        <is>
          <t>Import / Export</t>
        </is>
      </c>
      <c r="C1972" s="16" t="inlineStr">
        <is>
          <t>Round-trip</t>
        </is>
      </c>
      <c r="D1972" s="16" t="inlineStr">
        <is>
          <t>Functional</t>
        </is>
      </c>
      <c r="E1972" s="16" t="inlineStr">
        <is>
          <t>Round-trip Insomnia for: GraphQL query</t>
        </is>
      </c>
      <c r="F1972" s="16" t="inlineStr">
        <is>
          <t>-</t>
        </is>
      </c>
      <c r="G1972" s="16" t="inlineStr">
        <is>
          <t>1. In source tool (or fixture), create request shape 'GraphQL query'.
2. Export from source as Insomnia.
3. Import into APICircle.
4. Compare resulting request to source.
5. (Optional) Export from APICircle as same format; diff.</t>
        </is>
      </c>
      <c r="H1972" s="16" t="inlineStr">
        <is>
          <t>fmt=Insomnia export shape=GraphQL POST</t>
        </is>
      </c>
      <c r="I1972" s="16" t="inlineStr">
        <is>
          <t>All compatible fields of 'GraphQL query' preserved through import. Any fields the format cannot represent are clearly flagged in the import warnings, not silently dropped. Round-trip export back yields a structurally equivalent file.</t>
        </is>
      </c>
      <c r="J1972" s="16" t="inlineStr"/>
      <c r="K1972" s="16" t="inlineStr">
        <is>
          <t>Not Run</t>
        </is>
      </c>
      <c r="L1972" s="16" t="inlineStr">
        <is>
          <t>Medium</t>
        </is>
      </c>
      <c r="M1972" s="16" t="inlineStr"/>
      <c r="N1972" s="16" t="inlineStr"/>
      <c r="O1972" s="16" t="inlineStr"/>
    </row>
    <row r="1973" ht="72" customHeight="1">
      <c r="A1973" s="16" t="inlineStr">
        <is>
          <t>TC-IE-0036</t>
        </is>
      </c>
      <c r="B1973" s="16" t="inlineStr">
        <is>
          <t>Import / Export</t>
        </is>
      </c>
      <c r="C1973" s="16" t="inlineStr">
        <is>
          <t>Round-trip</t>
        </is>
      </c>
      <c r="D1973" s="16" t="inlineStr">
        <is>
          <t>Functional</t>
        </is>
      </c>
      <c r="E1973" s="16" t="inlineStr">
        <is>
          <t>Round-trip Insomnia for: Bearer auth</t>
        </is>
      </c>
      <c r="F1973" s="16" t="inlineStr">
        <is>
          <t>-</t>
        </is>
      </c>
      <c r="G1973" s="16" t="inlineStr">
        <is>
          <t>1. In source tool (or fixture), create request shape 'Bearer auth'.
2. Export from source as Insomnia.
3. Import into APICircle.
4. Compare resulting request to source.
5. (Optional) Export from APICircle as same format; diff.</t>
        </is>
      </c>
      <c r="H1973" s="16" t="inlineStr">
        <is>
          <t>fmt=Insomnia export shape=Bearer</t>
        </is>
      </c>
      <c r="I1973" s="16" t="inlineStr">
        <is>
          <t>All compatible fields of 'Bearer auth' preserved through import. Any fields the format cannot represent are clearly flagged in the import warnings, not silently dropped. Round-trip export back yields a structurally equivalent file.</t>
        </is>
      </c>
      <c r="J1973" s="16" t="inlineStr"/>
      <c r="K1973" s="16" t="inlineStr">
        <is>
          <t>Not Run</t>
        </is>
      </c>
      <c r="L1973" s="16" t="inlineStr">
        <is>
          <t>Medium</t>
        </is>
      </c>
      <c r="M1973" s="16" t="inlineStr"/>
      <c r="N1973" s="16" t="inlineStr"/>
      <c r="O1973" s="16" t="inlineStr"/>
    </row>
    <row r="1974" ht="72" customHeight="1">
      <c r="A1974" s="16" t="inlineStr">
        <is>
          <t>TC-IE-0037</t>
        </is>
      </c>
      <c r="B1974" s="16" t="inlineStr">
        <is>
          <t>Import / Export</t>
        </is>
      </c>
      <c r="C1974" s="16" t="inlineStr">
        <is>
          <t>Round-trip</t>
        </is>
      </c>
      <c r="D1974" s="16" t="inlineStr">
        <is>
          <t>Functional</t>
        </is>
      </c>
      <c r="E1974" s="16" t="inlineStr">
        <is>
          <t>Round-trip Insomnia for: Basic auth</t>
        </is>
      </c>
      <c r="F1974" s="16" t="inlineStr">
        <is>
          <t>-</t>
        </is>
      </c>
      <c r="G1974" s="16" t="inlineStr">
        <is>
          <t>1. In source tool (or fixture), create request shape 'Basic auth'.
2. Export from source as Insomnia.
3. Import into APICircle.
4. Compare resulting request to source.
5. (Optional) Export from APICircle as same format; diff.</t>
        </is>
      </c>
      <c r="H1974" s="16" t="inlineStr">
        <is>
          <t>fmt=Insomnia export shape=Basic</t>
        </is>
      </c>
      <c r="I1974" s="16" t="inlineStr">
        <is>
          <t>All compatible fields of 'Basic auth' preserved through import. Any fields the format cannot represent are clearly flagged in the import warnings, not silently dropped. Round-trip export back yields a structurally equivalent file.</t>
        </is>
      </c>
      <c r="J1974" s="16" t="inlineStr"/>
      <c r="K1974" s="16" t="inlineStr">
        <is>
          <t>Not Run</t>
        </is>
      </c>
      <c r="L1974" s="16" t="inlineStr">
        <is>
          <t>Medium</t>
        </is>
      </c>
      <c r="M1974" s="16" t="inlineStr"/>
      <c r="N1974" s="16" t="inlineStr"/>
      <c r="O1974" s="16" t="inlineStr"/>
    </row>
    <row r="1975" ht="72" customHeight="1">
      <c r="A1975" s="16" t="inlineStr">
        <is>
          <t>TC-IE-0038</t>
        </is>
      </c>
      <c r="B1975" s="16" t="inlineStr">
        <is>
          <t>Import / Export</t>
        </is>
      </c>
      <c r="C1975" s="16" t="inlineStr">
        <is>
          <t>Round-trip</t>
        </is>
      </c>
      <c r="D1975" s="16" t="inlineStr">
        <is>
          <t>Functional</t>
        </is>
      </c>
      <c r="E1975" s="16" t="inlineStr">
        <is>
          <t>Round-trip Insomnia for: OAuth2 (with token)</t>
        </is>
      </c>
      <c r="F1975" s="16" t="inlineStr">
        <is>
          <t>-</t>
        </is>
      </c>
      <c r="G1975" s="16" t="inlineStr">
        <is>
          <t>1. In source tool (or fixture), create request shape 'OAuth2 (with token)'.
2. Export from source as Insomnia.
3. Import into APICircle.
4. Compare resulting request to source.
5. (Optional) Export from APICircle as same format; diff.</t>
        </is>
      </c>
      <c r="H1975" s="16" t="inlineStr">
        <is>
          <t>fmt=Insomnia export shape=OAuth2</t>
        </is>
      </c>
      <c r="I1975" s="16" t="inlineStr">
        <is>
          <t>All compatible fields of 'OAuth2 (with token)' preserved through import. Any fields the format cannot represent are clearly flagged in the import warnings, not silently dropped. Round-trip export back yields a structurally equivalent file.</t>
        </is>
      </c>
      <c r="J1975" s="16" t="inlineStr"/>
      <c r="K1975" s="16" t="inlineStr">
        <is>
          <t>Not Run</t>
        </is>
      </c>
      <c r="L1975" s="16" t="inlineStr">
        <is>
          <t>Medium</t>
        </is>
      </c>
      <c r="M1975" s="16" t="inlineStr"/>
      <c r="N1975" s="16" t="inlineStr"/>
      <c r="O1975" s="16" t="inlineStr"/>
    </row>
    <row r="1976" ht="72" customHeight="1">
      <c r="A1976" s="16" t="inlineStr">
        <is>
          <t>TC-IE-0039</t>
        </is>
      </c>
      <c r="B1976" s="16" t="inlineStr">
        <is>
          <t>Import / Export</t>
        </is>
      </c>
      <c r="C1976" s="16" t="inlineStr">
        <is>
          <t>Round-trip</t>
        </is>
      </c>
      <c r="D1976" s="16" t="inlineStr">
        <is>
          <t>Functional</t>
        </is>
      </c>
      <c r="E1976" s="16" t="inlineStr">
        <is>
          <t>Round-trip Insomnia for: API key in header</t>
        </is>
      </c>
      <c r="F1976" s="16" t="inlineStr">
        <is>
          <t>-</t>
        </is>
      </c>
      <c r="G1976" s="16" t="inlineStr">
        <is>
          <t>1. In source tool (or fixture), create request shape 'API key in header'.
2. Export from source as Insomnia.
3. Import into APICircle.
4. Compare resulting request to source.
5. (Optional) Export from APICircle as same format; diff.</t>
        </is>
      </c>
      <c r="H1976" s="16" t="inlineStr">
        <is>
          <t>fmt=Insomnia export shape=API key header</t>
        </is>
      </c>
      <c r="I1976" s="16" t="inlineStr">
        <is>
          <t>All compatible fields of 'API key in header' preserved through import. Any fields the format cannot represent are clearly flagged in the import warnings, not silently dropped. Round-trip export back yields a structurally equivalent file.</t>
        </is>
      </c>
      <c r="J1976" s="16" t="inlineStr"/>
      <c r="K1976" s="16" t="inlineStr">
        <is>
          <t>Not Run</t>
        </is>
      </c>
      <c r="L1976" s="16" t="inlineStr">
        <is>
          <t>Medium</t>
        </is>
      </c>
      <c r="M1976" s="16" t="inlineStr"/>
      <c r="N1976" s="16" t="inlineStr"/>
      <c r="O1976" s="16" t="inlineStr"/>
    </row>
    <row r="1977" ht="72" customHeight="1">
      <c r="A1977" s="16" t="inlineStr">
        <is>
          <t>TC-IE-0040</t>
        </is>
      </c>
      <c r="B1977" s="16" t="inlineStr">
        <is>
          <t>Import / Export</t>
        </is>
      </c>
      <c r="C1977" s="16" t="inlineStr">
        <is>
          <t>Round-trip</t>
        </is>
      </c>
      <c r="D1977" s="16" t="inlineStr">
        <is>
          <t>Functional</t>
        </is>
      </c>
      <c r="E1977" s="16" t="inlineStr">
        <is>
          <t>Round-trip Insomnia for: API key in query</t>
        </is>
      </c>
      <c r="F1977" s="16" t="inlineStr">
        <is>
          <t>-</t>
        </is>
      </c>
      <c r="G1977" s="16" t="inlineStr">
        <is>
          <t>1. In source tool (or fixture), create request shape 'API key in query'.
2. Export from source as Insomnia.
3. Import into APICircle.
4. Compare resulting request to source.
5. (Optional) Export from APICircle as same format; diff.</t>
        </is>
      </c>
      <c r="H1977" s="16" t="inlineStr">
        <is>
          <t>fmt=Insomnia export shape=API key query</t>
        </is>
      </c>
      <c r="I1977" s="16" t="inlineStr">
        <is>
          <t>All compatible fields of 'API key in query' preserved through import. Any fields the format cannot represent are clearly flagged in the import warnings, not silently dropped. Round-trip export back yields a structurally equivalent file.</t>
        </is>
      </c>
      <c r="J1977" s="16" t="inlineStr"/>
      <c r="K1977" s="16" t="inlineStr">
        <is>
          <t>Not Run</t>
        </is>
      </c>
      <c r="L1977" s="16" t="inlineStr">
        <is>
          <t>Medium</t>
        </is>
      </c>
      <c r="M1977" s="16" t="inlineStr"/>
      <c r="N1977" s="16" t="inlineStr"/>
      <c r="O1977" s="16" t="inlineStr"/>
    </row>
    <row r="1978" ht="72" customHeight="1">
      <c r="A1978" s="16" t="inlineStr">
        <is>
          <t>TC-IE-0041</t>
        </is>
      </c>
      <c r="B1978" s="16" t="inlineStr">
        <is>
          <t>Import / Export</t>
        </is>
      </c>
      <c r="C1978" s="16" t="inlineStr">
        <is>
          <t>Round-trip</t>
        </is>
      </c>
      <c r="D1978" s="16" t="inlineStr">
        <is>
          <t>Functional</t>
        </is>
      </c>
      <c r="E1978" s="16" t="inlineStr">
        <is>
          <t>Round-trip Insomnia for: Custom headers</t>
        </is>
      </c>
      <c r="F1978" s="16" t="inlineStr">
        <is>
          <t>-</t>
        </is>
      </c>
      <c r="G1978" s="16" t="inlineStr">
        <is>
          <t>1. In source tool (or fixture), create request shape 'Custom headers'.
2. Export from source as Insomnia.
3. Import into APICircle.
4. Compare resulting request to source.
5. (Optional) Export from APICircle as same format; diff.</t>
        </is>
      </c>
      <c r="H1978" s="16" t="inlineStr">
        <is>
          <t>fmt=Insomnia export shape=Custom headers</t>
        </is>
      </c>
      <c r="I1978" s="16" t="inlineStr">
        <is>
          <t>All compatible fields of 'Custom headers' preserved through import. Any fields the format cannot represent are clearly flagged in the import warnings, not silently dropped. Round-trip export back yields a structurally equivalent file.</t>
        </is>
      </c>
      <c r="J1978" s="16" t="inlineStr"/>
      <c r="K1978" s="16" t="inlineStr">
        <is>
          <t>Not Run</t>
        </is>
      </c>
      <c r="L1978" s="16" t="inlineStr">
        <is>
          <t>Medium</t>
        </is>
      </c>
      <c r="M1978" s="16" t="inlineStr"/>
      <c r="N1978" s="16" t="inlineStr"/>
      <c r="O1978" s="16" t="inlineStr"/>
    </row>
    <row r="1979" ht="72" customHeight="1">
      <c r="A1979" s="16" t="inlineStr">
        <is>
          <t>TC-IE-0042</t>
        </is>
      </c>
      <c r="B1979" s="16" t="inlineStr">
        <is>
          <t>Import / Export</t>
        </is>
      </c>
      <c r="C1979" s="16" t="inlineStr">
        <is>
          <t>Round-trip</t>
        </is>
      </c>
      <c r="D1979" s="16" t="inlineStr">
        <is>
          <t>Functional</t>
        </is>
      </c>
      <c r="E1979" s="16" t="inlineStr">
        <is>
          <t>Round-trip Insomnia for: Path params (:id)</t>
        </is>
      </c>
      <c r="F1979" s="16" t="inlineStr">
        <is>
          <t>-</t>
        </is>
      </c>
      <c r="G1979" s="16" t="inlineStr">
        <is>
          <t>1. In source tool (or fixture), create request shape 'Path params (:id)'.
2. Export from source as Insomnia.
3. Import into APICircle.
4. Compare resulting request to source.
5. (Optional) Export from APICircle as same format; diff.</t>
        </is>
      </c>
      <c r="H1979" s="16" t="inlineStr">
        <is>
          <t>fmt=Insomnia export shape=Path params</t>
        </is>
      </c>
      <c r="I1979" s="16" t="inlineStr">
        <is>
          <t>All compatible fields of 'Path params (:id)' preserved through import. Any fields the format cannot represent are clearly flagged in the import warnings, not silently dropped. Round-trip export back yields a structurally equivalent file.</t>
        </is>
      </c>
      <c r="J1979" s="16" t="inlineStr"/>
      <c r="K1979" s="16" t="inlineStr">
        <is>
          <t>Not Run</t>
        </is>
      </c>
      <c r="L1979" s="16" t="inlineStr">
        <is>
          <t>Medium</t>
        </is>
      </c>
      <c r="M1979" s="16" t="inlineStr"/>
      <c r="N1979" s="16" t="inlineStr"/>
      <c r="O1979" s="16" t="inlineStr"/>
    </row>
    <row r="1980" ht="72" customHeight="1">
      <c r="A1980" s="16" t="inlineStr">
        <is>
          <t>TC-IE-0043</t>
        </is>
      </c>
      <c r="B1980" s="16" t="inlineStr">
        <is>
          <t>Import / Export</t>
        </is>
      </c>
      <c r="C1980" s="16" t="inlineStr">
        <is>
          <t>Round-trip</t>
        </is>
      </c>
      <c r="D1980" s="16" t="inlineStr">
        <is>
          <t>Functional</t>
        </is>
      </c>
      <c r="E1980" s="16" t="inlineStr">
        <is>
          <t>Round-trip Insomnia for: Query params</t>
        </is>
      </c>
      <c r="F1980" s="16" t="inlineStr">
        <is>
          <t>-</t>
        </is>
      </c>
      <c r="G1980" s="16" t="inlineStr">
        <is>
          <t>1. In source tool (or fixture), create request shape 'Query params'.
2. Export from source as Insomnia.
3. Import into APICircle.
4. Compare resulting request to source.
5. (Optional) Export from APICircle as same format; diff.</t>
        </is>
      </c>
      <c r="H1980" s="16" t="inlineStr">
        <is>
          <t>fmt=Insomnia export shape=Query params</t>
        </is>
      </c>
      <c r="I1980" s="16" t="inlineStr">
        <is>
          <t>All compatible fields of 'Query params' preserved through import. Any fields the format cannot represent are clearly flagged in the import warnings, not silently dropped. Round-trip export back yields a structurally equivalent file.</t>
        </is>
      </c>
      <c r="J1980" s="16" t="inlineStr"/>
      <c r="K1980" s="16" t="inlineStr">
        <is>
          <t>Not Run</t>
        </is>
      </c>
      <c r="L1980" s="16" t="inlineStr">
        <is>
          <t>Medium</t>
        </is>
      </c>
      <c r="M1980" s="16" t="inlineStr"/>
      <c r="N1980" s="16" t="inlineStr"/>
      <c r="O1980" s="16" t="inlineStr"/>
    </row>
    <row r="1981" ht="72" customHeight="1">
      <c r="A1981" s="16" t="inlineStr">
        <is>
          <t>TC-IE-0044</t>
        </is>
      </c>
      <c r="B1981" s="16" t="inlineStr">
        <is>
          <t>Import / Export</t>
        </is>
      </c>
      <c r="C1981" s="16" t="inlineStr">
        <is>
          <t>Round-trip</t>
        </is>
      </c>
      <c r="D1981" s="16" t="inlineStr">
        <is>
          <t>Functional</t>
        </is>
      </c>
      <c r="E1981" s="16" t="inlineStr">
        <is>
          <t>Round-trip Insomnia for: Variables in URL/body</t>
        </is>
      </c>
      <c r="F1981" s="16" t="inlineStr">
        <is>
          <t>-</t>
        </is>
      </c>
      <c r="G1981" s="16" t="inlineStr">
        <is>
          <t>1. In source tool (or fixture), create request shape 'Variables in URL/body'.
2. Export from source as Insomnia.
3. Import into APICircle.
4. Compare resulting request to source.
5. (Optional) Export from APICircle as same format; diff.</t>
        </is>
      </c>
      <c r="H1981" s="16" t="inlineStr">
        <is>
          <t>fmt=Insomnia export shape=Variables</t>
        </is>
      </c>
      <c r="I1981" s="16" t="inlineStr">
        <is>
          <t>All compatible fields of 'Variables in URL/body' preserved through import. Any fields the format cannot represent are clearly flagged in the import warnings, not silently dropped. Round-trip export back yields a structurally equivalent file.</t>
        </is>
      </c>
      <c r="J1981" s="16" t="inlineStr"/>
      <c r="K1981" s="16" t="inlineStr">
        <is>
          <t>Not Run</t>
        </is>
      </c>
      <c r="L1981" s="16" t="inlineStr">
        <is>
          <t>Medium</t>
        </is>
      </c>
      <c r="M1981" s="16" t="inlineStr"/>
      <c r="N1981" s="16" t="inlineStr"/>
      <c r="O1981" s="16" t="inlineStr"/>
    </row>
    <row r="1982" ht="72" customHeight="1">
      <c r="A1982" s="16" t="inlineStr">
        <is>
          <t>TC-IE-0045</t>
        </is>
      </c>
      <c r="B1982" s="16" t="inlineStr">
        <is>
          <t>Import / Export</t>
        </is>
      </c>
      <c r="C1982" s="16" t="inlineStr">
        <is>
          <t>Round-trip</t>
        </is>
      </c>
      <c r="D1982" s="16" t="inlineStr">
        <is>
          <t>Functional</t>
        </is>
      </c>
      <c r="E1982" s="16" t="inlineStr">
        <is>
          <t>Round-trip Insomnia for: Pre-request script</t>
        </is>
      </c>
      <c r="F1982" s="16" t="inlineStr">
        <is>
          <t>-</t>
        </is>
      </c>
      <c r="G1982" s="16" t="inlineStr">
        <is>
          <t>1. In source tool (or fixture), create request shape 'Pre-request script'.
2. Export from source as Insomnia.
3. Import into APICircle.
4. Compare resulting request to source.
5. (Optional) Export from APICircle as same format; diff.</t>
        </is>
      </c>
      <c r="H1982" s="16" t="inlineStr">
        <is>
          <t>fmt=Insomnia export shape=Pre-script</t>
        </is>
      </c>
      <c r="I1982" s="16" t="inlineStr">
        <is>
          <t>All compatible fields of 'Pre-request script' preserved through import. Any fields the format cannot represent are clearly flagged in the import warnings, not silently dropped. Round-trip export back yields a structurally equivalent file.</t>
        </is>
      </c>
      <c r="J1982" s="16" t="inlineStr"/>
      <c r="K1982" s="16" t="inlineStr">
        <is>
          <t>Not Run</t>
        </is>
      </c>
      <c r="L1982" s="16" t="inlineStr">
        <is>
          <t>Medium</t>
        </is>
      </c>
      <c r="M1982" s="16" t="inlineStr"/>
      <c r="N1982" s="16" t="inlineStr"/>
      <c r="O1982" s="16" t="inlineStr"/>
    </row>
    <row r="1983" ht="72" customHeight="1">
      <c r="A1983" s="16" t="inlineStr">
        <is>
          <t>TC-IE-0046</t>
        </is>
      </c>
      <c r="B1983" s="16" t="inlineStr">
        <is>
          <t>Import / Export</t>
        </is>
      </c>
      <c r="C1983" s="16" t="inlineStr">
        <is>
          <t>Round-trip</t>
        </is>
      </c>
      <c r="D1983" s="16" t="inlineStr">
        <is>
          <t>Functional</t>
        </is>
      </c>
      <c r="E1983" s="16" t="inlineStr">
        <is>
          <t>Round-trip Insomnia for: Tests / assertions</t>
        </is>
      </c>
      <c r="F1983" s="16" t="inlineStr">
        <is>
          <t>-</t>
        </is>
      </c>
      <c r="G1983" s="16" t="inlineStr">
        <is>
          <t>1. In source tool (or fixture), create request shape 'Tests / assertions'.
2. Export from source as Insomnia.
3. Import into APICircle.
4. Compare resulting request to source.
5. (Optional) Export from APICircle as same format; diff.</t>
        </is>
      </c>
      <c r="H1983" s="16" t="inlineStr">
        <is>
          <t>fmt=Insomnia export shape=Tests</t>
        </is>
      </c>
      <c r="I1983" s="16" t="inlineStr">
        <is>
          <t>All compatible fields of 'Tests / assertions' preserved through import. Any fields the format cannot represent are clearly flagged in the import warnings, not silently dropped. Round-trip export back yields a structurally equivalent file.</t>
        </is>
      </c>
      <c r="J1983" s="16" t="inlineStr"/>
      <c r="K1983" s="16" t="inlineStr">
        <is>
          <t>Not Run</t>
        </is>
      </c>
      <c r="L1983" s="16" t="inlineStr">
        <is>
          <t>Medium</t>
        </is>
      </c>
      <c r="M1983" s="16" t="inlineStr"/>
      <c r="N1983" s="16" t="inlineStr"/>
      <c r="O1983" s="16" t="inlineStr"/>
    </row>
    <row r="1984" ht="72" customHeight="1">
      <c r="A1984" s="16" t="inlineStr">
        <is>
          <t>TC-IE-0047</t>
        </is>
      </c>
      <c r="B1984" s="16" t="inlineStr">
        <is>
          <t>Import / Export</t>
        </is>
      </c>
      <c r="C1984" s="16" t="inlineStr">
        <is>
          <t>Round-trip</t>
        </is>
      </c>
      <c r="D1984" s="16" t="inlineStr">
        <is>
          <t>Functional</t>
        </is>
      </c>
      <c r="E1984" s="16" t="inlineStr">
        <is>
          <t>Round-trip OpenAPI 3.0 YAML for: GET no body</t>
        </is>
      </c>
      <c r="F1984" s="16" t="inlineStr">
        <is>
          <t>-</t>
        </is>
      </c>
      <c r="G1984" s="16" t="inlineStr">
        <is>
          <t>1. In source tool (or fixture), create request shape 'GET no body'.
2. Export from source as OpenAPI 3.0 YAML.
3. Import into APICircle.
4. Compare resulting request to source.
5. (Optional) Export from APICircle as same format; diff.</t>
        </is>
      </c>
      <c r="H1984" s="16" t="inlineStr">
        <is>
          <t>fmt=OpenAPI 3.0 YAML shape=Simple GET</t>
        </is>
      </c>
      <c r="I1984" s="16" t="inlineStr">
        <is>
          <t>All compatible fields of 'GET no body' preserved through import. Any fields the format cannot represent are clearly flagged in the import warnings, not silently dropped. Round-trip export back yields a structurally equivalent file.</t>
        </is>
      </c>
      <c r="J1984" s="16" t="inlineStr"/>
      <c r="K1984" s="16" t="inlineStr">
        <is>
          <t>Not Run</t>
        </is>
      </c>
      <c r="L1984" s="16" t="inlineStr">
        <is>
          <t>Medium</t>
        </is>
      </c>
      <c r="M1984" s="16" t="inlineStr"/>
      <c r="N1984" s="16" t="inlineStr"/>
      <c r="O1984" s="16" t="inlineStr"/>
    </row>
    <row r="1985" ht="72" customHeight="1">
      <c r="A1985" s="16" t="inlineStr">
        <is>
          <t>TC-IE-0048</t>
        </is>
      </c>
      <c r="B1985" s="16" t="inlineStr">
        <is>
          <t>Import / Export</t>
        </is>
      </c>
      <c r="C1985" s="16" t="inlineStr">
        <is>
          <t>Round-trip</t>
        </is>
      </c>
      <c r="D1985" s="16" t="inlineStr">
        <is>
          <t>Functional</t>
        </is>
      </c>
      <c r="E1985" s="16" t="inlineStr">
        <is>
          <t>Round-trip OpenAPI 3.0 YAML for: POST with JSON body</t>
        </is>
      </c>
      <c r="F1985" s="16" t="inlineStr">
        <is>
          <t>-</t>
        </is>
      </c>
      <c r="G1985" s="16" t="inlineStr">
        <is>
          <t>1. In source tool (or fixture), create request shape 'POST with JSON body'.
2. Export from source as OpenAPI 3.0 YAML.
3. Import into APICircle.
4. Compare resulting request to source.
5. (Optional) Export from APICircle as same format; diff.</t>
        </is>
      </c>
      <c r="H1985" s="16" t="inlineStr">
        <is>
          <t>fmt=OpenAPI 3.0 YAML shape=POST JSON</t>
        </is>
      </c>
      <c r="I1985" s="16" t="inlineStr">
        <is>
          <t>All compatible fields of 'POST with JSON body' preserved through import. Any fields the format cannot represent are clearly flagged in the import warnings, not silently dropped. Round-trip export back yields a structurally equivalent file.</t>
        </is>
      </c>
      <c r="J1985" s="16" t="inlineStr"/>
      <c r="K1985" s="16" t="inlineStr">
        <is>
          <t>Not Run</t>
        </is>
      </c>
      <c r="L1985" s="16" t="inlineStr">
        <is>
          <t>Medium</t>
        </is>
      </c>
      <c r="M1985" s="16" t="inlineStr"/>
      <c r="N1985" s="16" t="inlineStr"/>
      <c r="O1985" s="16" t="inlineStr"/>
    </row>
    <row r="1986" ht="72" customHeight="1">
      <c r="A1986" s="16" t="inlineStr">
        <is>
          <t>TC-IE-0049</t>
        </is>
      </c>
      <c r="B1986" s="16" t="inlineStr">
        <is>
          <t>Import / Export</t>
        </is>
      </c>
      <c r="C1986" s="16" t="inlineStr">
        <is>
          <t>Round-trip</t>
        </is>
      </c>
      <c r="D1986" s="16" t="inlineStr">
        <is>
          <t>Functional</t>
        </is>
      </c>
      <c r="E1986" s="16" t="inlineStr">
        <is>
          <t>Round-trip OpenAPI 3.0 YAML for: POST with form-data</t>
        </is>
      </c>
      <c r="F1986" s="16" t="inlineStr">
        <is>
          <t>-</t>
        </is>
      </c>
      <c r="G1986" s="16" t="inlineStr">
        <is>
          <t>1. In source tool (or fixture), create request shape 'POST with form-data'.
2. Export from source as OpenAPI 3.0 YAML.
3. Import into APICircle.
4. Compare resulting request to source.
5. (Optional) Export from APICircle as same format; diff.</t>
        </is>
      </c>
      <c r="H1986" s="16" t="inlineStr">
        <is>
          <t>fmt=OpenAPI 3.0 YAML shape=POST form-data</t>
        </is>
      </c>
      <c r="I1986" s="16" t="inlineStr">
        <is>
          <t>All compatible fields of 'POST with form-data' preserved through import. Any fields the format cannot represent are clearly flagged in the import warnings, not silently dropped. Round-trip export back yields a structurally equivalent file.</t>
        </is>
      </c>
      <c r="J1986" s="16" t="inlineStr"/>
      <c r="K1986" s="16" t="inlineStr">
        <is>
          <t>Not Run</t>
        </is>
      </c>
      <c r="L1986" s="16" t="inlineStr">
        <is>
          <t>Medium</t>
        </is>
      </c>
      <c r="M1986" s="16" t="inlineStr"/>
      <c r="N1986" s="16" t="inlineStr"/>
      <c r="O1986" s="16" t="inlineStr"/>
    </row>
    <row r="1987" ht="72" customHeight="1">
      <c r="A1987" s="16" t="inlineStr">
        <is>
          <t>TC-IE-0050</t>
        </is>
      </c>
      <c r="B1987" s="16" t="inlineStr">
        <is>
          <t>Import / Export</t>
        </is>
      </c>
      <c r="C1987" s="16" t="inlineStr">
        <is>
          <t>Round-trip</t>
        </is>
      </c>
      <c r="D1987" s="16" t="inlineStr">
        <is>
          <t>Functional</t>
        </is>
      </c>
      <c r="E1987" s="16" t="inlineStr">
        <is>
          <t>Round-trip OpenAPI 3.0 YAML for: POST with file upload</t>
        </is>
      </c>
      <c r="F1987" s="16" t="inlineStr">
        <is>
          <t>-</t>
        </is>
      </c>
      <c r="G1987" s="16" t="inlineStr">
        <is>
          <t>1. In source tool (or fixture), create request shape 'POST with file upload'.
2. Export from source as OpenAPI 3.0 YAML.
3. Import into APICircle.
4. Compare resulting request to source.
5. (Optional) Export from APICircle as same format; diff.</t>
        </is>
      </c>
      <c r="H1987" s="16" t="inlineStr">
        <is>
          <t>fmt=OpenAPI 3.0 YAML shape=POST file</t>
        </is>
      </c>
      <c r="I1987" s="16" t="inlineStr">
        <is>
          <t>All compatible fields of 'POST with file upload' preserved through import. Any fields the format cannot represent are clearly flagged in the import warnings, not silently dropped. Round-trip export back yields a structurally equivalent file.</t>
        </is>
      </c>
      <c r="J1987" s="16" t="inlineStr"/>
      <c r="K1987" s="16" t="inlineStr">
        <is>
          <t>Not Run</t>
        </is>
      </c>
      <c r="L1987" s="16" t="inlineStr">
        <is>
          <t>Medium</t>
        </is>
      </c>
      <c r="M1987" s="16" t="inlineStr"/>
      <c r="N1987" s="16" t="inlineStr"/>
      <c r="O1987" s="16" t="inlineStr"/>
    </row>
    <row r="1988" ht="72" customHeight="1">
      <c r="A1988" s="16" t="inlineStr">
        <is>
          <t>TC-IE-0051</t>
        </is>
      </c>
      <c r="B1988" s="16" t="inlineStr">
        <is>
          <t>Import / Export</t>
        </is>
      </c>
      <c r="C1988" s="16" t="inlineStr">
        <is>
          <t>Round-trip</t>
        </is>
      </c>
      <c r="D1988" s="16" t="inlineStr">
        <is>
          <t>Functional</t>
        </is>
      </c>
      <c r="E1988" s="16" t="inlineStr">
        <is>
          <t>Round-trip OpenAPI 3.0 YAML for: GraphQL query</t>
        </is>
      </c>
      <c r="F1988" s="16" t="inlineStr">
        <is>
          <t>-</t>
        </is>
      </c>
      <c r="G1988" s="16" t="inlineStr">
        <is>
          <t>1. In source tool (or fixture), create request shape 'GraphQL query'.
2. Export from source as OpenAPI 3.0 YAML.
3. Import into APICircle.
4. Compare resulting request to source.
5. (Optional) Export from APICircle as same format; diff.</t>
        </is>
      </c>
      <c r="H1988" s="16" t="inlineStr">
        <is>
          <t>fmt=OpenAPI 3.0 YAML shape=GraphQL POST</t>
        </is>
      </c>
      <c r="I1988" s="16" t="inlineStr">
        <is>
          <t>All compatible fields of 'GraphQL query' preserved through import. Any fields the format cannot represent are clearly flagged in the import warnings, not silently dropped. Round-trip export back yields a structurally equivalent file.</t>
        </is>
      </c>
      <c r="J1988" s="16" t="inlineStr"/>
      <c r="K1988" s="16" t="inlineStr">
        <is>
          <t>Not Run</t>
        </is>
      </c>
      <c r="L1988" s="16" t="inlineStr">
        <is>
          <t>Medium</t>
        </is>
      </c>
      <c r="M1988" s="16" t="inlineStr"/>
      <c r="N1988" s="16" t="inlineStr"/>
      <c r="O1988" s="16" t="inlineStr"/>
    </row>
    <row r="1989" ht="72" customHeight="1">
      <c r="A1989" s="16" t="inlineStr">
        <is>
          <t>TC-IE-0052</t>
        </is>
      </c>
      <c r="B1989" s="16" t="inlineStr">
        <is>
          <t>Import / Export</t>
        </is>
      </c>
      <c r="C1989" s="16" t="inlineStr">
        <is>
          <t>Round-trip</t>
        </is>
      </c>
      <c r="D1989" s="16" t="inlineStr">
        <is>
          <t>Functional</t>
        </is>
      </c>
      <c r="E1989" s="16" t="inlineStr">
        <is>
          <t>Round-trip OpenAPI 3.0 YAML for: Bearer auth</t>
        </is>
      </c>
      <c r="F1989" s="16" t="inlineStr">
        <is>
          <t>-</t>
        </is>
      </c>
      <c r="G1989" s="16" t="inlineStr">
        <is>
          <t>1. In source tool (or fixture), create request shape 'Bearer auth'.
2. Export from source as OpenAPI 3.0 YAML.
3. Import into APICircle.
4. Compare resulting request to source.
5. (Optional) Export from APICircle as same format; diff.</t>
        </is>
      </c>
      <c r="H1989" s="16" t="inlineStr">
        <is>
          <t>fmt=OpenAPI 3.0 YAML shape=Bearer</t>
        </is>
      </c>
      <c r="I1989" s="16" t="inlineStr">
        <is>
          <t>All compatible fields of 'Bearer auth' preserved through import. Any fields the format cannot represent are clearly flagged in the import warnings, not silently dropped. Round-trip export back yields a structurally equivalent file.</t>
        </is>
      </c>
      <c r="J1989" s="16" t="inlineStr"/>
      <c r="K1989" s="16" t="inlineStr">
        <is>
          <t>Not Run</t>
        </is>
      </c>
      <c r="L1989" s="16" t="inlineStr">
        <is>
          <t>Medium</t>
        </is>
      </c>
      <c r="M1989" s="16" t="inlineStr"/>
      <c r="N1989" s="16" t="inlineStr"/>
      <c r="O1989" s="16" t="inlineStr"/>
    </row>
    <row r="1990" ht="72" customHeight="1">
      <c r="A1990" s="16" t="inlineStr">
        <is>
          <t>TC-IE-0053</t>
        </is>
      </c>
      <c r="B1990" s="16" t="inlineStr">
        <is>
          <t>Import / Export</t>
        </is>
      </c>
      <c r="C1990" s="16" t="inlineStr">
        <is>
          <t>Round-trip</t>
        </is>
      </c>
      <c r="D1990" s="16" t="inlineStr">
        <is>
          <t>Functional</t>
        </is>
      </c>
      <c r="E1990" s="16" t="inlineStr">
        <is>
          <t>Round-trip OpenAPI 3.0 YAML for: Basic auth</t>
        </is>
      </c>
      <c r="F1990" s="16" t="inlineStr">
        <is>
          <t>-</t>
        </is>
      </c>
      <c r="G1990" s="16" t="inlineStr">
        <is>
          <t>1. In source tool (or fixture), create request shape 'Basic auth'.
2. Export from source as OpenAPI 3.0 YAML.
3. Import into APICircle.
4. Compare resulting request to source.
5. (Optional) Export from APICircle as same format; diff.</t>
        </is>
      </c>
      <c r="H1990" s="16" t="inlineStr">
        <is>
          <t>fmt=OpenAPI 3.0 YAML shape=Basic</t>
        </is>
      </c>
      <c r="I1990" s="16" t="inlineStr">
        <is>
          <t>All compatible fields of 'Basic auth' preserved through import. Any fields the format cannot represent are clearly flagged in the import warnings, not silently dropped. Round-trip export back yields a structurally equivalent file.</t>
        </is>
      </c>
      <c r="J1990" s="16" t="inlineStr"/>
      <c r="K1990" s="16" t="inlineStr">
        <is>
          <t>Not Run</t>
        </is>
      </c>
      <c r="L1990" s="16" t="inlineStr">
        <is>
          <t>Medium</t>
        </is>
      </c>
      <c r="M1990" s="16" t="inlineStr"/>
      <c r="N1990" s="16" t="inlineStr"/>
      <c r="O1990" s="16" t="inlineStr"/>
    </row>
    <row r="1991" ht="72" customHeight="1">
      <c r="A1991" s="16" t="inlineStr">
        <is>
          <t>TC-IE-0054</t>
        </is>
      </c>
      <c r="B1991" s="16" t="inlineStr">
        <is>
          <t>Import / Export</t>
        </is>
      </c>
      <c r="C1991" s="16" t="inlineStr">
        <is>
          <t>Round-trip</t>
        </is>
      </c>
      <c r="D1991" s="16" t="inlineStr">
        <is>
          <t>Functional</t>
        </is>
      </c>
      <c r="E1991" s="16" t="inlineStr">
        <is>
          <t>Round-trip OpenAPI 3.0 YAML for: OAuth2 (with token)</t>
        </is>
      </c>
      <c r="F1991" s="16" t="inlineStr">
        <is>
          <t>-</t>
        </is>
      </c>
      <c r="G1991" s="16" t="inlineStr">
        <is>
          <t>1. In source tool (or fixture), create request shape 'OAuth2 (with token)'.
2. Export from source as OpenAPI 3.0 YAML.
3. Import into APICircle.
4. Compare resulting request to source.
5. (Optional) Export from APICircle as same format; diff.</t>
        </is>
      </c>
      <c r="H1991" s="16" t="inlineStr">
        <is>
          <t>fmt=OpenAPI 3.0 YAML shape=OAuth2</t>
        </is>
      </c>
      <c r="I1991" s="16" t="inlineStr">
        <is>
          <t>All compatible fields of 'OAuth2 (with token)' preserved through import. Any fields the format cannot represent are clearly flagged in the import warnings, not silently dropped. Round-trip export back yields a structurally equivalent file.</t>
        </is>
      </c>
      <c r="J1991" s="16" t="inlineStr"/>
      <c r="K1991" s="16" t="inlineStr">
        <is>
          <t>Not Run</t>
        </is>
      </c>
      <c r="L1991" s="16" t="inlineStr">
        <is>
          <t>Medium</t>
        </is>
      </c>
      <c r="M1991" s="16" t="inlineStr"/>
      <c r="N1991" s="16" t="inlineStr"/>
      <c r="O1991" s="16" t="inlineStr"/>
    </row>
    <row r="1992" ht="72" customHeight="1">
      <c r="A1992" s="16" t="inlineStr">
        <is>
          <t>TC-IE-0055</t>
        </is>
      </c>
      <c r="B1992" s="16" t="inlineStr">
        <is>
          <t>Import / Export</t>
        </is>
      </c>
      <c r="C1992" s="16" t="inlineStr">
        <is>
          <t>Round-trip</t>
        </is>
      </c>
      <c r="D1992" s="16" t="inlineStr">
        <is>
          <t>Functional</t>
        </is>
      </c>
      <c r="E1992" s="16" t="inlineStr">
        <is>
          <t>Round-trip OpenAPI 3.0 YAML for: API key in header</t>
        </is>
      </c>
      <c r="F1992" s="16" t="inlineStr">
        <is>
          <t>-</t>
        </is>
      </c>
      <c r="G1992" s="16" t="inlineStr">
        <is>
          <t>1. In source tool (or fixture), create request shape 'API key in header'.
2. Export from source as OpenAPI 3.0 YAML.
3. Import into APICircle.
4. Compare resulting request to source.
5. (Optional) Export from APICircle as same format; diff.</t>
        </is>
      </c>
      <c r="H1992" s="16" t="inlineStr">
        <is>
          <t>fmt=OpenAPI 3.0 YAML shape=API key header</t>
        </is>
      </c>
      <c r="I1992" s="16" t="inlineStr">
        <is>
          <t>All compatible fields of 'API key in header' preserved through import. Any fields the format cannot represent are clearly flagged in the import warnings, not silently dropped. Round-trip export back yields a structurally equivalent file.</t>
        </is>
      </c>
      <c r="J1992" s="16" t="inlineStr"/>
      <c r="K1992" s="16" t="inlineStr">
        <is>
          <t>Not Run</t>
        </is>
      </c>
      <c r="L1992" s="16" t="inlineStr">
        <is>
          <t>Medium</t>
        </is>
      </c>
      <c r="M1992" s="16" t="inlineStr"/>
      <c r="N1992" s="16" t="inlineStr"/>
      <c r="O1992" s="16" t="inlineStr"/>
    </row>
    <row r="1993" ht="72" customHeight="1">
      <c r="A1993" s="16" t="inlineStr">
        <is>
          <t>TC-IE-0056</t>
        </is>
      </c>
      <c r="B1993" s="16" t="inlineStr">
        <is>
          <t>Import / Export</t>
        </is>
      </c>
      <c r="C1993" s="16" t="inlineStr">
        <is>
          <t>Round-trip</t>
        </is>
      </c>
      <c r="D1993" s="16" t="inlineStr">
        <is>
          <t>Functional</t>
        </is>
      </c>
      <c r="E1993" s="16" t="inlineStr">
        <is>
          <t>Round-trip OpenAPI 3.0 YAML for: API key in query</t>
        </is>
      </c>
      <c r="F1993" s="16" t="inlineStr">
        <is>
          <t>-</t>
        </is>
      </c>
      <c r="G1993" s="16" t="inlineStr">
        <is>
          <t>1. In source tool (or fixture), create request shape 'API key in query'.
2. Export from source as OpenAPI 3.0 YAML.
3. Import into APICircle.
4. Compare resulting request to source.
5. (Optional) Export from APICircle as same format; diff.</t>
        </is>
      </c>
      <c r="H1993" s="16" t="inlineStr">
        <is>
          <t>fmt=OpenAPI 3.0 YAML shape=API key query</t>
        </is>
      </c>
      <c r="I1993" s="16" t="inlineStr">
        <is>
          <t>All compatible fields of 'API key in query' preserved through import. Any fields the format cannot represent are clearly flagged in the import warnings, not silently dropped. Round-trip export back yields a structurally equivalent file.</t>
        </is>
      </c>
      <c r="J1993" s="16" t="inlineStr"/>
      <c r="K1993" s="16" t="inlineStr">
        <is>
          <t>Not Run</t>
        </is>
      </c>
      <c r="L1993" s="16" t="inlineStr">
        <is>
          <t>Medium</t>
        </is>
      </c>
      <c r="M1993" s="16" t="inlineStr"/>
      <c r="N1993" s="16" t="inlineStr"/>
      <c r="O1993" s="16" t="inlineStr"/>
    </row>
    <row r="1994" ht="72" customHeight="1">
      <c r="A1994" s="16" t="inlineStr">
        <is>
          <t>TC-IE-0057</t>
        </is>
      </c>
      <c r="B1994" s="16" t="inlineStr">
        <is>
          <t>Import / Export</t>
        </is>
      </c>
      <c r="C1994" s="16" t="inlineStr">
        <is>
          <t>Round-trip</t>
        </is>
      </c>
      <c r="D1994" s="16" t="inlineStr">
        <is>
          <t>Functional</t>
        </is>
      </c>
      <c r="E1994" s="16" t="inlineStr">
        <is>
          <t>Round-trip OpenAPI 3.0 YAML for: Custom headers</t>
        </is>
      </c>
      <c r="F1994" s="16" t="inlineStr">
        <is>
          <t>-</t>
        </is>
      </c>
      <c r="G1994" s="16" t="inlineStr">
        <is>
          <t>1. In source tool (or fixture), create request shape 'Custom headers'.
2. Export from source as OpenAPI 3.0 YAML.
3. Import into APICircle.
4. Compare resulting request to source.
5. (Optional) Export from APICircle as same format; diff.</t>
        </is>
      </c>
      <c r="H1994" s="16" t="inlineStr">
        <is>
          <t>fmt=OpenAPI 3.0 YAML shape=Custom headers</t>
        </is>
      </c>
      <c r="I1994" s="16" t="inlineStr">
        <is>
          <t>All compatible fields of 'Custom headers' preserved through import. Any fields the format cannot represent are clearly flagged in the import warnings, not silently dropped. Round-trip export back yields a structurally equivalent file.</t>
        </is>
      </c>
      <c r="J1994" s="16" t="inlineStr"/>
      <c r="K1994" s="16" t="inlineStr">
        <is>
          <t>Not Run</t>
        </is>
      </c>
      <c r="L1994" s="16" t="inlineStr">
        <is>
          <t>Medium</t>
        </is>
      </c>
      <c r="M1994" s="16" t="inlineStr"/>
      <c r="N1994" s="16" t="inlineStr"/>
      <c r="O1994" s="16" t="inlineStr"/>
    </row>
    <row r="1995" ht="72" customHeight="1">
      <c r="A1995" s="16" t="inlineStr">
        <is>
          <t>TC-IE-0058</t>
        </is>
      </c>
      <c r="B1995" s="16" t="inlineStr">
        <is>
          <t>Import / Export</t>
        </is>
      </c>
      <c r="C1995" s="16" t="inlineStr">
        <is>
          <t>Round-trip</t>
        </is>
      </c>
      <c r="D1995" s="16" t="inlineStr">
        <is>
          <t>Functional</t>
        </is>
      </c>
      <c r="E1995" s="16" t="inlineStr">
        <is>
          <t>Round-trip OpenAPI 3.0 YAML for: Path params (:id)</t>
        </is>
      </c>
      <c r="F1995" s="16" t="inlineStr">
        <is>
          <t>-</t>
        </is>
      </c>
      <c r="G1995" s="16" t="inlineStr">
        <is>
          <t>1. In source tool (or fixture), create request shape 'Path params (:id)'.
2. Export from source as OpenAPI 3.0 YAML.
3. Import into APICircle.
4. Compare resulting request to source.
5. (Optional) Export from APICircle as same format; diff.</t>
        </is>
      </c>
      <c r="H1995" s="16" t="inlineStr">
        <is>
          <t>fmt=OpenAPI 3.0 YAML shape=Path params</t>
        </is>
      </c>
      <c r="I1995" s="16" t="inlineStr">
        <is>
          <t>All compatible fields of 'Path params (:id)' preserved through import. Any fields the format cannot represent are clearly flagged in the import warnings, not silently dropped. Round-trip export back yields a structurally equivalent file.</t>
        </is>
      </c>
      <c r="J1995" s="16" t="inlineStr"/>
      <c r="K1995" s="16" t="inlineStr">
        <is>
          <t>Not Run</t>
        </is>
      </c>
      <c r="L1995" s="16" t="inlineStr">
        <is>
          <t>Medium</t>
        </is>
      </c>
      <c r="M1995" s="16" t="inlineStr"/>
      <c r="N1995" s="16" t="inlineStr"/>
      <c r="O1995" s="16" t="inlineStr"/>
    </row>
    <row r="1996" ht="72" customHeight="1">
      <c r="A1996" s="16" t="inlineStr">
        <is>
          <t>TC-IE-0059</t>
        </is>
      </c>
      <c r="B1996" s="16" t="inlineStr">
        <is>
          <t>Import / Export</t>
        </is>
      </c>
      <c r="C1996" s="16" t="inlineStr">
        <is>
          <t>Round-trip</t>
        </is>
      </c>
      <c r="D1996" s="16" t="inlineStr">
        <is>
          <t>Functional</t>
        </is>
      </c>
      <c r="E1996" s="16" t="inlineStr">
        <is>
          <t>Round-trip OpenAPI 3.0 YAML for: Query params</t>
        </is>
      </c>
      <c r="F1996" s="16" t="inlineStr">
        <is>
          <t>-</t>
        </is>
      </c>
      <c r="G1996" s="16" t="inlineStr">
        <is>
          <t>1. In source tool (or fixture), create request shape 'Query params'.
2. Export from source as OpenAPI 3.0 YAML.
3. Import into APICircle.
4. Compare resulting request to source.
5. (Optional) Export from APICircle as same format; diff.</t>
        </is>
      </c>
      <c r="H1996" s="16" t="inlineStr">
        <is>
          <t>fmt=OpenAPI 3.0 YAML shape=Query params</t>
        </is>
      </c>
      <c r="I1996" s="16" t="inlineStr">
        <is>
          <t>All compatible fields of 'Query params' preserved through import. Any fields the format cannot represent are clearly flagged in the import warnings, not silently dropped. Round-trip export back yields a structurally equivalent file.</t>
        </is>
      </c>
      <c r="J1996" s="16" t="inlineStr"/>
      <c r="K1996" s="16" t="inlineStr">
        <is>
          <t>Not Run</t>
        </is>
      </c>
      <c r="L1996" s="16" t="inlineStr">
        <is>
          <t>Medium</t>
        </is>
      </c>
      <c r="M1996" s="16" t="inlineStr"/>
      <c r="N1996" s="16" t="inlineStr"/>
      <c r="O1996" s="16" t="inlineStr"/>
    </row>
    <row r="1997" ht="72" customHeight="1">
      <c r="A1997" s="16" t="inlineStr">
        <is>
          <t>TC-IE-0060</t>
        </is>
      </c>
      <c r="B1997" s="16" t="inlineStr">
        <is>
          <t>Import / Export</t>
        </is>
      </c>
      <c r="C1997" s="16" t="inlineStr">
        <is>
          <t>Round-trip</t>
        </is>
      </c>
      <c r="D1997" s="16" t="inlineStr">
        <is>
          <t>Functional</t>
        </is>
      </c>
      <c r="E1997" s="16" t="inlineStr">
        <is>
          <t>Round-trip OpenAPI 3.0 YAML for: Variables in URL/body</t>
        </is>
      </c>
      <c r="F1997" s="16" t="inlineStr">
        <is>
          <t>-</t>
        </is>
      </c>
      <c r="G1997" s="16" t="inlineStr">
        <is>
          <t>1. In source tool (or fixture), create request shape 'Variables in URL/body'.
2. Export from source as OpenAPI 3.0 YAML.
3. Import into APICircle.
4. Compare resulting request to source.
5. (Optional) Export from APICircle as same format; diff.</t>
        </is>
      </c>
      <c r="H1997" s="16" t="inlineStr">
        <is>
          <t>fmt=OpenAPI 3.0 YAML shape=Variables</t>
        </is>
      </c>
      <c r="I1997" s="16" t="inlineStr">
        <is>
          <t>All compatible fields of 'Variables in URL/body' preserved through import. Any fields the format cannot represent are clearly flagged in the import warnings, not silently dropped. Round-trip export back yields a structurally equivalent file.</t>
        </is>
      </c>
      <c r="J1997" s="16" t="inlineStr"/>
      <c r="K1997" s="16" t="inlineStr">
        <is>
          <t>Not Run</t>
        </is>
      </c>
      <c r="L1997" s="16" t="inlineStr">
        <is>
          <t>Medium</t>
        </is>
      </c>
      <c r="M1997" s="16" t="inlineStr"/>
      <c r="N1997" s="16" t="inlineStr"/>
      <c r="O1997" s="16" t="inlineStr"/>
    </row>
    <row r="1998" ht="72" customHeight="1">
      <c r="A1998" s="16" t="inlineStr">
        <is>
          <t>TC-IE-0061</t>
        </is>
      </c>
      <c r="B1998" s="16" t="inlineStr">
        <is>
          <t>Import / Export</t>
        </is>
      </c>
      <c r="C1998" s="16" t="inlineStr">
        <is>
          <t>Round-trip</t>
        </is>
      </c>
      <c r="D1998" s="16" t="inlineStr">
        <is>
          <t>Functional</t>
        </is>
      </c>
      <c r="E1998" s="16" t="inlineStr">
        <is>
          <t>Round-trip OpenAPI 3.0 YAML for: Pre-request script</t>
        </is>
      </c>
      <c r="F1998" s="16" t="inlineStr">
        <is>
          <t>-</t>
        </is>
      </c>
      <c r="G1998" s="16" t="inlineStr">
        <is>
          <t>1. In source tool (or fixture), create request shape 'Pre-request script'.
2. Export from source as OpenAPI 3.0 YAML.
3. Import into APICircle.
4. Compare resulting request to source.
5. (Optional) Export from APICircle as same format; diff.</t>
        </is>
      </c>
      <c r="H1998" s="16" t="inlineStr">
        <is>
          <t>fmt=OpenAPI 3.0 YAML shape=Pre-script</t>
        </is>
      </c>
      <c r="I1998" s="16" t="inlineStr">
        <is>
          <t>All compatible fields of 'Pre-request script' preserved through import. Any fields the format cannot represent are clearly flagged in the import warnings, not silently dropped. Round-trip export back yields a structurally equivalent file.</t>
        </is>
      </c>
      <c r="J1998" s="16" t="inlineStr"/>
      <c r="K1998" s="16" t="inlineStr">
        <is>
          <t>Not Run</t>
        </is>
      </c>
      <c r="L1998" s="16" t="inlineStr">
        <is>
          <t>Medium</t>
        </is>
      </c>
      <c r="M1998" s="16" t="inlineStr"/>
      <c r="N1998" s="16" t="inlineStr"/>
      <c r="O1998" s="16" t="inlineStr"/>
    </row>
    <row r="1999" ht="72" customHeight="1">
      <c r="A1999" s="16" t="inlineStr">
        <is>
          <t>TC-IE-0062</t>
        </is>
      </c>
      <c r="B1999" s="16" t="inlineStr">
        <is>
          <t>Import / Export</t>
        </is>
      </c>
      <c r="C1999" s="16" t="inlineStr">
        <is>
          <t>Round-trip</t>
        </is>
      </c>
      <c r="D1999" s="16" t="inlineStr">
        <is>
          <t>Functional</t>
        </is>
      </c>
      <c r="E1999" s="16" t="inlineStr">
        <is>
          <t>Round-trip OpenAPI 3.0 YAML for: Tests / assertions</t>
        </is>
      </c>
      <c r="F1999" s="16" t="inlineStr">
        <is>
          <t>-</t>
        </is>
      </c>
      <c r="G1999" s="16" t="inlineStr">
        <is>
          <t>1. In source tool (or fixture), create request shape 'Tests / assertions'.
2. Export from source as OpenAPI 3.0 YAML.
3. Import into APICircle.
4. Compare resulting request to source.
5. (Optional) Export from APICircle as same format; diff.</t>
        </is>
      </c>
      <c r="H1999" s="16" t="inlineStr">
        <is>
          <t>fmt=OpenAPI 3.0 YAML shape=Tests</t>
        </is>
      </c>
      <c r="I1999" s="16" t="inlineStr">
        <is>
          <t>All compatible fields of 'Tests / assertions' preserved through import. Any fields the format cannot represent are clearly flagged in the import warnings, not silently dropped. Round-trip export back yields a structurally equivalent file.</t>
        </is>
      </c>
      <c r="J1999" s="16" t="inlineStr"/>
      <c r="K1999" s="16" t="inlineStr">
        <is>
          <t>Not Run</t>
        </is>
      </c>
      <c r="L1999" s="16" t="inlineStr">
        <is>
          <t>Medium</t>
        </is>
      </c>
      <c r="M1999" s="16" t="inlineStr"/>
      <c r="N1999" s="16" t="inlineStr"/>
      <c r="O1999" s="16" t="inlineStr"/>
    </row>
    <row r="2000" ht="72" customHeight="1">
      <c r="A2000" s="16" t="inlineStr">
        <is>
          <t>TC-IE-0063</t>
        </is>
      </c>
      <c r="B2000" s="16" t="inlineStr">
        <is>
          <t>Import / Export</t>
        </is>
      </c>
      <c r="C2000" s="16" t="inlineStr">
        <is>
          <t>Round-trip</t>
        </is>
      </c>
      <c r="D2000" s="16" t="inlineStr">
        <is>
          <t>Functional</t>
        </is>
      </c>
      <c r="E2000" s="16" t="inlineStr">
        <is>
          <t>Round-trip OpenAPI 3.0 JSON for: GET no body</t>
        </is>
      </c>
      <c r="F2000" s="16" t="inlineStr">
        <is>
          <t>-</t>
        </is>
      </c>
      <c r="G2000" s="16" t="inlineStr">
        <is>
          <t>1. In source tool (or fixture), create request shape 'GET no body'.
2. Export from source as OpenAPI 3.0 JSON.
3. Import into APICircle.
4. Compare resulting request to source.
5. (Optional) Export from APICircle as same format; diff.</t>
        </is>
      </c>
      <c r="H2000" s="16" t="inlineStr">
        <is>
          <t>fmt=OpenAPI 3.0 JSON shape=Simple GET</t>
        </is>
      </c>
      <c r="I2000" s="16" t="inlineStr">
        <is>
          <t>All compatible fields of 'GET no body' preserved through import. Any fields the format cannot represent are clearly flagged in the import warnings, not silently dropped. Round-trip export back yields a structurally equivalent file.</t>
        </is>
      </c>
      <c r="J2000" s="16" t="inlineStr"/>
      <c r="K2000" s="16" t="inlineStr">
        <is>
          <t>Not Run</t>
        </is>
      </c>
      <c r="L2000" s="16" t="inlineStr">
        <is>
          <t>Medium</t>
        </is>
      </c>
      <c r="M2000" s="16" t="inlineStr"/>
      <c r="N2000" s="16" t="inlineStr"/>
      <c r="O2000" s="16" t="inlineStr"/>
    </row>
    <row r="2001" ht="72" customHeight="1">
      <c r="A2001" s="16" t="inlineStr">
        <is>
          <t>TC-IE-0064</t>
        </is>
      </c>
      <c r="B2001" s="16" t="inlineStr">
        <is>
          <t>Import / Export</t>
        </is>
      </c>
      <c r="C2001" s="16" t="inlineStr">
        <is>
          <t>Round-trip</t>
        </is>
      </c>
      <c r="D2001" s="16" t="inlineStr">
        <is>
          <t>Functional</t>
        </is>
      </c>
      <c r="E2001" s="16" t="inlineStr">
        <is>
          <t>Round-trip OpenAPI 3.0 JSON for: POST with JSON body</t>
        </is>
      </c>
      <c r="F2001" s="16" t="inlineStr">
        <is>
          <t>-</t>
        </is>
      </c>
      <c r="G2001" s="16" t="inlineStr">
        <is>
          <t>1. In source tool (or fixture), create request shape 'POST with JSON body'.
2. Export from source as OpenAPI 3.0 JSON.
3. Import into APICircle.
4. Compare resulting request to source.
5. (Optional) Export from APICircle as same format; diff.</t>
        </is>
      </c>
      <c r="H2001" s="16" t="inlineStr">
        <is>
          <t>fmt=OpenAPI 3.0 JSON shape=POST JSON</t>
        </is>
      </c>
      <c r="I2001" s="16" t="inlineStr">
        <is>
          <t>All compatible fields of 'POST with JSON body' preserved through import. Any fields the format cannot represent are clearly flagged in the import warnings, not silently dropped. Round-trip export back yields a structurally equivalent file.</t>
        </is>
      </c>
      <c r="J2001" s="16" t="inlineStr"/>
      <c r="K2001" s="16" t="inlineStr">
        <is>
          <t>Not Run</t>
        </is>
      </c>
      <c r="L2001" s="16" t="inlineStr">
        <is>
          <t>Medium</t>
        </is>
      </c>
      <c r="M2001" s="16" t="inlineStr"/>
      <c r="N2001" s="16" t="inlineStr"/>
      <c r="O2001" s="16" t="inlineStr"/>
    </row>
    <row r="2002" ht="72" customHeight="1">
      <c r="A2002" s="16" t="inlineStr">
        <is>
          <t>TC-IE-0065</t>
        </is>
      </c>
      <c r="B2002" s="16" t="inlineStr">
        <is>
          <t>Import / Export</t>
        </is>
      </c>
      <c r="C2002" s="16" t="inlineStr">
        <is>
          <t>Round-trip</t>
        </is>
      </c>
      <c r="D2002" s="16" t="inlineStr">
        <is>
          <t>Functional</t>
        </is>
      </c>
      <c r="E2002" s="16" t="inlineStr">
        <is>
          <t>Round-trip OpenAPI 3.0 JSON for: POST with form-data</t>
        </is>
      </c>
      <c r="F2002" s="16" t="inlineStr">
        <is>
          <t>-</t>
        </is>
      </c>
      <c r="G2002" s="16" t="inlineStr">
        <is>
          <t>1. In source tool (or fixture), create request shape 'POST with form-data'.
2. Export from source as OpenAPI 3.0 JSON.
3. Import into APICircle.
4. Compare resulting request to source.
5. (Optional) Export from APICircle as same format; diff.</t>
        </is>
      </c>
      <c r="H2002" s="16" t="inlineStr">
        <is>
          <t>fmt=OpenAPI 3.0 JSON shape=POST form-data</t>
        </is>
      </c>
      <c r="I2002" s="16" t="inlineStr">
        <is>
          <t>All compatible fields of 'POST with form-data' preserved through import. Any fields the format cannot represent are clearly flagged in the import warnings, not silently dropped. Round-trip export back yields a structurally equivalent file.</t>
        </is>
      </c>
      <c r="J2002" s="16" t="inlineStr"/>
      <c r="K2002" s="16" t="inlineStr">
        <is>
          <t>Not Run</t>
        </is>
      </c>
      <c r="L2002" s="16" t="inlineStr">
        <is>
          <t>Medium</t>
        </is>
      </c>
      <c r="M2002" s="16" t="inlineStr"/>
      <c r="N2002" s="16" t="inlineStr"/>
      <c r="O2002" s="16" t="inlineStr"/>
    </row>
    <row r="2003" ht="72" customHeight="1">
      <c r="A2003" s="16" t="inlineStr">
        <is>
          <t>TC-IE-0066</t>
        </is>
      </c>
      <c r="B2003" s="16" t="inlineStr">
        <is>
          <t>Import / Export</t>
        </is>
      </c>
      <c r="C2003" s="16" t="inlineStr">
        <is>
          <t>Round-trip</t>
        </is>
      </c>
      <c r="D2003" s="16" t="inlineStr">
        <is>
          <t>Functional</t>
        </is>
      </c>
      <c r="E2003" s="16" t="inlineStr">
        <is>
          <t>Round-trip OpenAPI 3.0 JSON for: POST with file upload</t>
        </is>
      </c>
      <c r="F2003" s="16" t="inlineStr">
        <is>
          <t>-</t>
        </is>
      </c>
      <c r="G2003" s="16" t="inlineStr">
        <is>
          <t>1. In source tool (or fixture), create request shape 'POST with file upload'.
2. Export from source as OpenAPI 3.0 JSON.
3. Import into APICircle.
4. Compare resulting request to source.
5. (Optional) Export from APICircle as same format; diff.</t>
        </is>
      </c>
      <c r="H2003" s="16" t="inlineStr">
        <is>
          <t>fmt=OpenAPI 3.0 JSON shape=POST file</t>
        </is>
      </c>
      <c r="I2003" s="16" t="inlineStr">
        <is>
          <t>All compatible fields of 'POST with file upload' preserved through import. Any fields the format cannot represent are clearly flagged in the import warnings, not silently dropped. Round-trip export back yields a structurally equivalent file.</t>
        </is>
      </c>
      <c r="J2003" s="16" t="inlineStr"/>
      <c r="K2003" s="16" t="inlineStr">
        <is>
          <t>Not Run</t>
        </is>
      </c>
      <c r="L2003" s="16" t="inlineStr">
        <is>
          <t>Medium</t>
        </is>
      </c>
      <c r="M2003" s="16" t="inlineStr"/>
      <c r="N2003" s="16" t="inlineStr"/>
      <c r="O2003" s="16" t="inlineStr"/>
    </row>
    <row r="2004" ht="72" customHeight="1">
      <c r="A2004" s="16" t="inlineStr">
        <is>
          <t>TC-IE-0067</t>
        </is>
      </c>
      <c r="B2004" s="16" t="inlineStr">
        <is>
          <t>Import / Export</t>
        </is>
      </c>
      <c r="C2004" s="16" t="inlineStr">
        <is>
          <t>Round-trip</t>
        </is>
      </c>
      <c r="D2004" s="16" t="inlineStr">
        <is>
          <t>Functional</t>
        </is>
      </c>
      <c r="E2004" s="16" t="inlineStr">
        <is>
          <t>Round-trip OpenAPI 3.0 JSON for: GraphQL query</t>
        </is>
      </c>
      <c r="F2004" s="16" t="inlineStr">
        <is>
          <t>-</t>
        </is>
      </c>
      <c r="G2004" s="16" t="inlineStr">
        <is>
          <t>1. In source tool (or fixture), create request shape 'GraphQL query'.
2. Export from source as OpenAPI 3.0 JSON.
3. Import into APICircle.
4. Compare resulting request to source.
5. (Optional) Export from APICircle as same format; diff.</t>
        </is>
      </c>
      <c r="H2004" s="16" t="inlineStr">
        <is>
          <t>fmt=OpenAPI 3.0 JSON shape=GraphQL POST</t>
        </is>
      </c>
      <c r="I2004" s="16" t="inlineStr">
        <is>
          <t>All compatible fields of 'GraphQL query' preserved through import. Any fields the format cannot represent are clearly flagged in the import warnings, not silently dropped. Round-trip export back yields a structurally equivalent file.</t>
        </is>
      </c>
      <c r="J2004" s="16" t="inlineStr"/>
      <c r="K2004" s="16" t="inlineStr">
        <is>
          <t>Not Run</t>
        </is>
      </c>
      <c r="L2004" s="16" t="inlineStr">
        <is>
          <t>Medium</t>
        </is>
      </c>
      <c r="M2004" s="16" t="inlineStr"/>
      <c r="N2004" s="16" t="inlineStr"/>
      <c r="O2004" s="16" t="inlineStr"/>
    </row>
    <row r="2005" ht="72" customHeight="1">
      <c r="A2005" s="16" t="inlineStr">
        <is>
          <t>TC-IE-0068</t>
        </is>
      </c>
      <c r="B2005" s="16" t="inlineStr">
        <is>
          <t>Import / Export</t>
        </is>
      </c>
      <c r="C2005" s="16" t="inlineStr">
        <is>
          <t>Round-trip</t>
        </is>
      </c>
      <c r="D2005" s="16" t="inlineStr">
        <is>
          <t>Functional</t>
        </is>
      </c>
      <c r="E2005" s="16" t="inlineStr">
        <is>
          <t>Round-trip OpenAPI 3.0 JSON for: Bearer auth</t>
        </is>
      </c>
      <c r="F2005" s="16" t="inlineStr">
        <is>
          <t>-</t>
        </is>
      </c>
      <c r="G2005" s="16" t="inlineStr">
        <is>
          <t>1. In source tool (or fixture), create request shape 'Bearer auth'.
2. Export from source as OpenAPI 3.0 JSON.
3. Import into APICircle.
4. Compare resulting request to source.
5. (Optional) Export from APICircle as same format; diff.</t>
        </is>
      </c>
      <c r="H2005" s="16" t="inlineStr">
        <is>
          <t>fmt=OpenAPI 3.0 JSON shape=Bearer</t>
        </is>
      </c>
      <c r="I2005" s="16" t="inlineStr">
        <is>
          <t>All compatible fields of 'Bearer auth' preserved through import. Any fields the format cannot represent are clearly flagged in the import warnings, not silently dropped. Round-trip export back yields a structurally equivalent file.</t>
        </is>
      </c>
      <c r="J2005" s="16" t="inlineStr"/>
      <c r="K2005" s="16" t="inlineStr">
        <is>
          <t>Not Run</t>
        </is>
      </c>
      <c r="L2005" s="16" t="inlineStr">
        <is>
          <t>Medium</t>
        </is>
      </c>
      <c r="M2005" s="16" t="inlineStr"/>
      <c r="N2005" s="16" t="inlineStr"/>
      <c r="O2005" s="16" t="inlineStr"/>
    </row>
    <row r="2006" ht="72" customHeight="1">
      <c r="A2006" s="16" t="inlineStr">
        <is>
          <t>TC-IE-0069</t>
        </is>
      </c>
      <c r="B2006" s="16" t="inlineStr">
        <is>
          <t>Import / Export</t>
        </is>
      </c>
      <c r="C2006" s="16" t="inlineStr">
        <is>
          <t>Round-trip</t>
        </is>
      </c>
      <c r="D2006" s="16" t="inlineStr">
        <is>
          <t>Functional</t>
        </is>
      </c>
      <c r="E2006" s="16" t="inlineStr">
        <is>
          <t>Round-trip OpenAPI 3.0 JSON for: Basic auth</t>
        </is>
      </c>
      <c r="F2006" s="16" t="inlineStr">
        <is>
          <t>-</t>
        </is>
      </c>
      <c r="G2006" s="16" t="inlineStr">
        <is>
          <t>1. In source tool (or fixture), create request shape 'Basic auth'.
2. Export from source as OpenAPI 3.0 JSON.
3. Import into APICircle.
4. Compare resulting request to source.
5. (Optional) Export from APICircle as same format; diff.</t>
        </is>
      </c>
      <c r="H2006" s="16" t="inlineStr">
        <is>
          <t>fmt=OpenAPI 3.0 JSON shape=Basic</t>
        </is>
      </c>
      <c r="I2006" s="16" t="inlineStr">
        <is>
          <t>All compatible fields of 'Basic auth' preserved through import. Any fields the format cannot represent are clearly flagged in the import warnings, not silently dropped. Round-trip export back yields a structurally equivalent file.</t>
        </is>
      </c>
      <c r="J2006" s="16" t="inlineStr"/>
      <c r="K2006" s="16" t="inlineStr">
        <is>
          <t>Not Run</t>
        </is>
      </c>
      <c r="L2006" s="16" t="inlineStr">
        <is>
          <t>Medium</t>
        </is>
      </c>
      <c r="M2006" s="16" t="inlineStr"/>
      <c r="N2006" s="16" t="inlineStr"/>
      <c r="O2006" s="16" t="inlineStr"/>
    </row>
    <row r="2007" ht="72" customHeight="1">
      <c r="A2007" s="16" t="inlineStr">
        <is>
          <t>TC-IE-0070</t>
        </is>
      </c>
      <c r="B2007" s="16" t="inlineStr">
        <is>
          <t>Import / Export</t>
        </is>
      </c>
      <c r="C2007" s="16" t="inlineStr">
        <is>
          <t>Round-trip</t>
        </is>
      </c>
      <c r="D2007" s="16" t="inlineStr">
        <is>
          <t>Functional</t>
        </is>
      </c>
      <c r="E2007" s="16" t="inlineStr">
        <is>
          <t>Round-trip OpenAPI 3.0 JSON for: OAuth2 (with token)</t>
        </is>
      </c>
      <c r="F2007" s="16" t="inlineStr">
        <is>
          <t>-</t>
        </is>
      </c>
      <c r="G2007" s="16" t="inlineStr">
        <is>
          <t>1. In source tool (or fixture), create request shape 'OAuth2 (with token)'.
2. Export from source as OpenAPI 3.0 JSON.
3. Import into APICircle.
4. Compare resulting request to source.
5. (Optional) Export from APICircle as same format; diff.</t>
        </is>
      </c>
      <c r="H2007" s="16" t="inlineStr">
        <is>
          <t>fmt=OpenAPI 3.0 JSON shape=OAuth2</t>
        </is>
      </c>
      <c r="I2007" s="16" t="inlineStr">
        <is>
          <t>All compatible fields of 'OAuth2 (with token)' preserved through import. Any fields the format cannot represent are clearly flagged in the import warnings, not silently dropped. Round-trip export back yields a structurally equivalent file.</t>
        </is>
      </c>
      <c r="J2007" s="16" t="inlineStr"/>
      <c r="K2007" s="16" t="inlineStr">
        <is>
          <t>Not Run</t>
        </is>
      </c>
      <c r="L2007" s="16" t="inlineStr">
        <is>
          <t>Medium</t>
        </is>
      </c>
      <c r="M2007" s="16" t="inlineStr"/>
      <c r="N2007" s="16" t="inlineStr"/>
      <c r="O2007" s="16" t="inlineStr"/>
    </row>
    <row r="2008" ht="72" customHeight="1">
      <c r="A2008" s="16" t="inlineStr">
        <is>
          <t>TC-IE-0071</t>
        </is>
      </c>
      <c r="B2008" s="16" t="inlineStr">
        <is>
          <t>Import / Export</t>
        </is>
      </c>
      <c r="C2008" s="16" t="inlineStr">
        <is>
          <t>Round-trip</t>
        </is>
      </c>
      <c r="D2008" s="16" t="inlineStr">
        <is>
          <t>Functional</t>
        </is>
      </c>
      <c r="E2008" s="16" t="inlineStr">
        <is>
          <t>Round-trip OpenAPI 3.0 JSON for: API key in header</t>
        </is>
      </c>
      <c r="F2008" s="16" t="inlineStr">
        <is>
          <t>-</t>
        </is>
      </c>
      <c r="G2008" s="16" t="inlineStr">
        <is>
          <t>1. In source tool (or fixture), create request shape 'API key in header'.
2. Export from source as OpenAPI 3.0 JSON.
3. Import into APICircle.
4. Compare resulting request to source.
5. (Optional) Export from APICircle as same format; diff.</t>
        </is>
      </c>
      <c r="H2008" s="16" t="inlineStr">
        <is>
          <t>fmt=OpenAPI 3.0 JSON shape=API key header</t>
        </is>
      </c>
      <c r="I2008" s="16" t="inlineStr">
        <is>
          <t>All compatible fields of 'API key in header' preserved through import. Any fields the format cannot represent are clearly flagged in the import warnings, not silently dropped. Round-trip export back yields a structurally equivalent file.</t>
        </is>
      </c>
      <c r="J2008" s="16" t="inlineStr"/>
      <c r="K2008" s="16" t="inlineStr">
        <is>
          <t>Not Run</t>
        </is>
      </c>
      <c r="L2008" s="16" t="inlineStr">
        <is>
          <t>Medium</t>
        </is>
      </c>
      <c r="M2008" s="16" t="inlineStr"/>
      <c r="N2008" s="16" t="inlineStr"/>
      <c r="O2008" s="16" t="inlineStr"/>
    </row>
    <row r="2009" ht="72" customHeight="1">
      <c r="A2009" s="16" t="inlineStr">
        <is>
          <t>TC-IE-0072</t>
        </is>
      </c>
      <c r="B2009" s="16" t="inlineStr">
        <is>
          <t>Import / Export</t>
        </is>
      </c>
      <c r="C2009" s="16" t="inlineStr">
        <is>
          <t>Round-trip</t>
        </is>
      </c>
      <c r="D2009" s="16" t="inlineStr">
        <is>
          <t>Functional</t>
        </is>
      </c>
      <c r="E2009" s="16" t="inlineStr">
        <is>
          <t>Round-trip OpenAPI 3.0 JSON for: API key in query</t>
        </is>
      </c>
      <c r="F2009" s="16" t="inlineStr">
        <is>
          <t>-</t>
        </is>
      </c>
      <c r="G2009" s="16" t="inlineStr">
        <is>
          <t>1. In source tool (or fixture), create request shape 'API key in query'.
2. Export from source as OpenAPI 3.0 JSON.
3. Import into APICircle.
4. Compare resulting request to source.
5. (Optional) Export from APICircle as same format; diff.</t>
        </is>
      </c>
      <c r="H2009" s="16" t="inlineStr">
        <is>
          <t>fmt=OpenAPI 3.0 JSON shape=API key query</t>
        </is>
      </c>
      <c r="I2009" s="16" t="inlineStr">
        <is>
          <t>All compatible fields of 'API key in query' preserved through import. Any fields the format cannot represent are clearly flagged in the import warnings, not silently dropped. Round-trip export back yields a structurally equivalent file.</t>
        </is>
      </c>
      <c r="J2009" s="16" t="inlineStr"/>
      <c r="K2009" s="16" t="inlineStr">
        <is>
          <t>Not Run</t>
        </is>
      </c>
      <c r="L2009" s="16" t="inlineStr">
        <is>
          <t>Medium</t>
        </is>
      </c>
      <c r="M2009" s="16" t="inlineStr"/>
      <c r="N2009" s="16" t="inlineStr"/>
      <c r="O2009" s="16" t="inlineStr"/>
    </row>
    <row r="2010" ht="72" customHeight="1">
      <c r="A2010" s="16" t="inlineStr">
        <is>
          <t>TC-IE-0073</t>
        </is>
      </c>
      <c r="B2010" s="16" t="inlineStr">
        <is>
          <t>Import / Export</t>
        </is>
      </c>
      <c r="C2010" s="16" t="inlineStr">
        <is>
          <t>Round-trip</t>
        </is>
      </c>
      <c r="D2010" s="16" t="inlineStr">
        <is>
          <t>Functional</t>
        </is>
      </c>
      <c r="E2010" s="16" t="inlineStr">
        <is>
          <t>Round-trip OpenAPI 3.0 JSON for: Custom headers</t>
        </is>
      </c>
      <c r="F2010" s="16" t="inlineStr">
        <is>
          <t>-</t>
        </is>
      </c>
      <c r="G2010" s="16" t="inlineStr">
        <is>
          <t>1. In source tool (or fixture), create request shape 'Custom headers'.
2. Export from source as OpenAPI 3.0 JSON.
3. Import into APICircle.
4. Compare resulting request to source.
5. (Optional) Export from APICircle as same format; diff.</t>
        </is>
      </c>
      <c r="H2010" s="16" t="inlineStr">
        <is>
          <t>fmt=OpenAPI 3.0 JSON shape=Custom headers</t>
        </is>
      </c>
      <c r="I2010" s="16" t="inlineStr">
        <is>
          <t>All compatible fields of 'Custom headers' preserved through import. Any fields the format cannot represent are clearly flagged in the import warnings, not silently dropped. Round-trip export back yields a structurally equivalent file.</t>
        </is>
      </c>
      <c r="J2010" s="16" t="inlineStr"/>
      <c r="K2010" s="16" t="inlineStr">
        <is>
          <t>Not Run</t>
        </is>
      </c>
      <c r="L2010" s="16" t="inlineStr">
        <is>
          <t>Medium</t>
        </is>
      </c>
      <c r="M2010" s="16" t="inlineStr"/>
      <c r="N2010" s="16" t="inlineStr"/>
      <c r="O2010" s="16" t="inlineStr"/>
    </row>
    <row r="2011" ht="72" customHeight="1">
      <c r="A2011" s="16" t="inlineStr">
        <is>
          <t>TC-IE-0074</t>
        </is>
      </c>
      <c r="B2011" s="16" t="inlineStr">
        <is>
          <t>Import / Export</t>
        </is>
      </c>
      <c r="C2011" s="16" t="inlineStr">
        <is>
          <t>Round-trip</t>
        </is>
      </c>
      <c r="D2011" s="16" t="inlineStr">
        <is>
          <t>Functional</t>
        </is>
      </c>
      <c r="E2011" s="16" t="inlineStr">
        <is>
          <t>Round-trip OpenAPI 3.0 JSON for: Path params (:id)</t>
        </is>
      </c>
      <c r="F2011" s="16" t="inlineStr">
        <is>
          <t>-</t>
        </is>
      </c>
      <c r="G2011" s="16" t="inlineStr">
        <is>
          <t>1. In source tool (or fixture), create request shape 'Path params (:id)'.
2. Export from source as OpenAPI 3.0 JSON.
3. Import into APICircle.
4. Compare resulting request to source.
5. (Optional) Export from APICircle as same format; diff.</t>
        </is>
      </c>
      <c r="H2011" s="16" t="inlineStr">
        <is>
          <t>fmt=OpenAPI 3.0 JSON shape=Path params</t>
        </is>
      </c>
      <c r="I2011" s="16" t="inlineStr">
        <is>
          <t>All compatible fields of 'Path params (:id)' preserved through import. Any fields the format cannot represent are clearly flagged in the import warnings, not silently dropped. Round-trip export back yields a structurally equivalent file.</t>
        </is>
      </c>
      <c r="J2011" s="16" t="inlineStr"/>
      <c r="K2011" s="16" t="inlineStr">
        <is>
          <t>Not Run</t>
        </is>
      </c>
      <c r="L2011" s="16" t="inlineStr">
        <is>
          <t>Medium</t>
        </is>
      </c>
      <c r="M2011" s="16" t="inlineStr"/>
      <c r="N2011" s="16" t="inlineStr"/>
      <c r="O2011" s="16" t="inlineStr"/>
    </row>
    <row r="2012" ht="72" customHeight="1">
      <c r="A2012" s="16" t="inlineStr">
        <is>
          <t>TC-IE-0075</t>
        </is>
      </c>
      <c r="B2012" s="16" t="inlineStr">
        <is>
          <t>Import / Export</t>
        </is>
      </c>
      <c r="C2012" s="16" t="inlineStr">
        <is>
          <t>Round-trip</t>
        </is>
      </c>
      <c r="D2012" s="16" t="inlineStr">
        <is>
          <t>Functional</t>
        </is>
      </c>
      <c r="E2012" s="16" t="inlineStr">
        <is>
          <t>Round-trip OpenAPI 3.0 JSON for: Query params</t>
        </is>
      </c>
      <c r="F2012" s="16" t="inlineStr">
        <is>
          <t>-</t>
        </is>
      </c>
      <c r="G2012" s="16" t="inlineStr">
        <is>
          <t>1. In source tool (or fixture), create request shape 'Query params'.
2. Export from source as OpenAPI 3.0 JSON.
3. Import into APICircle.
4. Compare resulting request to source.
5. (Optional) Export from APICircle as same format; diff.</t>
        </is>
      </c>
      <c r="H2012" s="16" t="inlineStr">
        <is>
          <t>fmt=OpenAPI 3.0 JSON shape=Query params</t>
        </is>
      </c>
      <c r="I2012" s="16" t="inlineStr">
        <is>
          <t>All compatible fields of 'Query params' preserved through import. Any fields the format cannot represent are clearly flagged in the import warnings, not silently dropped. Round-trip export back yields a structurally equivalent file.</t>
        </is>
      </c>
      <c r="J2012" s="16" t="inlineStr"/>
      <c r="K2012" s="16" t="inlineStr">
        <is>
          <t>Not Run</t>
        </is>
      </c>
      <c r="L2012" s="16" t="inlineStr">
        <is>
          <t>Medium</t>
        </is>
      </c>
      <c r="M2012" s="16" t="inlineStr"/>
      <c r="N2012" s="16" t="inlineStr"/>
      <c r="O2012" s="16" t="inlineStr"/>
    </row>
    <row r="2013" ht="72" customHeight="1">
      <c r="A2013" s="16" t="inlineStr">
        <is>
          <t>TC-IE-0076</t>
        </is>
      </c>
      <c r="B2013" s="16" t="inlineStr">
        <is>
          <t>Import / Export</t>
        </is>
      </c>
      <c r="C2013" s="16" t="inlineStr">
        <is>
          <t>Round-trip</t>
        </is>
      </c>
      <c r="D2013" s="16" t="inlineStr">
        <is>
          <t>Functional</t>
        </is>
      </c>
      <c r="E2013" s="16" t="inlineStr">
        <is>
          <t>Round-trip OpenAPI 3.0 JSON for: Variables in URL/body</t>
        </is>
      </c>
      <c r="F2013" s="16" t="inlineStr">
        <is>
          <t>-</t>
        </is>
      </c>
      <c r="G2013" s="16" t="inlineStr">
        <is>
          <t>1. In source tool (or fixture), create request shape 'Variables in URL/body'.
2. Export from source as OpenAPI 3.0 JSON.
3. Import into APICircle.
4. Compare resulting request to source.
5. (Optional) Export from APICircle as same format; diff.</t>
        </is>
      </c>
      <c r="H2013" s="16" t="inlineStr">
        <is>
          <t>fmt=OpenAPI 3.0 JSON shape=Variables</t>
        </is>
      </c>
      <c r="I2013" s="16" t="inlineStr">
        <is>
          <t>All compatible fields of 'Variables in URL/body' preserved through import. Any fields the format cannot represent are clearly flagged in the import warnings, not silently dropped. Round-trip export back yields a structurally equivalent file.</t>
        </is>
      </c>
      <c r="J2013" s="16" t="inlineStr"/>
      <c r="K2013" s="16" t="inlineStr">
        <is>
          <t>Not Run</t>
        </is>
      </c>
      <c r="L2013" s="16" t="inlineStr">
        <is>
          <t>Medium</t>
        </is>
      </c>
      <c r="M2013" s="16" t="inlineStr"/>
      <c r="N2013" s="16" t="inlineStr"/>
      <c r="O2013" s="16" t="inlineStr"/>
    </row>
    <row r="2014" ht="72" customHeight="1">
      <c r="A2014" s="16" t="inlineStr">
        <is>
          <t>TC-IE-0077</t>
        </is>
      </c>
      <c r="B2014" s="16" t="inlineStr">
        <is>
          <t>Import / Export</t>
        </is>
      </c>
      <c r="C2014" s="16" t="inlineStr">
        <is>
          <t>Round-trip</t>
        </is>
      </c>
      <c r="D2014" s="16" t="inlineStr">
        <is>
          <t>Functional</t>
        </is>
      </c>
      <c r="E2014" s="16" t="inlineStr">
        <is>
          <t>Round-trip OpenAPI 3.0 JSON for: Pre-request script</t>
        </is>
      </c>
      <c r="F2014" s="16" t="inlineStr">
        <is>
          <t>-</t>
        </is>
      </c>
      <c r="G2014" s="16" t="inlineStr">
        <is>
          <t>1. In source tool (or fixture), create request shape 'Pre-request script'.
2. Export from source as OpenAPI 3.0 JSON.
3. Import into APICircle.
4. Compare resulting request to source.
5. (Optional) Export from APICircle as same format; diff.</t>
        </is>
      </c>
      <c r="H2014" s="16" t="inlineStr">
        <is>
          <t>fmt=OpenAPI 3.0 JSON shape=Pre-script</t>
        </is>
      </c>
      <c r="I2014" s="16" t="inlineStr">
        <is>
          <t>All compatible fields of 'Pre-request script' preserved through import. Any fields the format cannot represent are clearly flagged in the import warnings, not silently dropped. Round-trip export back yields a structurally equivalent file.</t>
        </is>
      </c>
      <c r="J2014" s="16" t="inlineStr"/>
      <c r="K2014" s="16" t="inlineStr">
        <is>
          <t>Not Run</t>
        </is>
      </c>
      <c r="L2014" s="16" t="inlineStr">
        <is>
          <t>Medium</t>
        </is>
      </c>
      <c r="M2014" s="16" t="inlineStr"/>
      <c r="N2014" s="16" t="inlineStr"/>
      <c r="O2014" s="16" t="inlineStr"/>
    </row>
    <row r="2015" ht="72" customHeight="1">
      <c r="A2015" s="16" t="inlineStr">
        <is>
          <t>TC-IE-0078</t>
        </is>
      </c>
      <c r="B2015" s="16" t="inlineStr">
        <is>
          <t>Import / Export</t>
        </is>
      </c>
      <c r="C2015" s="16" t="inlineStr">
        <is>
          <t>Round-trip</t>
        </is>
      </c>
      <c r="D2015" s="16" t="inlineStr">
        <is>
          <t>Functional</t>
        </is>
      </c>
      <c r="E2015" s="16" t="inlineStr">
        <is>
          <t>Round-trip OpenAPI 3.0 JSON for: Tests / assertions</t>
        </is>
      </c>
      <c r="F2015" s="16" t="inlineStr">
        <is>
          <t>-</t>
        </is>
      </c>
      <c r="G2015" s="16" t="inlineStr">
        <is>
          <t>1. In source tool (or fixture), create request shape 'Tests / assertions'.
2. Export from source as OpenAPI 3.0 JSON.
3. Import into APICircle.
4. Compare resulting request to source.
5. (Optional) Export from APICircle as same format; diff.</t>
        </is>
      </c>
      <c r="H2015" s="16" t="inlineStr">
        <is>
          <t>fmt=OpenAPI 3.0 JSON shape=Tests</t>
        </is>
      </c>
      <c r="I2015" s="16" t="inlineStr">
        <is>
          <t>All compatible fields of 'Tests / assertions' preserved through import. Any fields the format cannot represent are clearly flagged in the import warnings, not silently dropped. Round-trip export back yields a structurally equivalent file.</t>
        </is>
      </c>
      <c r="J2015" s="16" t="inlineStr"/>
      <c r="K2015" s="16" t="inlineStr">
        <is>
          <t>Not Run</t>
        </is>
      </c>
      <c r="L2015" s="16" t="inlineStr">
        <is>
          <t>Medium</t>
        </is>
      </c>
      <c r="M2015" s="16" t="inlineStr"/>
      <c r="N2015" s="16" t="inlineStr"/>
      <c r="O2015" s="16" t="inlineStr"/>
    </row>
    <row r="2016" ht="72" customHeight="1">
      <c r="A2016" s="16" t="inlineStr">
        <is>
          <t>TC-IE-0079</t>
        </is>
      </c>
      <c r="B2016" s="16" t="inlineStr">
        <is>
          <t>Import / Export</t>
        </is>
      </c>
      <c r="C2016" s="16" t="inlineStr">
        <is>
          <t>Round-trip</t>
        </is>
      </c>
      <c r="D2016" s="16" t="inlineStr">
        <is>
          <t>Functional</t>
        </is>
      </c>
      <c r="E2016" s="16" t="inlineStr">
        <is>
          <t>Round-trip Swagger 2.0 for: GET no body</t>
        </is>
      </c>
      <c r="F2016" s="16" t="inlineStr">
        <is>
          <t>-</t>
        </is>
      </c>
      <c r="G2016" s="16" t="inlineStr">
        <is>
          <t>1. In source tool (or fixture), create request shape 'GET no body'.
2. Export from source as Swagger 2.0.
3. Import into APICircle.
4. Compare resulting request to source.
5. (Optional) Export from APICircle as same format; diff.</t>
        </is>
      </c>
      <c r="H2016" s="16" t="inlineStr">
        <is>
          <t>fmt=Swagger 2.0 shape=Simple GET</t>
        </is>
      </c>
      <c r="I2016" s="16" t="inlineStr">
        <is>
          <t>All compatible fields of 'GET no body' preserved through import. Any fields the format cannot represent are clearly flagged in the import warnings, not silently dropped. Round-trip export back yields a structurally equivalent file.</t>
        </is>
      </c>
      <c r="J2016" s="16" t="inlineStr"/>
      <c r="K2016" s="16" t="inlineStr">
        <is>
          <t>Not Run</t>
        </is>
      </c>
      <c r="L2016" s="16" t="inlineStr">
        <is>
          <t>Medium</t>
        </is>
      </c>
      <c r="M2016" s="16" t="inlineStr"/>
      <c r="N2016" s="16" t="inlineStr"/>
      <c r="O2016" s="16" t="inlineStr"/>
    </row>
    <row r="2017" ht="72" customHeight="1">
      <c r="A2017" s="16" t="inlineStr">
        <is>
          <t>TC-IE-0080</t>
        </is>
      </c>
      <c r="B2017" s="16" t="inlineStr">
        <is>
          <t>Import / Export</t>
        </is>
      </c>
      <c r="C2017" s="16" t="inlineStr">
        <is>
          <t>Round-trip</t>
        </is>
      </c>
      <c r="D2017" s="16" t="inlineStr">
        <is>
          <t>Functional</t>
        </is>
      </c>
      <c r="E2017" s="16" t="inlineStr">
        <is>
          <t>Round-trip Swagger 2.0 for: POST with JSON body</t>
        </is>
      </c>
      <c r="F2017" s="16" t="inlineStr">
        <is>
          <t>-</t>
        </is>
      </c>
      <c r="G2017" s="16" t="inlineStr">
        <is>
          <t>1. In source tool (or fixture), create request shape 'POST with JSON body'.
2. Export from source as Swagger 2.0.
3. Import into APICircle.
4. Compare resulting request to source.
5. (Optional) Export from APICircle as same format; diff.</t>
        </is>
      </c>
      <c r="H2017" s="16" t="inlineStr">
        <is>
          <t>fmt=Swagger 2.0 shape=POST JSON</t>
        </is>
      </c>
      <c r="I2017" s="16" t="inlineStr">
        <is>
          <t>All compatible fields of 'POST with JSON body' preserved through import. Any fields the format cannot represent are clearly flagged in the import warnings, not silently dropped. Round-trip export back yields a structurally equivalent file.</t>
        </is>
      </c>
      <c r="J2017" s="16" t="inlineStr"/>
      <c r="K2017" s="16" t="inlineStr">
        <is>
          <t>Not Run</t>
        </is>
      </c>
      <c r="L2017" s="16" t="inlineStr">
        <is>
          <t>Medium</t>
        </is>
      </c>
      <c r="M2017" s="16" t="inlineStr"/>
      <c r="N2017" s="16" t="inlineStr"/>
      <c r="O2017" s="16" t="inlineStr"/>
    </row>
    <row r="2018" ht="72" customHeight="1">
      <c r="A2018" s="16" t="inlineStr">
        <is>
          <t>TC-IE-0081</t>
        </is>
      </c>
      <c r="B2018" s="16" t="inlineStr">
        <is>
          <t>Import / Export</t>
        </is>
      </c>
      <c r="C2018" s="16" t="inlineStr">
        <is>
          <t>Round-trip</t>
        </is>
      </c>
      <c r="D2018" s="16" t="inlineStr">
        <is>
          <t>Functional</t>
        </is>
      </c>
      <c r="E2018" s="16" t="inlineStr">
        <is>
          <t>Round-trip Swagger 2.0 for: POST with form-data</t>
        </is>
      </c>
      <c r="F2018" s="16" t="inlineStr">
        <is>
          <t>-</t>
        </is>
      </c>
      <c r="G2018" s="16" t="inlineStr">
        <is>
          <t>1. In source tool (or fixture), create request shape 'POST with form-data'.
2. Export from source as Swagger 2.0.
3. Import into APICircle.
4. Compare resulting request to source.
5. (Optional) Export from APICircle as same format; diff.</t>
        </is>
      </c>
      <c r="H2018" s="16" t="inlineStr">
        <is>
          <t>fmt=Swagger 2.0 shape=POST form-data</t>
        </is>
      </c>
      <c r="I2018" s="16" t="inlineStr">
        <is>
          <t>All compatible fields of 'POST with form-data' preserved through import. Any fields the format cannot represent are clearly flagged in the import warnings, not silently dropped. Round-trip export back yields a structurally equivalent file.</t>
        </is>
      </c>
      <c r="J2018" s="16" t="inlineStr"/>
      <c r="K2018" s="16" t="inlineStr">
        <is>
          <t>Not Run</t>
        </is>
      </c>
      <c r="L2018" s="16" t="inlineStr">
        <is>
          <t>Medium</t>
        </is>
      </c>
      <c r="M2018" s="16" t="inlineStr"/>
      <c r="N2018" s="16" t="inlineStr"/>
      <c r="O2018" s="16" t="inlineStr"/>
    </row>
    <row r="2019" ht="72" customHeight="1">
      <c r="A2019" s="16" t="inlineStr">
        <is>
          <t>TC-IE-0082</t>
        </is>
      </c>
      <c r="B2019" s="16" t="inlineStr">
        <is>
          <t>Import / Export</t>
        </is>
      </c>
      <c r="C2019" s="16" t="inlineStr">
        <is>
          <t>Round-trip</t>
        </is>
      </c>
      <c r="D2019" s="16" t="inlineStr">
        <is>
          <t>Functional</t>
        </is>
      </c>
      <c r="E2019" s="16" t="inlineStr">
        <is>
          <t>Round-trip Swagger 2.0 for: POST with file upload</t>
        </is>
      </c>
      <c r="F2019" s="16" t="inlineStr">
        <is>
          <t>-</t>
        </is>
      </c>
      <c r="G2019" s="16" t="inlineStr">
        <is>
          <t>1. In source tool (or fixture), create request shape 'POST with file upload'.
2. Export from source as Swagger 2.0.
3. Import into APICircle.
4. Compare resulting request to source.
5. (Optional) Export from APICircle as same format; diff.</t>
        </is>
      </c>
      <c r="H2019" s="16" t="inlineStr">
        <is>
          <t>fmt=Swagger 2.0 shape=POST file</t>
        </is>
      </c>
      <c r="I2019" s="16" t="inlineStr">
        <is>
          <t>All compatible fields of 'POST with file upload' preserved through import. Any fields the format cannot represent are clearly flagged in the import warnings, not silently dropped. Round-trip export back yields a structurally equivalent file.</t>
        </is>
      </c>
      <c r="J2019" s="16" t="inlineStr"/>
      <c r="K2019" s="16" t="inlineStr">
        <is>
          <t>Not Run</t>
        </is>
      </c>
      <c r="L2019" s="16" t="inlineStr">
        <is>
          <t>Medium</t>
        </is>
      </c>
      <c r="M2019" s="16" t="inlineStr"/>
      <c r="N2019" s="16" t="inlineStr"/>
      <c r="O2019" s="16" t="inlineStr"/>
    </row>
    <row r="2020" ht="72" customHeight="1">
      <c r="A2020" s="16" t="inlineStr">
        <is>
          <t>TC-IE-0083</t>
        </is>
      </c>
      <c r="B2020" s="16" t="inlineStr">
        <is>
          <t>Import / Export</t>
        </is>
      </c>
      <c r="C2020" s="16" t="inlineStr">
        <is>
          <t>Round-trip</t>
        </is>
      </c>
      <c r="D2020" s="16" t="inlineStr">
        <is>
          <t>Functional</t>
        </is>
      </c>
      <c r="E2020" s="16" t="inlineStr">
        <is>
          <t>Round-trip Swagger 2.0 for: GraphQL query</t>
        </is>
      </c>
      <c r="F2020" s="16" t="inlineStr">
        <is>
          <t>-</t>
        </is>
      </c>
      <c r="G2020" s="16" t="inlineStr">
        <is>
          <t>1. In source tool (or fixture), create request shape 'GraphQL query'.
2. Export from source as Swagger 2.0.
3. Import into APICircle.
4. Compare resulting request to source.
5. (Optional) Export from APICircle as same format; diff.</t>
        </is>
      </c>
      <c r="H2020" s="16" t="inlineStr">
        <is>
          <t>fmt=Swagger 2.0 shape=GraphQL POST</t>
        </is>
      </c>
      <c r="I2020" s="16" t="inlineStr">
        <is>
          <t>All compatible fields of 'GraphQL query' preserved through import. Any fields the format cannot represent are clearly flagged in the import warnings, not silently dropped. Round-trip export back yields a structurally equivalent file.</t>
        </is>
      </c>
      <c r="J2020" s="16" t="inlineStr"/>
      <c r="K2020" s="16" t="inlineStr">
        <is>
          <t>Not Run</t>
        </is>
      </c>
      <c r="L2020" s="16" t="inlineStr">
        <is>
          <t>Medium</t>
        </is>
      </c>
      <c r="M2020" s="16" t="inlineStr"/>
      <c r="N2020" s="16" t="inlineStr"/>
      <c r="O2020" s="16" t="inlineStr"/>
    </row>
    <row r="2021" ht="72" customHeight="1">
      <c r="A2021" s="16" t="inlineStr">
        <is>
          <t>TC-IE-0084</t>
        </is>
      </c>
      <c r="B2021" s="16" t="inlineStr">
        <is>
          <t>Import / Export</t>
        </is>
      </c>
      <c r="C2021" s="16" t="inlineStr">
        <is>
          <t>Round-trip</t>
        </is>
      </c>
      <c r="D2021" s="16" t="inlineStr">
        <is>
          <t>Functional</t>
        </is>
      </c>
      <c r="E2021" s="16" t="inlineStr">
        <is>
          <t>Round-trip Swagger 2.0 for: Bearer auth</t>
        </is>
      </c>
      <c r="F2021" s="16" t="inlineStr">
        <is>
          <t>-</t>
        </is>
      </c>
      <c r="G2021" s="16" t="inlineStr">
        <is>
          <t>1. In source tool (or fixture), create request shape 'Bearer auth'.
2. Export from source as Swagger 2.0.
3. Import into APICircle.
4. Compare resulting request to source.
5. (Optional) Export from APICircle as same format; diff.</t>
        </is>
      </c>
      <c r="H2021" s="16" t="inlineStr">
        <is>
          <t>fmt=Swagger 2.0 shape=Bearer</t>
        </is>
      </c>
      <c r="I2021" s="16" t="inlineStr">
        <is>
          <t>All compatible fields of 'Bearer auth' preserved through import. Any fields the format cannot represent are clearly flagged in the import warnings, not silently dropped. Round-trip export back yields a structurally equivalent file.</t>
        </is>
      </c>
      <c r="J2021" s="16" t="inlineStr"/>
      <c r="K2021" s="16" t="inlineStr">
        <is>
          <t>Not Run</t>
        </is>
      </c>
      <c r="L2021" s="16" t="inlineStr">
        <is>
          <t>Medium</t>
        </is>
      </c>
      <c r="M2021" s="16" t="inlineStr"/>
      <c r="N2021" s="16" t="inlineStr"/>
      <c r="O2021" s="16" t="inlineStr"/>
    </row>
    <row r="2022" ht="72" customHeight="1">
      <c r="A2022" s="16" t="inlineStr">
        <is>
          <t>TC-IE-0085</t>
        </is>
      </c>
      <c r="B2022" s="16" t="inlineStr">
        <is>
          <t>Import / Export</t>
        </is>
      </c>
      <c r="C2022" s="16" t="inlineStr">
        <is>
          <t>Round-trip</t>
        </is>
      </c>
      <c r="D2022" s="16" t="inlineStr">
        <is>
          <t>Functional</t>
        </is>
      </c>
      <c r="E2022" s="16" t="inlineStr">
        <is>
          <t>Round-trip Swagger 2.0 for: Basic auth</t>
        </is>
      </c>
      <c r="F2022" s="16" t="inlineStr">
        <is>
          <t>-</t>
        </is>
      </c>
      <c r="G2022" s="16" t="inlineStr">
        <is>
          <t>1. In source tool (or fixture), create request shape 'Basic auth'.
2. Export from source as Swagger 2.0.
3. Import into APICircle.
4. Compare resulting request to source.
5. (Optional) Export from APICircle as same format; diff.</t>
        </is>
      </c>
      <c r="H2022" s="16" t="inlineStr">
        <is>
          <t>fmt=Swagger 2.0 shape=Basic</t>
        </is>
      </c>
      <c r="I2022" s="16" t="inlineStr">
        <is>
          <t>All compatible fields of 'Basic auth' preserved through import. Any fields the format cannot represent are clearly flagged in the import warnings, not silently dropped. Round-trip export back yields a structurally equivalent file.</t>
        </is>
      </c>
      <c r="J2022" s="16" t="inlineStr"/>
      <c r="K2022" s="16" t="inlineStr">
        <is>
          <t>Not Run</t>
        </is>
      </c>
      <c r="L2022" s="16" t="inlineStr">
        <is>
          <t>Medium</t>
        </is>
      </c>
      <c r="M2022" s="16" t="inlineStr"/>
      <c r="N2022" s="16" t="inlineStr"/>
      <c r="O2022" s="16" t="inlineStr"/>
    </row>
    <row r="2023" ht="72" customHeight="1">
      <c r="A2023" s="16" t="inlineStr">
        <is>
          <t>TC-IE-0086</t>
        </is>
      </c>
      <c r="B2023" s="16" t="inlineStr">
        <is>
          <t>Import / Export</t>
        </is>
      </c>
      <c r="C2023" s="16" t="inlineStr">
        <is>
          <t>Round-trip</t>
        </is>
      </c>
      <c r="D2023" s="16" t="inlineStr">
        <is>
          <t>Functional</t>
        </is>
      </c>
      <c r="E2023" s="16" t="inlineStr">
        <is>
          <t>Round-trip Swagger 2.0 for: OAuth2 (with token)</t>
        </is>
      </c>
      <c r="F2023" s="16" t="inlineStr">
        <is>
          <t>-</t>
        </is>
      </c>
      <c r="G2023" s="16" t="inlineStr">
        <is>
          <t>1. In source tool (or fixture), create request shape 'OAuth2 (with token)'.
2. Export from source as Swagger 2.0.
3. Import into APICircle.
4. Compare resulting request to source.
5. (Optional) Export from APICircle as same format; diff.</t>
        </is>
      </c>
      <c r="H2023" s="16" t="inlineStr">
        <is>
          <t>fmt=Swagger 2.0 shape=OAuth2</t>
        </is>
      </c>
      <c r="I2023" s="16" t="inlineStr">
        <is>
          <t>All compatible fields of 'OAuth2 (with token)' preserved through import. Any fields the format cannot represent are clearly flagged in the import warnings, not silently dropped. Round-trip export back yields a structurally equivalent file.</t>
        </is>
      </c>
      <c r="J2023" s="16" t="inlineStr"/>
      <c r="K2023" s="16" t="inlineStr">
        <is>
          <t>Not Run</t>
        </is>
      </c>
      <c r="L2023" s="16" t="inlineStr">
        <is>
          <t>Medium</t>
        </is>
      </c>
      <c r="M2023" s="16" t="inlineStr"/>
      <c r="N2023" s="16" t="inlineStr"/>
      <c r="O2023" s="16" t="inlineStr"/>
    </row>
    <row r="2024" ht="72" customHeight="1">
      <c r="A2024" s="16" t="inlineStr">
        <is>
          <t>TC-IE-0087</t>
        </is>
      </c>
      <c r="B2024" s="16" t="inlineStr">
        <is>
          <t>Import / Export</t>
        </is>
      </c>
      <c r="C2024" s="16" t="inlineStr">
        <is>
          <t>Round-trip</t>
        </is>
      </c>
      <c r="D2024" s="16" t="inlineStr">
        <is>
          <t>Functional</t>
        </is>
      </c>
      <c r="E2024" s="16" t="inlineStr">
        <is>
          <t>Round-trip Swagger 2.0 for: API key in header</t>
        </is>
      </c>
      <c r="F2024" s="16" t="inlineStr">
        <is>
          <t>-</t>
        </is>
      </c>
      <c r="G2024" s="16" t="inlineStr">
        <is>
          <t>1. In source tool (or fixture), create request shape 'API key in header'.
2. Export from source as Swagger 2.0.
3. Import into APICircle.
4. Compare resulting request to source.
5. (Optional) Export from APICircle as same format; diff.</t>
        </is>
      </c>
      <c r="H2024" s="16" t="inlineStr">
        <is>
          <t>fmt=Swagger 2.0 shape=API key header</t>
        </is>
      </c>
      <c r="I2024" s="16" t="inlineStr">
        <is>
          <t>All compatible fields of 'API key in header' preserved through import. Any fields the format cannot represent are clearly flagged in the import warnings, not silently dropped. Round-trip export back yields a structurally equivalent file.</t>
        </is>
      </c>
      <c r="J2024" s="16" t="inlineStr"/>
      <c r="K2024" s="16" t="inlineStr">
        <is>
          <t>Not Run</t>
        </is>
      </c>
      <c r="L2024" s="16" t="inlineStr">
        <is>
          <t>Medium</t>
        </is>
      </c>
      <c r="M2024" s="16" t="inlineStr"/>
      <c r="N2024" s="16" t="inlineStr"/>
      <c r="O2024" s="16" t="inlineStr"/>
    </row>
    <row r="2025" ht="72" customHeight="1">
      <c r="A2025" s="16" t="inlineStr">
        <is>
          <t>TC-IE-0088</t>
        </is>
      </c>
      <c r="B2025" s="16" t="inlineStr">
        <is>
          <t>Import / Export</t>
        </is>
      </c>
      <c r="C2025" s="16" t="inlineStr">
        <is>
          <t>Round-trip</t>
        </is>
      </c>
      <c r="D2025" s="16" t="inlineStr">
        <is>
          <t>Functional</t>
        </is>
      </c>
      <c r="E2025" s="16" t="inlineStr">
        <is>
          <t>Round-trip Swagger 2.0 for: API key in query</t>
        </is>
      </c>
      <c r="F2025" s="16" t="inlineStr">
        <is>
          <t>-</t>
        </is>
      </c>
      <c r="G2025" s="16" t="inlineStr">
        <is>
          <t>1. In source tool (or fixture), create request shape 'API key in query'.
2. Export from source as Swagger 2.0.
3. Import into APICircle.
4. Compare resulting request to source.
5. (Optional) Export from APICircle as same format; diff.</t>
        </is>
      </c>
      <c r="H2025" s="16" t="inlineStr">
        <is>
          <t>fmt=Swagger 2.0 shape=API key query</t>
        </is>
      </c>
      <c r="I2025" s="16" t="inlineStr">
        <is>
          <t>All compatible fields of 'API key in query' preserved through import. Any fields the format cannot represent are clearly flagged in the import warnings, not silently dropped. Round-trip export back yields a structurally equivalent file.</t>
        </is>
      </c>
      <c r="J2025" s="16" t="inlineStr"/>
      <c r="K2025" s="16" t="inlineStr">
        <is>
          <t>Not Run</t>
        </is>
      </c>
      <c r="L2025" s="16" t="inlineStr">
        <is>
          <t>Medium</t>
        </is>
      </c>
      <c r="M2025" s="16" t="inlineStr"/>
      <c r="N2025" s="16" t="inlineStr"/>
      <c r="O2025" s="16" t="inlineStr"/>
    </row>
    <row r="2026" ht="72" customHeight="1">
      <c r="A2026" s="16" t="inlineStr">
        <is>
          <t>TC-IE-0089</t>
        </is>
      </c>
      <c r="B2026" s="16" t="inlineStr">
        <is>
          <t>Import / Export</t>
        </is>
      </c>
      <c r="C2026" s="16" t="inlineStr">
        <is>
          <t>Round-trip</t>
        </is>
      </c>
      <c r="D2026" s="16" t="inlineStr">
        <is>
          <t>Functional</t>
        </is>
      </c>
      <c r="E2026" s="16" t="inlineStr">
        <is>
          <t>Round-trip Swagger 2.0 for: Custom headers</t>
        </is>
      </c>
      <c r="F2026" s="16" t="inlineStr">
        <is>
          <t>-</t>
        </is>
      </c>
      <c r="G2026" s="16" t="inlineStr">
        <is>
          <t>1. In source tool (or fixture), create request shape 'Custom headers'.
2. Export from source as Swagger 2.0.
3. Import into APICircle.
4. Compare resulting request to source.
5. (Optional) Export from APICircle as same format; diff.</t>
        </is>
      </c>
      <c r="H2026" s="16" t="inlineStr">
        <is>
          <t>fmt=Swagger 2.0 shape=Custom headers</t>
        </is>
      </c>
      <c r="I2026" s="16" t="inlineStr">
        <is>
          <t>All compatible fields of 'Custom headers' preserved through import. Any fields the format cannot represent are clearly flagged in the import warnings, not silently dropped. Round-trip export back yields a structurally equivalent file.</t>
        </is>
      </c>
      <c r="J2026" s="16" t="inlineStr"/>
      <c r="K2026" s="16" t="inlineStr">
        <is>
          <t>Not Run</t>
        </is>
      </c>
      <c r="L2026" s="16" t="inlineStr">
        <is>
          <t>Medium</t>
        </is>
      </c>
      <c r="M2026" s="16" t="inlineStr"/>
      <c r="N2026" s="16" t="inlineStr"/>
      <c r="O2026" s="16" t="inlineStr"/>
    </row>
    <row r="2027" ht="72" customHeight="1">
      <c r="A2027" s="16" t="inlineStr">
        <is>
          <t>TC-IE-0090</t>
        </is>
      </c>
      <c r="B2027" s="16" t="inlineStr">
        <is>
          <t>Import / Export</t>
        </is>
      </c>
      <c r="C2027" s="16" t="inlineStr">
        <is>
          <t>Round-trip</t>
        </is>
      </c>
      <c r="D2027" s="16" t="inlineStr">
        <is>
          <t>Functional</t>
        </is>
      </c>
      <c r="E2027" s="16" t="inlineStr">
        <is>
          <t>Round-trip Swagger 2.0 for: Path params (:id)</t>
        </is>
      </c>
      <c r="F2027" s="16" t="inlineStr">
        <is>
          <t>-</t>
        </is>
      </c>
      <c r="G2027" s="16" t="inlineStr">
        <is>
          <t>1. In source tool (or fixture), create request shape 'Path params (:id)'.
2. Export from source as Swagger 2.0.
3. Import into APICircle.
4. Compare resulting request to source.
5. (Optional) Export from APICircle as same format; diff.</t>
        </is>
      </c>
      <c r="H2027" s="16" t="inlineStr">
        <is>
          <t>fmt=Swagger 2.0 shape=Path params</t>
        </is>
      </c>
      <c r="I2027" s="16" t="inlineStr">
        <is>
          <t>All compatible fields of 'Path params (:id)' preserved through import. Any fields the format cannot represent are clearly flagged in the import warnings, not silently dropped. Round-trip export back yields a structurally equivalent file.</t>
        </is>
      </c>
      <c r="J2027" s="16" t="inlineStr"/>
      <c r="K2027" s="16" t="inlineStr">
        <is>
          <t>Not Run</t>
        </is>
      </c>
      <c r="L2027" s="16" t="inlineStr">
        <is>
          <t>Medium</t>
        </is>
      </c>
      <c r="M2027" s="16" t="inlineStr"/>
      <c r="N2027" s="16" t="inlineStr"/>
      <c r="O2027" s="16" t="inlineStr"/>
    </row>
    <row r="2028" ht="72" customHeight="1">
      <c r="A2028" s="16" t="inlineStr">
        <is>
          <t>TC-IE-0091</t>
        </is>
      </c>
      <c r="B2028" s="16" t="inlineStr">
        <is>
          <t>Import / Export</t>
        </is>
      </c>
      <c r="C2028" s="16" t="inlineStr">
        <is>
          <t>Round-trip</t>
        </is>
      </c>
      <c r="D2028" s="16" t="inlineStr">
        <is>
          <t>Functional</t>
        </is>
      </c>
      <c r="E2028" s="16" t="inlineStr">
        <is>
          <t>Round-trip Swagger 2.0 for: Query params</t>
        </is>
      </c>
      <c r="F2028" s="16" t="inlineStr">
        <is>
          <t>-</t>
        </is>
      </c>
      <c r="G2028" s="16" t="inlineStr">
        <is>
          <t>1. In source tool (or fixture), create request shape 'Query params'.
2. Export from source as Swagger 2.0.
3. Import into APICircle.
4. Compare resulting request to source.
5. (Optional) Export from APICircle as same format; diff.</t>
        </is>
      </c>
      <c r="H2028" s="16" t="inlineStr">
        <is>
          <t>fmt=Swagger 2.0 shape=Query params</t>
        </is>
      </c>
      <c r="I2028" s="16" t="inlineStr">
        <is>
          <t>All compatible fields of 'Query params' preserved through import. Any fields the format cannot represent are clearly flagged in the import warnings, not silently dropped. Round-trip export back yields a structurally equivalent file.</t>
        </is>
      </c>
      <c r="J2028" s="16" t="inlineStr"/>
      <c r="K2028" s="16" t="inlineStr">
        <is>
          <t>Not Run</t>
        </is>
      </c>
      <c r="L2028" s="16" t="inlineStr">
        <is>
          <t>Medium</t>
        </is>
      </c>
      <c r="M2028" s="16" t="inlineStr"/>
      <c r="N2028" s="16" t="inlineStr"/>
      <c r="O2028" s="16" t="inlineStr"/>
    </row>
    <row r="2029" ht="72" customHeight="1">
      <c r="A2029" s="16" t="inlineStr">
        <is>
          <t>TC-IE-0092</t>
        </is>
      </c>
      <c r="B2029" s="16" t="inlineStr">
        <is>
          <t>Import / Export</t>
        </is>
      </c>
      <c r="C2029" s="16" t="inlineStr">
        <is>
          <t>Round-trip</t>
        </is>
      </c>
      <c r="D2029" s="16" t="inlineStr">
        <is>
          <t>Functional</t>
        </is>
      </c>
      <c r="E2029" s="16" t="inlineStr">
        <is>
          <t>Round-trip Swagger 2.0 for: Variables in URL/body</t>
        </is>
      </c>
      <c r="F2029" s="16" t="inlineStr">
        <is>
          <t>-</t>
        </is>
      </c>
      <c r="G2029" s="16" t="inlineStr">
        <is>
          <t>1. In source tool (or fixture), create request shape 'Variables in URL/body'.
2. Export from source as Swagger 2.0.
3. Import into APICircle.
4. Compare resulting request to source.
5. (Optional) Export from APICircle as same format; diff.</t>
        </is>
      </c>
      <c r="H2029" s="16" t="inlineStr">
        <is>
          <t>fmt=Swagger 2.0 shape=Variables</t>
        </is>
      </c>
      <c r="I2029" s="16" t="inlineStr">
        <is>
          <t>All compatible fields of 'Variables in URL/body' preserved through import. Any fields the format cannot represent are clearly flagged in the import warnings, not silently dropped. Round-trip export back yields a structurally equivalent file.</t>
        </is>
      </c>
      <c r="J2029" s="16" t="inlineStr"/>
      <c r="K2029" s="16" t="inlineStr">
        <is>
          <t>Not Run</t>
        </is>
      </c>
      <c r="L2029" s="16" t="inlineStr">
        <is>
          <t>Medium</t>
        </is>
      </c>
      <c r="M2029" s="16" t="inlineStr"/>
      <c r="N2029" s="16" t="inlineStr"/>
      <c r="O2029" s="16" t="inlineStr"/>
    </row>
    <row r="2030" ht="72" customHeight="1">
      <c r="A2030" s="16" t="inlineStr">
        <is>
          <t>TC-IE-0093</t>
        </is>
      </c>
      <c r="B2030" s="16" t="inlineStr">
        <is>
          <t>Import / Export</t>
        </is>
      </c>
      <c r="C2030" s="16" t="inlineStr">
        <is>
          <t>Round-trip</t>
        </is>
      </c>
      <c r="D2030" s="16" t="inlineStr">
        <is>
          <t>Functional</t>
        </is>
      </c>
      <c r="E2030" s="16" t="inlineStr">
        <is>
          <t>Round-trip Swagger 2.0 for: Pre-request script</t>
        </is>
      </c>
      <c r="F2030" s="16" t="inlineStr">
        <is>
          <t>-</t>
        </is>
      </c>
      <c r="G2030" s="16" t="inlineStr">
        <is>
          <t>1. In source tool (or fixture), create request shape 'Pre-request script'.
2. Export from source as Swagger 2.0.
3. Import into APICircle.
4. Compare resulting request to source.
5. (Optional) Export from APICircle as same format; diff.</t>
        </is>
      </c>
      <c r="H2030" s="16" t="inlineStr">
        <is>
          <t>fmt=Swagger 2.0 shape=Pre-script</t>
        </is>
      </c>
      <c r="I2030" s="16" t="inlineStr">
        <is>
          <t>All compatible fields of 'Pre-request script' preserved through import. Any fields the format cannot represent are clearly flagged in the import warnings, not silently dropped. Round-trip export back yields a structurally equivalent file.</t>
        </is>
      </c>
      <c r="J2030" s="16" t="inlineStr"/>
      <c r="K2030" s="16" t="inlineStr">
        <is>
          <t>Not Run</t>
        </is>
      </c>
      <c r="L2030" s="16" t="inlineStr">
        <is>
          <t>Medium</t>
        </is>
      </c>
      <c r="M2030" s="16" t="inlineStr"/>
      <c r="N2030" s="16" t="inlineStr"/>
      <c r="O2030" s="16" t="inlineStr"/>
    </row>
    <row r="2031" ht="72" customHeight="1">
      <c r="A2031" s="16" t="inlineStr">
        <is>
          <t>TC-IE-0094</t>
        </is>
      </c>
      <c r="B2031" s="16" t="inlineStr">
        <is>
          <t>Import / Export</t>
        </is>
      </c>
      <c r="C2031" s="16" t="inlineStr">
        <is>
          <t>Round-trip</t>
        </is>
      </c>
      <c r="D2031" s="16" t="inlineStr">
        <is>
          <t>Functional</t>
        </is>
      </c>
      <c r="E2031" s="16" t="inlineStr">
        <is>
          <t>Round-trip Swagger 2.0 for: Tests / assertions</t>
        </is>
      </c>
      <c r="F2031" s="16" t="inlineStr">
        <is>
          <t>-</t>
        </is>
      </c>
      <c r="G2031" s="16" t="inlineStr">
        <is>
          <t>1. In source tool (or fixture), create request shape 'Tests / assertions'.
2. Export from source as Swagger 2.0.
3. Import into APICircle.
4. Compare resulting request to source.
5. (Optional) Export from APICircle as same format; diff.</t>
        </is>
      </c>
      <c r="H2031" s="16" t="inlineStr">
        <is>
          <t>fmt=Swagger 2.0 shape=Tests</t>
        </is>
      </c>
      <c r="I2031" s="16" t="inlineStr">
        <is>
          <t>All compatible fields of 'Tests / assertions' preserved through import. Any fields the format cannot represent are clearly flagged in the import warnings, not silently dropped. Round-trip export back yields a structurally equivalent file.</t>
        </is>
      </c>
      <c r="J2031" s="16" t="inlineStr"/>
      <c r="K2031" s="16" t="inlineStr">
        <is>
          <t>Not Run</t>
        </is>
      </c>
      <c r="L2031" s="16" t="inlineStr">
        <is>
          <t>Medium</t>
        </is>
      </c>
      <c r="M2031" s="16" t="inlineStr"/>
      <c r="N2031" s="16" t="inlineStr"/>
      <c r="O2031" s="16" t="inlineStr"/>
    </row>
    <row r="2032" ht="72" customHeight="1">
      <c r="A2032" s="16" t="inlineStr">
        <is>
          <t>TC-IE-0095</t>
        </is>
      </c>
      <c r="B2032" s="16" t="inlineStr">
        <is>
          <t>Import / Export</t>
        </is>
      </c>
      <c r="C2032" s="16" t="inlineStr">
        <is>
          <t>Round-trip</t>
        </is>
      </c>
      <c r="D2032" s="16" t="inlineStr">
        <is>
          <t>Functional</t>
        </is>
      </c>
      <c r="E2032" s="16" t="inlineStr">
        <is>
          <t>Round-trip cURL command for: GET no body</t>
        </is>
      </c>
      <c r="F2032" s="16" t="inlineStr">
        <is>
          <t>-</t>
        </is>
      </c>
      <c r="G2032" s="16" t="inlineStr">
        <is>
          <t>1. In source tool (or fixture), create request shape 'GET no body'.
2. Export from source as cURL command.
3. Import into APICircle.
4. Compare resulting request to source.
5. (Optional) Export from APICircle as same format; diff.</t>
        </is>
      </c>
      <c r="H2032" s="16" t="inlineStr">
        <is>
          <t>fmt=cURL paste shape=Simple GET</t>
        </is>
      </c>
      <c r="I2032" s="16" t="inlineStr">
        <is>
          <t>All compatible fields of 'GET no body' preserved through import. Any fields the format cannot represent are clearly flagged in the import warnings, not silently dropped. Round-trip export back yields a structurally equivalent file.</t>
        </is>
      </c>
      <c r="J2032" s="16" t="inlineStr"/>
      <c r="K2032" s="16" t="inlineStr">
        <is>
          <t>Not Run</t>
        </is>
      </c>
      <c r="L2032" s="16" t="inlineStr">
        <is>
          <t>Medium</t>
        </is>
      </c>
      <c r="M2032" s="16" t="inlineStr"/>
      <c r="N2032" s="16" t="inlineStr"/>
      <c r="O2032" s="16" t="inlineStr"/>
    </row>
    <row r="2033" ht="72" customHeight="1">
      <c r="A2033" s="16" t="inlineStr">
        <is>
          <t>TC-IE-0096</t>
        </is>
      </c>
      <c r="B2033" s="16" t="inlineStr">
        <is>
          <t>Import / Export</t>
        </is>
      </c>
      <c r="C2033" s="16" t="inlineStr">
        <is>
          <t>Round-trip</t>
        </is>
      </c>
      <c r="D2033" s="16" t="inlineStr">
        <is>
          <t>Functional</t>
        </is>
      </c>
      <c r="E2033" s="16" t="inlineStr">
        <is>
          <t>Round-trip cURL command for: POST with JSON body</t>
        </is>
      </c>
      <c r="F2033" s="16" t="inlineStr">
        <is>
          <t>-</t>
        </is>
      </c>
      <c r="G2033" s="16" t="inlineStr">
        <is>
          <t>1. In source tool (or fixture), create request shape 'POST with JSON body'.
2. Export from source as cURL command.
3. Import into APICircle.
4. Compare resulting request to source.
5. (Optional) Export from APICircle as same format; diff.</t>
        </is>
      </c>
      <c r="H2033" s="16" t="inlineStr">
        <is>
          <t>fmt=cURL paste shape=POST JSON</t>
        </is>
      </c>
      <c r="I2033" s="16" t="inlineStr">
        <is>
          <t>All compatible fields of 'POST with JSON body' preserved through import. Any fields the format cannot represent are clearly flagged in the import warnings, not silently dropped. Round-trip export back yields a structurally equivalent file.</t>
        </is>
      </c>
      <c r="J2033" s="16" t="inlineStr"/>
      <c r="K2033" s="16" t="inlineStr">
        <is>
          <t>Not Run</t>
        </is>
      </c>
      <c r="L2033" s="16" t="inlineStr">
        <is>
          <t>Medium</t>
        </is>
      </c>
      <c r="M2033" s="16" t="inlineStr"/>
      <c r="N2033" s="16" t="inlineStr"/>
      <c r="O2033" s="16" t="inlineStr"/>
    </row>
    <row r="2034" ht="72" customHeight="1">
      <c r="A2034" s="16" t="inlineStr">
        <is>
          <t>TC-IE-0097</t>
        </is>
      </c>
      <c r="B2034" s="16" t="inlineStr">
        <is>
          <t>Import / Export</t>
        </is>
      </c>
      <c r="C2034" s="16" t="inlineStr">
        <is>
          <t>Round-trip</t>
        </is>
      </c>
      <c r="D2034" s="16" t="inlineStr">
        <is>
          <t>Functional</t>
        </is>
      </c>
      <c r="E2034" s="16" t="inlineStr">
        <is>
          <t>Round-trip cURL command for: POST with form-data</t>
        </is>
      </c>
      <c r="F2034" s="16" t="inlineStr">
        <is>
          <t>-</t>
        </is>
      </c>
      <c r="G2034" s="16" t="inlineStr">
        <is>
          <t>1. In source tool (or fixture), create request shape 'POST with form-data'.
2. Export from source as cURL command.
3. Import into APICircle.
4. Compare resulting request to source.
5. (Optional) Export from APICircle as same format; diff.</t>
        </is>
      </c>
      <c r="H2034" s="16" t="inlineStr">
        <is>
          <t>fmt=cURL paste shape=POST form-data</t>
        </is>
      </c>
      <c r="I2034" s="16" t="inlineStr">
        <is>
          <t>All compatible fields of 'POST with form-data' preserved through import. Any fields the format cannot represent are clearly flagged in the import warnings, not silently dropped. Round-trip export back yields a structurally equivalent file.</t>
        </is>
      </c>
      <c r="J2034" s="16" t="inlineStr"/>
      <c r="K2034" s="16" t="inlineStr">
        <is>
          <t>Not Run</t>
        </is>
      </c>
      <c r="L2034" s="16" t="inlineStr">
        <is>
          <t>Medium</t>
        </is>
      </c>
      <c r="M2034" s="16" t="inlineStr"/>
      <c r="N2034" s="16" t="inlineStr"/>
      <c r="O2034" s="16" t="inlineStr"/>
    </row>
    <row r="2035" ht="72" customHeight="1">
      <c r="A2035" s="16" t="inlineStr">
        <is>
          <t>TC-IE-0098</t>
        </is>
      </c>
      <c r="B2035" s="16" t="inlineStr">
        <is>
          <t>Import / Export</t>
        </is>
      </c>
      <c r="C2035" s="16" t="inlineStr">
        <is>
          <t>Round-trip</t>
        </is>
      </c>
      <c r="D2035" s="16" t="inlineStr">
        <is>
          <t>Functional</t>
        </is>
      </c>
      <c r="E2035" s="16" t="inlineStr">
        <is>
          <t>Round-trip cURL command for: POST with file upload</t>
        </is>
      </c>
      <c r="F2035" s="16" t="inlineStr">
        <is>
          <t>-</t>
        </is>
      </c>
      <c r="G2035" s="16" t="inlineStr">
        <is>
          <t>1. In source tool (or fixture), create request shape 'POST with file upload'.
2. Export from source as cURL command.
3. Import into APICircle.
4. Compare resulting request to source.
5. (Optional) Export from APICircle as same format; diff.</t>
        </is>
      </c>
      <c r="H2035" s="16" t="inlineStr">
        <is>
          <t>fmt=cURL paste shape=POST file</t>
        </is>
      </c>
      <c r="I2035" s="16" t="inlineStr">
        <is>
          <t>All compatible fields of 'POST with file upload' preserved through import. Any fields the format cannot represent are clearly flagged in the import warnings, not silently dropped. Round-trip export back yields a structurally equivalent file.</t>
        </is>
      </c>
      <c r="J2035" s="16" t="inlineStr"/>
      <c r="K2035" s="16" t="inlineStr">
        <is>
          <t>Not Run</t>
        </is>
      </c>
      <c r="L2035" s="16" t="inlineStr">
        <is>
          <t>Medium</t>
        </is>
      </c>
      <c r="M2035" s="16" t="inlineStr"/>
      <c r="N2035" s="16" t="inlineStr"/>
      <c r="O2035" s="16" t="inlineStr"/>
    </row>
    <row r="2036" ht="72" customHeight="1">
      <c r="A2036" s="16" t="inlineStr">
        <is>
          <t>TC-IE-0099</t>
        </is>
      </c>
      <c r="B2036" s="16" t="inlineStr">
        <is>
          <t>Import / Export</t>
        </is>
      </c>
      <c r="C2036" s="16" t="inlineStr">
        <is>
          <t>Round-trip</t>
        </is>
      </c>
      <c r="D2036" s="16" t="inlineStr">
        <is>
          <t>Functional</t>
        </is>
      </c>
      <c r="E2036" s="16" t="inlineStr">
        <is>
          <t>Round-trip cURL command for: GraphQL query</t>
        </is>
      </c>
      <c r="F2036" s="16" t="inlineStr">
        <is>
          <t>-</t>
        </is>
      </c>
      <c r="G2036" s="16" t="inlineStr">
        <is>
          <t>1. In source tool (or fixture), create request shape 'GraphQL query'.
2. Export from source as cURL command.
3. Import into APICircle.
4. Compare resulting request to source.
5. (Optional) Export from APICircle as same format; diff.</t>
        </is>
      </c>
      <c r="H2036" s="16" t="inlineStr">
        <is>
          <t>fmt=cURL paste shape=GraphQL POST</t>
        </is>
      </c>
      <c r="I2036" s="16" t="inlineStr">
        <is>
          <t>All compatible fields of 'GraphQL query' preserved through import. Any fields the format cannot represent are clearly flagged in the import warnings, not silently dropped. Round-trip export back yields a structurally equivalent file.</t>
        </is>
      </c>
      <c r="J2036" s="16" t="inlineStr"/>
      <c r="K2036" s="16" t="inlineStr">
        <is>
          <t>Not Run</t>
        </is>
      </c>
      <c r="L2036" s="16" t="inlineStr">
        <is>
          <t>Medium</t>
        </is>
      </c>
      <c r="M2036" s="16" t="inlineStr"/>
      <c r="N2036" s="16" t="inlineStr"/>
      <c r="O2036" s="16" t="inlineStr"/>
    </row>
    <row r="2037" ht="72" customHeight="1">
      <c r="A2037" s="16" t="inlineStr">
        <is>
          <t>TC-IE-0100</t>
        </is>
      </c>
      <c r="B2037" s="16" t="inlineStr">
        <is>
          <t>Import / Export</t>
        </is>
      </c>
      <c r="C2037" s="16" t="inlineStr">
        <is>
          <t>Round-trip</t>
        </is>
      </c>
      <c r="D2037" s="16" t="inlineStr">
        <is>
          <t>Functional</t>
        </is>
      </c>
      <c r="E2037" s="16" t="inlineStr">
        <is>
          <t>Round-trip cURL command for: Bearer auth</t>
        </is>
      </c>
      <c r="F2037" s="16" t="inlineStr">
        <is>
          <t>-</t>
        </is>
      </c>
      <c r="G2037" s="16" t="inlineStr">
        <is>
          <t>1. In source tool (or fixture), create request shape 'Bearer auth'.
2. Export from source as cURL command.
3. Import into APICircle.
4. Compare resulting request to source.
5. (Optional) Export from APICircle as same format; diff.</t>
        </is>
      </c>
      <c r="H2037" s="16" t="inlineStr">
        <is>
          <t>fmt=cURL paste shape=Bearer</t>
        </is>
      </c>
      <c r="I2037" s="16" t="inlineStr">
        <is>
          <t>All compatible fields of 'Bearer auth' preserved through import. Any fields the format cannot represent are clearly flagged in the import warnings, not silently dropped. Round-trip export back yields a structurally equivalent file.</t>
        </is>
      </c>
      <c r="J2037" s="16" t="inlineStr"/>
      <c r="K2037" s="16" t="inlineStr">
        <is>
          <t>Not Run</t>
        </is>
      </c>
      <c r="L2037" s="16" t="inlineStr">
        <is>
          <t>Medium</t>
        </is>
      </c>
      <c r="M2037" s="16" t="inlineStr"/>
      <c r="N2037" s="16" t="inlineStr"/>
      <c r="O2037" s="16" t="inlineStr"/>
    </row>
    <row r="2038" ht="72" customHeight="1">
      <c r="A2038" s="16" t="inlineStr">
        <is>
          <t>TC-IE-0101</t>
        </is>
      </c>
      <c r="B2038" s="16" t="inlineStr">
        <is>
          <t>Import / Export</t>
        </is>
      </c>
      <c r="C2038" s="16" t="inlineStr">
        <is>
          <t>Round-trip</t>
        </is>
      </c>
      <c r="D2038" s="16" t="inlineStr">
        <is>
          <t>Functional</t>
        </is>
      </c>
      <c r="E2038" s="16" t="inlineStr">
        <is>
          <t>Round-trip cURL command for: Basic auth</t>
        </is>
      </c>
      <c r="F2038" s="16" t="inlineStr">
        <is>
          <t>-</t>
        </is>
      </c>
      <c r="G2038" s="16" t="inlineStr">
        <is>
          <t>1. In source tool (or fixture), create request shape 'Basic auth'.
2. Export from source as cURL command.
3. Import into APICircle.
4. Compare resulting request to source.
5. (Optional) Export from APICircle as same format; diff.</t>
        </is>
      </c>
      <c r="H2038" s="16" t="inlineStr">
        <is>
          <t>fmt=cURL paste shape=Basic</t>
        </is>
      </c>
      <c r="I2038" s="16" t="inlineStr">
        <is>
          <t>All compatible fields of 'Basic auth' preserved through import. Any fields the format cannot represent are clearly flagged in the import warnings, not silently dropped. Round-trip export back yields a structurally equivalent file.</t>
        </is>
      </c>
      <c r="J2038" s="16" t="inlineStr"/>
      <c r="K2038" s="16" t="inlineStr">
        <is>
          <t>Not Run</t>
        </is>
      </c>
      <c r="L2038" s="16" t="inlineStr">
        <is>
          <t>Medium</t>
        </is>
      </c>
      <c r="M2038" s="16" t="inlineStr"/>
      <c r="N2038" s="16" t="inlineStr"/>
      <c r="O2038" s="16" t="inlineStr"/>
    </row>
    <row r="2039" ht="72" customHeight="1">
      <c r="A2039" s="16" t="inlineStr">
        <is>
          <t>TC-IE-0102</t>
        </is>
      </c>
      <c r="B2039" s="16" t="inlineStr">
        <is>
          <t>Import / Export</t>
        </is>
      </c>
      <c r="C2039" s="16" t="inlineStr">
        <is>
          <t>Round-trip</t>
        </is>
      </c>
      <c r="D2039" s="16" t="inlineStr">
        <is>
          <t>Functional</t>
        </is>
      </c>
      <c r="E2039" s="16" t="inlineStr">
        <is>
          <t>Round-trip cURL command for: OAuth2 (with token)</t>
        </is>
      </c>
      <c r="F2039" s="16" t="inlineStr">
        <is>
          <t>-</t>
        </is>
      </c>
      <c r="G2039" s="16" t="inlineStr">
        <is>
          <t>1. In source tool (or fixture), create request shape 'OAuth2 (with token)'.
2. Export from source as cURL command.
3. Import into APICircle.
4. Compare resulting request to source.
5. (Optional) Export from APICircle as same format; diff.</t>
        </is>
      </c>
      <c r="H2039" s="16" t="inlineStr">
        <is>
          <t>fmt=cURL paste shape=OAuth2</t>
        </is>
      </c>
      <c r="I2039" s="16" t="inlineStr">
        <is>
          <t>All compatible fields of 'OAuth2 (with token)' preserved through import. Any fields the format cannot represent are clearly flagged in the import warnings, not silently dropped. Round-trip export back yields a structurally equivalent file.</t>
        </is>
      </c>
      <c r="J2039" s="16" t="inlineStr"/>
      <c r="K2039" s="16" t="inlineStr">
        <is>
          <t>Not Run</t>
        </is>
      </c>
      <c r="L2039" s="16" t="inlineStr">
        <is>
          <t>Medium</t>
        </is>
      </c>
      <c r="M2039" s="16" t="inlineStr"/>
      <c r="N2039" s="16" t="inlineStr"/>
      <c r="O2039" s="16" t="inlineStr"/>
    </row>
    <row r="2040" ht="72" customHeight="1">
      <c r="A2040" s="16" t="inlineStr">
        <is>
          <t>TC-IE-0103</t>
        </is>
      </c>
      <c r="B2040" s="16" t="inlineStr">
        <is>
          <t>Import / Export</t>
        </is>
      </c>
      <c r="C2040" s="16" t="inlineStr">
        <is>
          <t>Round-trip</t>
        </is>
      </c>
      <c r="D2040" s="16" t="inlineStr">
        <is>
          <t>Functional</t>
        </is>
      </c>
      <c r="E2040" s="16" t="inlineStr">
        <is>
          <t>Round-trip cURL command for: API key in header</t>
        </is>
      </c>
      <c r="F2040" s="16" t="inlineStr">
        <is>
          <t>-</t>
        </is>
      </c>
      <c r="G2040" s="16" t="inlineStr">
        <is>
          <t>1. In source tool (or fixture), create request shape 'API key in header'.
2. Export from source as cURL command.
3. Import into APICircle.
4. Compare resulting request to source.
5. (Optional) Export from APICircle as same format; diff.</t>
        </is>
      </c>
      <c r="H2040" s="16" t="inlineStr">
        <is>
          <t>fmt=cURL paste shape=API key header</t>
        </is>
      </c>
      <c r="I2040" s="16" t="inlineStr">
        <is>
          <t>All compatible fields of 'API key in header' preserved through import. Any fields the format cannot represent are clearly flagged in the import warnings, not silently dropped. Round-trip export back yields a structurally equivalent file.</t>
        </is>
      </c>
      <c r="J2040" s="16" t="inlineStr"/>
      <c r="K2040" s="16" t="inlineStr">
        <is>
          <t>Not Run</t>
        </is>
      </c>
      <c r="L2040" s="16" t="inlineStr">
        <is>
          <t>Medium</t>
        </is>
      </c>
      <c r="M2040" s="16" t="inlineStr"/>
      <c r="N2040" s="16" t="inlineStr"/>
      <c r="O2040" s="16" t="inlineStr"/>
    </row>
    <row r="2041" ht="72" customHeight="1">
      <c r="A2041" s="16" t="inlineStr">
        <is>
          <t>TC-IE-0104</t>
        </is>
      </c>
      <c r="B2041" s="16" t="inlineStr">
        <is>
          <t>Import / Export</t>
        </is>
      </c>
      <c r="C2041" s="16" t="inlineStr">
        <is>
          <t>Round-trip</t>
        </is>
      </c>
      <c r="D2041" s="16" t="inlineStr">
        <is>
          <t>Functional</t>
        </is>
      </c>
      <c r="E2041" s="16" t="inlineStr">
        <is>
          <t>Round-trip cURL command for: API key in query</t>
        </is>
      </c>
      <c r="F2041" s="16" t="inlineStr">
        <is>
          <t>-</t>
        </is>
      </c>
      <c r="G2041" s="16" t="inlineStr">
        <is>
          <t>1. In source tool (or fixture), create request shape 'API key in query'.
2. Export from source as cURL command.
3. Import into APICircle.
4. Compare resulting request to source.
5. (Optional) Export from APICircle as same format; diff.</t>
        </is>
      </c>
      <c r="H2041" s="16" t="inlineStr">
        <is>
          <t>fmt=cURL paste shape=API key query</t>
        </is>
      </c>
      <c r="I2041" s="16" t="inlineStr">
        <is>
          <t>All compatible fields of 'API key in query' preserved through import. Any fields the format cannot represent are clearly flagged in the import warnings, not silently dropped. Round-trip export back yields a structurally equivalent file.</t>
        </is>
      </c>
      <c r="J2041" s="16" t="inlineStr"/>
      <c r="K2041" s="16" t="inlineStr">
        <is>
          <t>Not Run</t>
        </is>
      </c>
      <c r="L2041" s="16" t="inlineStr">
        <is>
          <t>Medium</t>
        </is>
      </c>
      <c r="M2041" s="16" t="inlineStr"/>
      <c r="N2041" s="16" t="inlineStr"/>
      <c r="O2041" s="16" t="inlineStr"/>
    </row>
    <row r="2042" ht="72" customHeight="1">
      <c r="A2042" s="16" t="inlineStr">
        <is>
          <t>TC-IE-0105</t>
        </is>
      </c>
      <c r="B2042" s="16" t="inlineStr">
        <is>
          <t>Import / Export</t>
        </is>
      </c>
      <c r="C2042" s="16" t="inlineStr">
        <is>
          <t>Round-trip</t>
        </is>
      </c>
      <c r="D2042" s="16" t="inlineStr">
        <is>
          <t>Functional</t>
        </is>
      </c>
      <c r="E2042" s="16" t="inlineStr">
        <is>
          <t>Round-trip cURL command for: Custom headers</t>
        </is>
      </c>
      <c r="F2042" s="16" t="inlineStr">
        <is>
          <t>-</t>
        </is>
      </c>
      <c r="G2042" s="16" t="inlineStr">
        <is>
          <t>1. In source tool (or fixture), create request shape 'Custom headers'.
2. Export from source as cURL command.
3. Import into APICircle.
4. Compare resulting request to source.
5. (Optional) Export from APICircle as same format; diff.</t>
        </is>
      </c>
      <c r="H2042" s="16" t="inlineStr">
        <is>
          <t>fmt=cURL paste shape=Custom headers</t>
        </is>
      </c>
      <c r="I2042" s="16" t="inlineStr">
        <is>
          <t>All compatible fields of 'Custom headers' preserved through import. Any fields the format cannot represent are clearly flagged in the import warnings, not silently dropped. Round-trip export back yields a structurally equivalent file.</t>
        </is>
      </c>
      <c r="J2042" s="16" t="inlineStr"/>
      <c r="K2042" s="16" t="inlineStr">
        <is>
          <t>Not Run</t>
        </is>
      </c>
      <c r="L2042" s="16" t="inlineStr">
        <is>
          <t>Medium</t>
        </is>
      </c>
      <c r="M2042" s="16" t="inlineStr"/>
      <c r="N2042" s="16" t="inlineStr"/>
      <c r="O2042" s="16" t="inlineStr"/>
    </row>
    <row r="2043" ht="72" customHeight="1">
      <c r="A2043" s="16" t="inlineStr">
        <is>
          <t>TC-IE-0106</t>
        </is>
      </c>
      <c r="B2043" s="16" t="inlineStr">
        <is>
          <t>Import / Export</t>
        </is>
      </c>
      <c r="C2043" s="16" t="inlineStr">
        <is>
          <t>Round-trip</t>
        </is>
      </c>
      <c r="D2043" s="16" t="inlineStr">
        <is>
          <t>Functional</t>
        </is>
      </c>
      <c r="E2043" s="16" t="inlineStr">
        <is>
          <t>Round-trip cURL command for: Path params (:id)</t>
        </is>
      </c>
      <c r="F2043" s="16" t="inlineStr">
        <is>
          <t>-</t>
        </is>
      </c>
      <c r="G2043" s="16" t="inlineStr">
        <is>
          <t>1. In source tool (or fixture), create request shape 'Path params (:id)'.
2. Export from source as cURL command.
3. Import into APICircle.
4. Compare resulting request to source.
5. (Optional) Export from APICircle as same format; diff.</t>
        </is>
      </c>
      <c r="H2043" s="16" t="inlineStr">
        <is>
          <t>fmt=cURL paste shape=Path params</t>
        </is>
      </c>
      <c r="I2043" s="16" t="inlineStr">
        <is>
          <t>All compatible fields of 'Path params (:id)' preserved through import. Any fields the format cannot represent are clearly flagged in the import warnings, not silently dropped. Round-trip export back yields a structurally equivalent file.</t>
        </is>
      </c>
      <c r="J2043" s="16" t="inlineStr"/>
      <c r="K2043" s="16" t="inlineStr">
        <is>
          <t>Not Run</t>
        </is>
      </c>
      <c r="L2043" s="16" t="inlineStr">
        <is>
          <t>Medium</t>
        </is>
      </c>
      <c r="M2043" s="16" t="inlineStr"/>
      <c r="N2043" s="16" t="inlineStr"/>
      <c r="O2043" s="16" t="inlineStr"/>
    </row>
    <row r="2044" ht="72" customHeight="1">
      <c r="A2044" s="16" t="inlineStr">
        <is>
          <t>TC-IE-0107</t>
        </is>
      </c>
      <c r="B2044" s="16" t="inlineStr">
        <is>
          <t>Import / Export</t>
        </is>
      </c>
      <c r="C2044" s="16" t="inlineStr">
        <is>
          <t>Round-trip</t>
        </is>
      </c>
      <c r="D2044" s="16" t="inlineStr">
        <is>
          <t>Functional</t>
        </is>
      </c>
      <c r="E2044" s="16" t="inlineStr">
        <is>
          <t>Round-trip cURL command for: Query params</t>
        </is>
      </c>
      <c r="F2044" s="16" t="inlineStr">
        <is>
          <t>-</t>
        </is>
      </c>
      <c r="G2044" s="16" t="inlineStr">
        <is>
          <t>1. In source tool (or fixture), create request shape 'Query params'.
2. Export from source as cURL command.
3. Import into APICircle.
4. Compare resulting request to source.
5. (Optional) Export from APICircle as same format; diff.</t>
        </is>
      </c>
      <c r="H2044" s="16" t="inlineStr">
        <is>
          <t>fmt=cURL paste shape=Query params</t>
        </is>
      </c>
      <c r="I2044" s="16" t="inlineStr">
        <is>
          <t>All compatible fields of 'Query params' preserved through import. Any fields the format cannot represent are clearly flagged in the import warnings, not silently dropped. Round-trip export back yields a structurally equivalent file.</t>
        </is>
      </c>
      <c r="J2044" s="16" t="inlineStr"/>
      <c r="K2044" s="16" t="inlineStr">
        <is>
          <t>Not Run</t>
        </is>
      </c>
      <c r="L2044" s="16" t="inlineStr">
        <is>
          <t>Medium</t>
        </is>
      </c>
      <c r="M2044" s="16" t="inlineStr"/>
      <c r="N2044" s="16" t="inlineStr"/>
      <c r="O2044" s="16" t="inlineStr"/>
    </row>
    <row r="2045" ht="72" customHeight="1">
      <c r="A2045" s="16" t="inlineStr">
        <is>
          <t>TC-IE-0108</t>
        </is>
      </c>
      <c r="B2045" s="16" t="inlineStr">
        <is>
          <t>Import / Export</t>
        </is>
      </c>
      <c r="C2045" s="16" t="inlineStr">
        <is>
          <t>Round-trip</t>
        </is>
      </c>
      <c r="D2045" s="16" t="inlineStr">
        <is>
          <t>Functional</t>
        </is>
      </c>
      <c r="E2045" s="16" t="inlineStr">
        <is>
          <t>Round-trip cURL command for: Variables in URL/body</t>
        </is>
      </c>
      <c r="F2045" s="16" t="inlineStr">
        <is>
          <t>-</t>
        </is>
      </c>
      <c r="G2045" s="16" t="inlineStr">
        <is>
          <t>1. In source tool (or fixture), create request shape 'Variables in URL/body'.
2. Export from source as cURL command.
3. Import into APICircle.
4. Compare resulting request to source.
5. (Optional) Export from APICircle as same format; diff.</t>
        </is>
      </c>
      <c r="H2045" s="16" t="inlineStr">
        <is>
          <t>fmt=cURL paste shape=Variables</t>
        </is>
      </c>
      <c r="I2045" s="16" t="inlineStr">
        <is>
          <t>All compatible fields of 'Variables in URL/body' preserved through import. Any fields the format cannot represent are clearly flagged in the import warnings, not silently dropped. Round-trip export back yields a structurally equivalent file.</t>
        </is>
      </c>
      <c r="J2045" s="16" t="inlineStr"/>
      <c r="K2045" s="16" t="inlineStr">
        <is>
          <t>Not Run</t>
        </is>
      </c>
      <c r="L2045" s="16" t="inlineStr">
        <is>
          <t>Medium</t>
        </is>
      </c>
      <c r="M2045" s="16" t="inlineStr"/>
      <c r="N2045" s="16" t="inlineStr"/>
      <c r="O2045" s="16" t="inlineStr"/>
    </row>
    <row r="2046" ht="72" customHeight="1">
      <c r="A2046" s="16" t="inlineStr">
        <is>
          <t>TC-IE-0109</t>
        </is>
      </c>
      <c r="B2046" s="16" t="inlineStr">
        <is>
          <t>Import / Export</t>
        </is>
      </c>
      <c r="C2046" s="16" t="inlineStr">
        <is>
          <t>Round-trip</t>
        </is>
      </c>
      <c r="D2046" s="16" t="inlineStr">
        <is>
          <t>Functional</t>
        </is>
      </c>
      <c r="E2046" s="16" t="inlineStr">
        <is>
          <t>Round-trip cURL command for: Pre-request script</t>
        </is>
      </c>
      <c r="F2046" s="16" t="inlineStr">
        <is>
          <t>-</t>
        </is>
      </c>
      <c r="G2046" s="16" t="inlineStr">
        <is>
          <t>1. In source tool (or fixture), create request shape 'Pre-request script'.
2. Export from source as cURL command.
3. Import into APICircle.
4. Compare resulting request to source.
5. (Optional) Export from APICircle as same format; diff.</t>
        </is>
      </c>
      <c r="H2046" s="16" t="inlineStr">
        <is>
          <t>fmt=cURL paste shape=Pre-script</t>
        </is>
      </c>
      <c r="I2046" s="16" t="inlineStr">
        <is>
          <t>All compatible fields of 'Pre-request script' preserved through import. Any fields the format cannot represent are clearly flagged in the import warnings, not silently dropped. Round-trip export back yields a structurally equivalent file.</t>
        </is>
      </c>
      <c r="J2046" s="16" t="inlineStr"/>
      <c r="K2046" s="16" t="inlineStr">
        <is>
          <t>Not Run</t>
        </is>
      </c>
      <c r="L2046" s="16" t="inlineStr">
        <is>
          <t>Medium</t>
        </is>
      </c>
      <c r="M2046" s="16" t="inlineStr"/>
      <c r="N2046" s="16" t="inlineStr"/>
      <c r="O2046" s="16" t="inlineStr"/>
    </row>
    <row r="2047" ht="72" customHeight="1">
      <c r="A2047" s="16" t="inlineStr">
        <is>
          <t>TC-IE-0110</t>
        </is>
      </c>
      <c r="B2047" s="16" t="inlineStr">
        <is>
          <t>Import / Export</t>
        </is>
      </c>
      <c r="C2047" s="16" t="inlineStr">
        <is>
          <t>Round-trip</t>
        </is>
      </c>
      <c r="D2047" s="16" t="inlineStr">
        <is>
          <t>Functional</t>
        </is>
      </c>
      <c r="E2047" s="16" t="inlineStr">
        <is>
          <t>Round-trip cURL command for: Tests / assertions</t>
        </is>
      </c>
      <c r="F2047" s="16" t="inlineStr">
        <is>
          <t>-</t>
        </is>
      </c>
      <c r="G2047" s="16" t="inlineStr">
        <is>
          <t>1. In source tool (or fixture), create request shape 'Tests / assertions'.
2. Export from source as cURL command.
3. Import into APICircle.
4. Compare resulting request to source.
5. (Optional) Export from APICircle as same format; diff.</t>
        </is>
      </c>
      <c r="H2047" s="16" t="inlineStr">
        <is>
          <t>fmt=cURL paste shape=Tests</t>
        </is>
      </c>
      <c r="I2047" s="16" t="inlineStr">
        <is>
          <t>All compatible fields of 'Tests / assertions' preserved through import. Any fields the format cannot represent are clearly flagged in the import warnings, not silently dropped. Round-trip export back yields a structurally equivalent file.</t>
        </is>
      </c>
      <c r="J2047" s="16" t="inlineStr"/>
      <c r="K2047" s="16" t="inlineStr">
        <is>
          <t>Not Run</t>
        </is>
      </c>
      <c r="L2047" s="16" t="inlineStr">
        <is>
          <t>Medium</t>
        </is>
      </c>
      <c r="M2047" s="16" t="inlineStr"/>
      <c r="N2047" s="16" t="inlineStr"/>
      <c r="O2047" s="16" t="inlineStr"/>
    </row>
    <row r="2048" ht="72" customHeight="1">
      <c r="A2048" s="16" t="inlineStr">
        <is>
          <t>TC-IE-0111</t>
        </is>
      </c>
      <c r="B2048" s="16" t="inlineStr">
        <is>
          <t>Import / Export</t>
        </is>
      </c>
      <c r="C2048" s="16" t="inlineStr">
        <is>
          <t>Round-trip</t>
        </is>
      </c>
      <c r="D2048" s="16" t="inlineStr">
        <is>
          <t>Functional</t>
        </is>
      </c>
      <c r="E2048" s="16" t="inlineStr">
        <is>
          <t>Round-trip HAR file for: GET no body</t>
        </is>
      </c>
      <c r="F2048" s="16" t="inlineStr">
        <is>
          <t>-</t>
        </is>
      </c>
      <c r="G2048" s="16" t="inlineStr">
        <is>
          <t>1. In source tool (or fixture), create request shape 'GET no body'.
2. Export from source as HAR file.
3. Import into APICircle.
4. Compare resulting request to source.
5. (Optional) Export from APICircle as same format; diff.</t>
        </is>
      </c>
      <c r="H2048" s="16" t="inlineStr">
        <is>
          <t>fmt=HAR (HTTP Archive) shape=Simple GET</t>
        </is>
      </c>
      <c r="I2048" s="16" t="inlineStr">
        <is>
          <t>All compatible fields of 'GET no body' preserved through import. Any fields the format cannot represent are clearly flagged in the import warnings, not silently dropped. Round-trip export back yields a structurally equivalent file.</t>
        </is>
      </c>
      <c r="J2048" s="16" t="inlineStr"/>
      <c r="K2048" s="16" t="inlineStr">
        <is>
          <t>Not Run</t>
        </is>
      </c>
      <c r="L2048" s="16" t="inlineStr">
        <is>
          <t>Medium</t>
        </is>
      </c>
      <c r="M2048" s="16" t="inlineStr"/>
      <c r="N2048" s="16" t="inlineStr"/>
      <c r="O2048" s="16" t="inlineStr"/>
    </row>
    <row r="2049" ht="72" customHeight="1">
      <c r="A2049" s="16" t="inlineStr">
        <is>
          <t>TC-IE-0112</t>
        </is>
      </c>
      <c r="B2049" s="16" t="inlineStr">
        <is>
          <t>Import / Export</t>
        </is>
      </c>
      <c r="C2049" s="16" t="inlineStr">
        <is>
          <t>Round-trip</t>
        </is>
      </c>
      <c r="D2049" s="16" t="inlineStr">
        <is>
          <t>Functional</t>
        </is>
      </c>
      <c r="E2049" s="16" t="inlineStr">
        <is>
          <t>Round-trip HAR file for: POST with JSON body</t>
        </is>
      </c>
      <c r="F2049" s="16" t="inlineStr">
        <is>
          <t>-</t>
        </is>
      </c>
      <c r="G2049" s="16" t="inlineStr">
        <is>
          <t>1. In source tool (or fixture), create request shape 'POST with JSON body'.
2. Export from source as HAR file.
3. Import into APICircle.
4. Compare resulting request to source.
5. (Optional) Export from APICircle as same format; diff.</t>
        </is>
      </c>
      <c r="H2049" s="16" t="inlineStr">
        <is>
          <t>fmt=HAR (HTTP Archive) shape=POST JSON</t>
        </is>
      </c>
      <c r="I2049" s="16" t="inlineStr">
        <is>
          <t>All compatible fields of 'POST with JSON body' preserved through import. Any fields the format cannot represent are clearly flagged in the import warnings, not silently dropped. Round-trip export back yields a structurally equivalent file.</t>
        </is>
      </c>
      <c r="J2049" s="16" t="inlineStr"/>
      <c r="K2049" s="16" t="inlineStr">
        <is>
          <t>Not Run</t>
        </is>
      </c>
      <c r="L2049" s="16" t="inlineStr">
        <is>
          <t>Medium</t>
        </is>
      </c>
      <c r="M2049" s="16" t="inlineStr"/>
      <c r="N2049" s="16" t="inlineStr"/>
      <c r="O2049" s="16" t="inlineStr"/>
    </row>
    <row r="2050" ht="72" customHeight="1">
      <c r="A2050" s="16" t="inlineStr">
        <is>
          <t>TC-IE-0113</t>
        </is>
      </c>
      <c r="B2050" s="16" t="inlineStr">
        <is>
          <t>Import / Export</t>
        </is>
      </c>
      <c r="C2050" s="16" t="inlineStr">
        <is>
          <t>Round-trip</t>
        </is>
      </c>
      <c r="D2050" s="16" t="inlineStr">
        <is>
          <t>Functional</t>
        </is>
      </c>
      <c r="E2050" s="16" t="inlineStr">
        <is>
          <t>Round-trip HAR file for: POST with form-data</t>
        </is>
      </c>
      <c r="F2050" s="16" t="inlineStr">
        <is>
          <t>-</t>
        </is>
      </c>
      <c r="G2050" s="16" t="inlineStr">
        <is>
          <t>1. In source tool (or fixture), create request shape 'POST with form-data'.
2. Export from source as HAR file.
3. Import into APICircle.
4. Compare resulting request to source.
5. (Optional) Export from APICircle as same format; diff.</t>
        </is>
      </c>
      <c r="H2050" s="16" t="inlineStr">
        <is>
          <t>fmt=HAR (HTTP Archive) shape=POST form-data</t>
        </is>
      </c>
      <c r="I2050" s="16" t="inlineStr">
        <is>
          <t>All compatible fields of 'POST with form-data' preserved through import. Any fields the format cannot represent are clearly flagged in the import warnings, not silently dropped. Round-trip export back yields a structurally equivalent file.</t>
        </is>
      </c>
      <c r="J2050" s="16" t="inlineStr"/>
      <c r="K2050" s="16" t="inlineStr">
        <is>
          <t>Not Run</t>
        </is>
      </c>
      <c r="L2050" s="16" t="inlineStr">
        <is>
          <t>Medium</t>
        </is>
      </c>
      <c r="M2050" s="16" t="inlineStr"/>
      <c r="N2050" s="16" t="inlineStr"/>
      <c r="O2050" s="16" t="inlineStr"/>
    </row>
    <row r="2051" ht="72" customHeight="1">
      <c r="A2051" s="16" t="inlineStr">
        <is>
          <t>TC-IE-0114</t>
        </is>
      </c>
      <c r="B2051" s="16" t="inlineStr">
        <is>
          <t>Import / Export</t>
        </is>
      </c>
      <c r="C2051" s="16" t="inlineStr">
        <is>
          <t>Round-trip</t>
        </is>
      </c>
      <c r="D2051" s="16" t="inlineStr">
        <is>
          <t>Functional</t>
        </is>
      </c>
      <c r="E2051" s="16" t="inlineStr">
        <is>
          <t>Round-trip HAR file for: POST with file upload</t>
        </is>
      </c>
      <c r="F2051" s="16" t="inlineStr">
        <is>
          <t>-</t>
        </is>
      </c>
      <c r="G2051" s="16" t="inlineStr">
        <is>
          <t>1. In source tool (or fixture), create request shape 'POST with file upload'.
2. Export from source as HAR file.
3. Import into APICircle.
4. Compare resulting request to source.
5. (Optional) Export from APICircle as same format; diff.</t>
        </is>
      </c>
      <c r="H2051" s="16" t="inlineStr">
        <is>
          <t>fmt=HAR (HTTP Archive) shape=POST file</t>
        </is>
      </c>
      <c r="I2051" s="16" t="inlineStr">
        <is>
          <t>All compatible fields of 'POST with file upload' preserved through import. Any fields the format cannot represent are clearly flagged in the import warnings, not silently dropped. Round-trip export back yields a structurally equivalent file.</t>
        </is>
      </c>
      <c r="J2051" s="16" t="inlineStr"/>
      <c r="K2051" s="16" t="inlineStr">
        <is>
          <t>Not Run</t>
        </is>
      </c>
      <c r="L2051" s="16" t="inlineStr">
        <is>
          <t>Medium</t>
        </is>
      </c>
      <c r="M2051" s="16" t="inlineStr"/>
      <c r="N2051" s="16" t="inlineStr"/>
      <c r="O2051" s="16" t="inlineStr"/>
    </row>
    <row r="2052" ht="72" customHeight="1">
      <c r="A2052" s="16" t="inlineStr">
        <is>
          <t>TC-IE-0115</t>
        </is>
      </c>
      <c r="B2052" s="16" t="inlineStr">
        <is>
          <t>Import / Export</t>
        </is>
      </c>
      <c r="C2052" s="16" t="inlineStr">
        <is>
          <t>Round-trip</t>
        </is>
      </c>
      <c r="D2052" s="16" t="inlineStr">
        <is>
          <t>Functional</t>
        </is>
      </c>
      <c r="E2052" s="16" t="inlineStr">
        <is>
          <t>Round-trip HAR file for: GraphQL query</t>
        </is>
      </c>
      <c r="F2052" s="16" t="inlineStr">
        <is>
          <t>-</t>
        </is>
      </c>
      <c r="G2052" s="16" t="inlineStr">
        <is>
          <t>1. In source tool (or fixture), create request shape 'GraphQL query'.
2. Export from source as HAR file.
3. Import into APICircle.
4. Compare resulting request to source.
5. (Optional) Export from APICircle as same format; diff.</t>
        </is>
      </c>
      <c r="H2052" s="16" t="inlineStr">
        <is>
          <t>fmt=HAR (HTTP Archive) shape=GraphQL POST</t>
        </is>
      </c>
      <c r="I2052" s="16" t="inlineStr">
        <is>
          <t>All compatible fields of 'GraphQL query' preserved through import. Any fields the format cannot represent are clearly flagged in the import warnings, not silently dropped. Round-trip export back yields a structurally equivalent file.</t>
        </is>
      </c>
      <c r="J2052" s="16" t="inlineStr"/>
      <c r="K2052" s="16" t="inlineStr">
        <is>
          <t>Not Run</t>
        </is>
      </c>
      <c r="L2052" s="16" t="inlineStr">
        <is>
          <t>Medium</t>
        </is>
      </c>
      <c r="M2052" s="16" t="inlineStr"/>
      <c r="N2052" s="16" t="inlineStr"/>
      <c r="O2052" s="16" t="inlineStr"/>
    </row>
    <row r="2053" ht="72" customHeight="1">
      <c r="A2053" s="16" t="inlineStr">
        <is>
          <t>TC-IE-0116</t>
        </is>
      </c>
      <c r="B2053" s="16" t="inlineStr">
        <is>
          <t>Import / Export</t>
        </is>
      </c>
      <c r="C2053" s="16" t="inlineStr">
        <is>
          <t>Round-trip</t>
        </is>
      </c>
      <c r="D2053" s="16" t="inlineStr">
        <is>
          <t>Functional</t>
        </is>
      </c>
      <c r="E2053" s="16" t="inlineStr">
        <is>
          <t>Round-trip HAR file for: Bearer auth</t>
        </is>
      </c>
      <c r="F2053" s="16" t="inlineStr">
        <is>
          <t>-</t>
        </is>
      </c>
      <c r="G2053" s="16" t="inlineStr">
        <is>
          <t>1. In source tool (or fixture), create request shape 'Bearer auth'.
2. Export from source as HAR file.
3. Import into APICircle.
4. Compare resulting request to source.
5. (Optional) Export from APICircle as same format; diff.</t>
        </is>
      </c>
      <c r="H2053" s="16" t="inlineStr">
        <is>
          <t>fmt=HAR (HTTP Archive) shape=Bearer</t>
        </is>
      </c>
      <c r="I2053" s="16" t="inlineStr">
        <is>
          <t>All compatible fields of 'Bearer auth' preserved through import. Any fields the format cannot represent are clearly flagged in the import warnings, not silently dropped. Round-trip export back yields a structurally equivalent file.</t>
        </is>
      </c>
      <c r="J2053" s="16" t="inlineStr"/>
      <c r="K2053" s="16" t="inlineStr">
        <is>
          <t>Not Run</t>
        </is>
      </c>
      <c r="L2053" s="16" t="inlineStr">
        <is>
          <t>Medium</t>
        </is>
      </c>
      <c r="M2053" s="16" t="inlineStr"/>
      <c r="N2053" s="16" t="inlineStr"/>
      <c r="O2053" s="16" t="inlineStr"/>
    </row>
    <row r="2054" ht="72" customHeight="1">
      <c r="A2054" s="16" t="inlineStr">
        <is>
          <t>TC-IE-0117</t>
        </is>
      </c>
      <c r="B2054" s="16" t="inlineStr">
        <is>
          <t>Import / Export</t>
        </is>
      </c>
      <c r="C2054" s="16" t="inlineStr">
        <is>
          <t>Round-trip</t>
        </is>
      </c>
      <c r="D2054" s="16" t="inlineStr">
        <is>
          <t>Functional</t>
        </is>
      </c>
      <c r="E2054" s="16" t="inlineStr">
        <is>
          <t>Round-trip HAR file for: Basic auth</t>
        </is>
      </c>
      <c r="F2054" s="16" t="inlineStr">
        <is>
          <t>-</t>
        </is>
      </c>
      <c r="G2054" s="16" t="inlineStr">
        <is>
          <t>1. In source tool (or fixture), create request shape 'Basic auth'.
2. Export from source as HAR file.
3. Import into APICircle.
4. Compare resulting request to source.
5. (Optional) Export from APICircle as same format; diff.</t>
        </is>
      </c>
      <c r="H2054" s="16" t="inlineStr">
        <is>
          <t>fmt=HAR (HTTP Archive) shape=Basic</t>
        </is>
      </c>
      <c r="I2054" s="16" t="inlineStr">
        <is>
          <t>All compatible fields of 'Basic auth' preserved through import. Any fields the format cannot represent are clearly flagged in the import warnings, not silently dropped. Round-trip export back yields a structurally equivalent file.</t>
        </is>
      </c>
      <c r="J2054" s="16" t="inlineStr"/>
      <c r="K2054" s="16" t="inlineStr">
        <is>
          <t>Not Run</t>
        </is>
      </c>
      <c r="L2054" s="16" t="inlineStr">
        <is>
          <t>Medium</t>
        </is>
      </c>
      <c r="M2054" s="16" t="inlineStr"/>
      <c r="N2054" s="16" t="inlineStr"/>
      <c r="O2054" s="16" t="inlineStr"/>
    </row>
    <row r="2055" ht="72" customHeight="1">
      <c r="A2055" s="16" t="inlineStr">
        <is>
          <t>TC-IE-0118</t>
        </is>
      </c>
      <c r="B2055" s="16" t="inlineStr">
        <is>
          <t>Import / Export</t>
        </is>
      </c>
      <c r="C2055" s="16" t="inlineStr">
        <is>
          <t>Round-trip</t>
        </is>
      </c>
      <c r="D2055" s="16" t="inlineStr">
        <is>
          <t>Functional</t>
        </is>
      </c>
      <c r="E2055" s="16" t="inlineStr">
        <is>
          <t>Round-trip HAR file for: OAuth2 (with token)</t>
        </is>
      </c>
      <c r="F2055" s="16" t="inlineStr">
        <is>
          <t>-</t>
        </is>
      </c>
      <c r="G2055" s="16" t="inlineStr">
        <is>
          <t>1. In source tool (or fixture), create request shape 'OAuth2 (with token)'.
2. Export from source as HAR file.
3. Import into APICircle.
4. Compare resulting request to source.
5. (Optional) Export from APICircle as same format; diff.</t>
        </is>
      </c>
      <c r="H2055" s="16" t="inlineStr">
        <is>
          <t>fmt=HAR (HTTP Archive) shape=OAuth2</t>
        </is>
      </c>
      <c r="I2055" s="16" t="inlineStr">
        <is>
          <t>All compatible fields of 'OAuth2 (with token)' preserved through import. Any fields the format cannot represent are clearly flagged in the import warnings, not silently dropped. Round-trip export back yields a structurally equivalent file.</t>
        </is>
      </c>
      <c r="J2055" s="16" t="inlineStr"/>
      <c r="K2055" s="16" t="inlineStr">
        <is>
          <t>Not Run</t>
        </is>
      </c>
      <c r="L2055" s="16" t="inlineStr">
        <is>
          <t>Medium</t>
        </is>
      </c>
      <c r="M2055" s="16" t="inlineStr"/>
      <c r="N2055" s="16" t="inlineStr"/>
      <c r="O2055" s="16" t="inlineStr"/>
    </row>
    <row r="2056" ht="72" customHeight="1">
      <c r="A2056" s="16" t="inlineStr">
        <is>
          <t>TC-IE-0119</t>
        </is>
      </c>
      <c r="B2056" s="16" t="inlineStr">
        <is>
          <t>Import / Export</t>
        </is>
      </c>
      <c r="C2056" s="16" t="inlineStr">
        <is>
          <t>Round-trip</t>
        </is>
      </c>
      <c r="D2056" s="16" t="inlineStr">
        <is>
          <t>Functional</t>
        </is>
      </c>
      <c r="E2056" s="16" t="inlineStr">
        <is>
          <t>Round-trip HAR file for: API key in header</t>
        </is>
      </c>
      <c r="F2056" s="16" t="inlineStr">
        <is>
          <t>-</t>
        </is>
      </c>
      <c r="G2056" s="16" t="inlineStr">
        <is>
          <t>1. In source tool (or fixture), create request shape 'API key in header'.
2. Export from source as HAR file.
3. Import into APICircle.
4. Compare resulting request to source.
5. (Optional) Export from APICircle as same format; diff.</t>
        </is>
      </c>
      <c r="H2056" s="16" t="inlineStr">
        <is>
          <t>fmt=HAR (HTTP Archive) shape=API key header</t>
        </is>
      </c>
      <c r="I2056" s="16" t="inlineStr">
        <is>
          <t>All compatible fields of 'API key in header' preserved through import. Any fields the format cannot represent are clearly flagged in the import warnings, not silently dropped. Round-trip export back yields a structurally equivalent file.</t>
        </is>
      </c>
      <c r="J2056" s="16" t="inlineStr"/>
      <c r="K2056" s="16" t="inlineStr">
        <is>
          <t>Not Run</t>
        </is>
      </c>
      <c r="L2056" s="16" t="inlineStr">
        <is>
          <t>Medium</t>
        </is>
      </c>
      <c r="M2056" s="16" t="inlineStr"/>
      <c r="N2056" s="16" t="inlineStr"/>
      <c r="O2056" s="16" t="inlineStr"/>
    </row>
    <row r="2057" ht="72" customHeight="1">
      <c r="A2057" s="16" t="inlineStr">
        <is>
          <t>TC-IE-0120</t>
        </is>
      </c>
      <c r="B2057" s="16" t="inlineStr">
        <is>
          <t>Import / Export</t>
        </is>
      </c>
      <c r="C2057" s="16" t="inlineStr">
        <is>
          <t>Round-trip</t>
        </is>
      </c>
      <c r="D2057" s="16" t="inlineStr">
        <is>
          <t>Functional</t>
        </is>
      </c>
      <c r="E2057" s="16" t="inlineStr">
        <is>
          <t>Round-trip HAR file for: API key in query</t>
        </is>
      </c>
      <c r="F2057" s="16" t="inlineStr">
        <is>
          <t>-</t>
        </is>
      </c>
      <c r="G2057" s="16" t="inlineStr">
        <is>
          <t>1. In source tool (or fixture), create request shape 'API key in query'.
2. Export from source as HAR file.
3. Import into APICircle.
4. Compare resulting request to source.
5. (Optional) Export from APICircle as same format; diff.</t>
        </is>
      </c>
      <c r="H2057" s="16" t="inlineStr">
        <is>
          <t>fmt=HAR (HTTP Archive) shape=API key query</t>
        </is>
      </c>
      <c r="I2057" s="16" t="inlineStr">
        <is>
          <t>All compatible fields of 'API key in query' preserved through import. Any fields the format cannot represent are clearly flagged in the import warnings, not silently dropped. Round-trip export back yields a structurally equivalent file.</t>
        </is>
      </c>
      <c r="J2057" s="16" t="inlineStr"/>
      <c r="K2057" s="16" t="inlineStr">
        <is>
          <t>Not Run</t>
        </is>
      </c>
      <c r="L2057" s="16" t="inlineStr">
        <is>
          <t>Medium</t>
        </is>
      </c>
      <c r="M2057" s="16" t="inlineStr"/>
      <c r="N2057" s="16" t="inlineStr"/>
      <c r="O2057" s="16" t="inlineStr"/>
    </row>
    <row r="2058" ht="72" customHeight="1">
      <c r="A2058" s="16" t="inlineStr">
        <is>
          <t>TC-IE-0121</t>
        </is>
      </c>
      <c r="B2058" s="16" t="inlineStr">
        <is>
          <t>Import / Export</t>
        </is>
      </c>
      <c r="C2058" s="16" t="inlineStr">
        <is>
          <t>Round-trip</t>
        </is>
      </c>
      <c r="D2058" s="16" t="inlineStr">
        <is>
          <t>Functional</t>
        </is>
      </c>
      <c r="E2058" s="16" t="inlineStr">
        <is>
          <t>Round-trip HAR file for: Custom headers</t>
        </is>
      </c>
      <c r="F2058" s="16" t="inlineStr">
        <is>
          <t>-</t>
        </is>
      </c>
      <c r="G2058" s="16" t="inlineStr">
        <is>
          <t>1. In source tool (or fixture), create request shape 'Custom headers'.
2. Export from source as HAR file.
3. Import into APICircle.
4. Compare resulting request to source.
5. (Optional) Export from APICircle as same format; diff.</t>
        </is>
      </c>
      <c r="H2058" s="16" t="inlineStr">
        <is>
          <t>fmt=HAR (HTTP Archive) shape=Custom headers</t>
        </is>
      </c>
      <c r="I2058" s="16" t="inlineStr">
        <is>
          <t>All compatible fields of 'Custom headers' preserved through import. Any fields the format cannot represent are clearly flagged in the import warnings, not silently dropped. Round-trip export back yields a structurally equivalent file.</t>
        </is>
      </c>
      <c r="J2058" s="16" t="inlineStr"/>
      <c r="K2058" s="16" t="inlineStr">
        <is>
          <t>Not Run</t>
        </is>
      </c>
      <c r="L2058" s="16" t="inlineStr">
        <is>
          <t>Medium</t>
        </is>
      </c>
      <c r="M2058" s="16" t="inlineStr"/>
      <c r="N2058" s="16" t="inlineStr"/>
      <c r="O2058" s="16" t="inlineStr"/>
    </row>
    <row r="2059" ht="72" customHeight="1">
      <c r="A2059" s="16" t="inlineStr">
        <is>
          <t>TC-IE-0122</t>
        </is>
      </c>
      <c r="B2059" s="16" t="inlineStr">
        <is>
          <t>Import / Export</t>
        </is>
      </c>
      <c r="C2059" s="16" t="inlineStr">
        <is>
          <t>Round-trip</t>
        </is>
      </c>
      <c r="D2059" s="16" t="inlineStr">
        <is>
          <t>Functional</t>
        </is>
      </c>
      <c r="E2059" s="16" t="inlineStr">
        <is>
          <t>Round-trip HAR file for: Path params (:id)</t>
        </is>
      </c>
      <c r="F2059" s="16" t="inlineStr">
        <is>
          <t>-</t>
        </is>
      </c>
      <c r="G2059" s="16" t="inlineStr">
        <is>
          <t>1. In source tool (or fixture), create request shape 'Path params (:id)'.
2. Export from source as HAR file.
3. Import into APICircle.
4. Compare resulting request to source.
5. (Optional) Export from APICircle as same format; diff.</t>
        </is>
      </c>
      <c r="H2059" s="16" t="inlineStr">
        <is>
          <t>fmt=HAR (HTTP Archive) shape=Path params</t>
        </is>
      </c>
      <c r="I2059" s="16" t="inlineStr">
        <is>
          <t>All compatible fields of 'Path params (:id)' preserved through import. Any fields the format cannot represent are clearly flagged in the import warnings, not silently dropped. Round-trip export back yields a structurally equivalent file.</t>
        </is>
      </c>
      <c r="J2059" s="16" t="inlineStr"/>
      <c r="K2059" s="16" t="inlineStr">
        <is>
          <t>Not Run</t>
        </is>
      </c>
      <c r="L2059" s="16" t="inlineStr">
        <is>
          <t>Medium</t>
        </is>
      </c>
      <c r="M2059" s="16" t="inlineStr"/>
      <c r="N2059" s="16" t="inlineStr"/>
      <c r="O2059" s="16" t="inlineStr"/>
    </row>
    <row r="2060" ht="72" customHeight="1">
      <c r="A2060" s="16" t="inlineStr">
        <is>
          <t>TC-IE-0123</t>
        </is>
      </c>
      <c r="B2060" s="16" t="inlineStr">
        <is>
          <t>Import / Export</t>
        </is>
      </c>
      <c r="C2060" s="16" t="inlineStr">
        <is>
          <t>Round-trip</t>
        </is>
      </c>
      <c r="D2060" s="16" t="inlineStr">
        <is>
          <t>Functional</t>
        </is>
      </c>
      <c r="E2060" s="16" t="inlineStr">
        <is>
          <t>Round-trip HAR file for: Query params</t>
        </is>
      </c>
      <c r="F2060" s="16" t="inlineStr">
        <is>
          <t>-</t>
        </is>
      </c>
      <c r="G2060" s="16" t="inlineStr">
        <is>
          <t>1. In source tool (or fixture), create request shape 'Query params'.
2. Export from source as HAR file.
3. Import into APICircle.
4. Compare resulting request to source.
5. (Optional) Export from APICircle as same format; diff.</t>
        </is>
      </c>
      <c r="H2060" s="16" t="inlineStr">
        <is>
          <t>fmt=HAR (HTTP Archive) shape=Query params</t>
        </is>
      </c>
      <c r="I2060" s="16" t="inlineStr">
        <is>
          <t>All compatible fields of 'Query params' preserved through import. Any fields the format cannot represent are clearly flagged in the import warnings, not silently dropped. Round-trip export back yields a structurally equivalent file.</t>
        </is>
      </c>
      <c r="J2060" s="16" t="inlineStr"/>
      <c r="K2060" s="16" t="inlineStr">
        <is>
          <t>Not Run</t>
        </is>
      </c>
      <c r="L2060" s="16" t="inlineStr">
        <is>
          <t>Medium</t>
        </is>
      </c>
      <c r="M2060" s="16" t="inlineStr"/>
      <c r="N2060" s="16" t="inlineStr"/>
      <c r="O2060" s="16" t="inlineStr"/>
    </row>
    <row r="2061" ht="72" customHeight="1">
      <c r="A2061" s="16" t="inlineStr">
        <is>
          <t>TC-IE-0124</t>
        </is>
      </c>
      <c r="B2061" s="16" t="inlineStr">
        <is>
          <t>Import / Export</t>
        </is>
      </c>
      <c r="C2061" s="16" t="inlineStr">
        <is>
          <t>Round-trip</t>
        </is>
      </c>
      <c r="D2061" s="16" t="inlineStr">
        <is>
          <t>Functional</t>
        </is>
      </c>
      <c r="E2061" s="16" t="inlineStr">
        <is>
          <t>Round-trip HAR file for: Variables in URL/body</t>
        </is>
      </c>
      <c r="F2061" s="16" t="inlineStr">
        <is>
          <t>-</t>
        </is>
      </c>
      <c r="G2061" s="16" t="inlineStr">
        <is>
          <t>1. In source tool (or fixture), create request shape 'Variables in URL/body'.
2. Export from source as HAR file.
3. Import into APICircle.
4. Compare resulting request to source.
5. (Optional) Export from APICircle as same format; diff.</t>
        </is>
      </c>
      <c r="H2061" s="16" t="inlineStr">
        <is>
          <t>fmt=HAR (HTTP Archive) shape=Variables</t>
        </is>
      </c>
      <c r="I2061" s="16" t="inlineStr">
        <is>
          <t>All compatible fields of 'Variables in URL/body' preserved through import. Any fields the format cannot represent are clearly flagged in the import warnings, not silently dropped. Round-trip export back yields a structurally equivalent file.</t>
        </is>
      </c>
      <c r="J2061" s="16" t="inlineStr"/>
      <c r="K2061" s="16" t="inlineStr">
        <is>
          <t>Not Run</t>
        </is>
      </c>
      <c r="L2061" s="16" t="inlineStr">
        <is>
          <t>Medium</t>
        </is>
      </c>
      <c r="M2061" s="16" t="inlineStr"/>
      <c r="N2061" s="16" t="inlineStr"/>
      <c r="O2061" s="16" t="inlineStr"/>
    </row>
    <row r="2062" ht="72" customHeight="1">
      <c r="A2062" s="16" t="inlineStr">
        <is>
          <t>TC-IE-0125</t>
        </is>
      </c>
      <c r="B2062" s="16" t="inlineStr">
        <is>
          <t>Import / Export</t>
        </is>
      </c>
      <c r="C2062" s="16" t="inlineStr">
        <is>
          <t>Round-trip</t>
        </is>
      </c>
      <c r="D2062" s="16" t="inlineStr">
        <is>
          <t>Functional</t>
        </is>
      </c>
      <c r="E2062" s="16" t="inlineStr">
        <is>
          <t>Round-trip HAR file for: Pre-request script</t>
        </is>
      </c>
      <c r="F2062" s="16" t="inlineStr">
        <is>
          <t>-</t>
        </is>
      </c>
      <c r="G2062" s="16" t="inlineStr">
        <is>
          <t>1. In source tool (or fixture), create request shape 'Pre-request script'.
2. Export from source as HAR file.
3. Import into APICircle.
4. Compare resulting request to source.
5. (Optional) Export from APICircle as same format; diff.</t>
        </is>
      </c>
      <c r="H2062" s="16" t="inlineStr">
        <is>
          <t>fmt=HAR (HTTP Archive) shape=Pre-script</t>
        </is>
      </c>
      <c r="I2062" s="16" t="inlineStr">
        <is>
          <t>All compatible fields of 'Pre-request script' preserved through import. Any fields the format cannot represent are clearly flagged in the import warnings, not silently dropped. Round-trip export back yields a structurally equivalent file.</t>
        </is>
      </c>
      <c r="J2062" s="16" t="inlineStr"/>
      <c r="K2062" s="16" t="inlineStr">
        <is>
          <t>Not Run</t>
        </is>
      </c>
      <c r="L2062" s="16" t="inlineStr">
        <is>
          <t>Medium</t>
        </is>
      </c>
      <c r="M2062" s="16" t="inlineStr"/>
      <c r="N2062" s="16" t="inlineStr"/>
      <c r="O2062" s="16" t="inlineStr"/>
    </row>
    <row r="2063" ht="72" customHeight="1">
      <c r="A2063" s="16" t="inlineStr">
        <is>
          <t>TC-IE-0126</t>
        </is>
      </c>
      <c r="B2063" s="16" t="inlineStr">
        <is>
          <t>Import / Export</t>
        </is>
      </c>
      <c r="C2063" s="16" t="inlineStr">
        <is>
          <t>Round-trip</t>
        </is>
      </c>
      <c r="D2063" s="16" t="inlineStr">
        <is>
          <t>Functional</t>
        </is>
      </c>
      <c r="E2063" s="16" t="inlineStr">
        <is>
          <t>Round-trip HAR file for: Tests / assertions</t>
        </is>
      </c>
      <c r="F2063" s="16" t="inlineStr">
        <is>
          <t>-</t>
        </is>
      </c>
      <c r="G2063" s="16" t="inlineStr">
        <is>
          <t>1. In source tool (or fixture), create request shape 'Tests / assertions'.
2. Export from source as HAR file.
3. Import into APICircle.
4. Compare resulting request to source.
5. (Optional) Export from APICircle as same format; diff.</t>
        </is>
      </c>
      <c r="H2063" s="16" t="inlineStr">
        <is>
          <t>fmt=HAR (HTTP Archive) shape=Tests</t>
        </is>
      </c>
      <c r="I2063" s="16" t="inlineStr">
        <is>
          <t>All compatible fields of 'Tests / assertions' preserved through import. Any fields the format cannot represent are clearly flagged in the import warnings, not silently dropped. Round-trip export back yields a structurally equivalent file.</t>
        </is>
      </c>
      <c r="J2063" s="16" t="inlineStr"/>
      <c r="K2063" s="16" t="inlineStr">
        <is>
          <t>Not Run</t>
        </is>
      </c>
      <c r="L2063" s="16" t="inlineStr">
        <is>
          <t>Medium</t>
        </is>
      </c>
      <c r="M2063" s="16" t="inlineStr"/>
      <c r="N2063" s="16" t="inlineStr"/>
      <c r="O2063" s="16" t="inlineStr"/>
    </row>
    <row r="2064" ht="72" customHeight="1">
      <c r="A2064" s="16" t="inlineStr">
        <is>
          <t>TC-MR-0026</t>
        </is>
      </c>
      <c r="B2064" s="16" t="inlineStr">
        <is>
          <t>Mock Response Matrix</t>
        </is>
      </c>
      <c r="C2064" s="16" t="inlineStr">
        <is>
          <t>Different methods same path (GET)</t>
        </is>
      </c>
      <c r="D2064" s="16" t="inlineStr">
        <is>
          <t>Functional</t>
        </is>
      </c>
      <c r="E2064" s="16" t="inlineStr">
        <is>
          <t>/users handled by GET vs POST definition - GET</t>
        </is>
      </c>
      <c r="F2064" s="16" t="inlineStr">
        <is>
          <t>Web build.</t>
        </is>
      </c>
      <c r="G2064" s="16" t="inlineStr">
        <is>
          <t>1. Configure scenario: /users handled by GET vs POST.
2. Define GET request matching one selector.
3. Define GET request matching another.</t>
        </is>
      </c>
      <c r="H2064" s="16" t="inlineStr">
        <is>
          <t>matching method=GET</t>
        </is>
      </c>
      <c r="I2064" s="16" t="inlineStr">
        <is>
          <t>Endpoints for both. (Verified for GET.)</t>
        </is>
      </c>
      <c r="J2064" s="16" t="inlineStr"/>
      <c r="K2064" s="16" t="inlineStr">
        <is>
          <t>Not Run</t>
        </is>
      </c>
      <c r="L2064" s="16" t="inlineStr">
        <is>
          <t>High</t>
        </is>
      </c>
      <c r="M2064" s="16" t="inlineStr"/>
      <c r="N2064" s="16" t="inlineStr"/>
      <c r="O2064" s="16" t="inlineStr"/>
    </row>
    <row r="2065" ht="72" customHeight="1">
      <c r="A2065" s="16" t="inlineStr">
        <is>
          <t>TC-MR-0027</t>
        </is>
      </c>
      <c r="B2065" s="16" t="inlineStr">
        <is>
          <t>Mock Response Matrix</t>
        </is>
      </c>
      <c r="C2065" s="16" t="inlineStr">
        <is>
          <t>Different methods same path (POST)</t>
        </is>
      </c>
      <c r="D2065" s="16" t="inlineStr">
        <is>
          <t>Functional</t>
        </is>
      </c>
      <c r="E2065" s="16" t="inlineStr">
        <is>
          <t>/users handled by GET vs POST definition - POST</t>
        </is>
      </c>
      <c r="F2065" s="16" t="inlineStr">
        <is>
          <t>Web build.</t>
        </is>
      </c>
      <c r="G2065" s="16" t="inlineStr">
        <is>
          <t>1. Configure scenario: /users handled by GET vs POST.
2. Define POST request matching one selector.
3. Define POST request matching another.</t>
        </is>
      </c>
      <c r="H2065" s="16" t="inlineStr">
        <is>
          <t>matching method=POST</t>
        </is>
      </c>
      <c r="I2065" s="16" t="inlineStr">
        <is>
          <t>Endpoints for both. (Verified for POST.)</t>
        </is>
      </c>
      <c r="J2065" s="16" t="inlineStr"/>
      <c r="K2065" s="16" t="inlineStr">
        <is>
          <t>Not Run</t>
        </is>
      </c>
      <c r="L2065" s="16" t="inlineStr">
        <is>
          <t>High</t>
        </is>
      </c>
      <c r="M2065" s="16" t="inlineStr"/>
      <c r="N2065" s="16" t="inlineStr"/>
      <c r="O2065" s="16" t="inlineStr"/>
    </row>
    <row r="2066" ht="72" customHeight="1">
      <c r="A2066" s="16" t="inlineStr">
        <is>
          <t>TC-MR-0028</t>
        </is>
      </c>
      <c r="B2066" s="16" t="inlineStr">
        <is>
          <t>Mock Response Matrix</t>
        </is>
      </c>
      <c r="C2066" s="16" t="inlineStr">
        <is>
          <t>Different methods same path (PUT)</t>
        </is>
      </c>
      <c r="D2066" s="16" t="inlineStr">
        <is>
          <t>Functional</t>
        </is>
      </c>
      <c r="E2066" s="16" t="inlineStr">
        <is>
          <t>/users handled by GET vs POST definition - PUT</t>
        </is>
      </c>
      <c r="F2066" s="16" t="inlineStr">
        <is>
          <t>Web build.</t>
        </is>
      </c>
      <c r="G2066" s="16" t="inlineStr">
        <is>
          <t>1. Configure scenario: /users handled by GET vs POST.
2. Define PUT request matching one selector.
3. Define PUT request matching another.</t>
        </is>
      </c>
      <c r="H2066" s="16" t="inlineStr">
        <is>
          <t>matching method=PUT</t>
        </is>
      </c>
      <c r="I2066" s="16" t="inlineStr">
        <is>
          <t>Endpoints for both. (Verified for PUT.)</t>
        </is>
      </c>
      <c r="J2066" s="16" t="inlineStr"/>
      <c r="K2066" s="16" t="inlineStr">
        <is>
          <t>Not Run</t>
        </is>
      </c>
      <c r="L2066" s="16" t="inlineStr">
        <is>
          <t>High</t>
        </is>
      </c>
      <c r="M2066" s="16" t="inlineStr"/>
      <c r="N2066" s="16" t="inlineStr"/>
      <c r="O2066" s="16" t="inlineStr"/>
    </row>
    <row r="2067" ht="72" customHeight="1">
      <c r="A2067" s="16" t="inlineStr">
        <is>
          <t>TC-MR-0029</t>
        </is>
      </c>
      <c r="B2067" s="16" t="inlineStr">
        <is>
          <t>Mock Response Matrix</t>
        </is>
      </c>
      <c r="C2067" s="16" t="inlineStr">
        <is>
          <t>Different methods same path (PATCH)</t>
        </is>
      </c>
      <c r="D2067" s="16" t="inlineStr">
        <is>
          <t>Functional</t>
        </is>
      </c>
      <c r="E2067" s="16" t="inlineStr">
        <is>
          <t>/users handled by GET vs POST definition - PATCH</t>
        </is>
      </c>
      <c r="F2067" s="16" t="inlineStr">
        <is>
          <t>Web build.</t>
        </is>
      </c>
      <c r="G2067" s="16" t="inlineStr">
        <is>
          <t>1. Configure scenario: /users handled by GET vs POST.
2. Define PATCH request matching one selector.
3. Define PATCH request matching another.</t>
        </is>
      </c>
      <c r="H2067" s="16" t="inlineStr">
        <is>
          <t>matching method=PATCH</t>
        </is>
      </c>
      <c r="I2067" s="16" t="inlineStr">
        <is>
          <t>Endpoints for both. (Verified for PATCH.)</t>
        </is>
      </c>
      <c r="J2067" s="16" t="inlineStr"/>
      <c r="K2067" s="16" t="inlineStr">
        <is>
          <t>Not Run</t>
        </is>
      </c>
      <c r="L2067" s="16" t="inlineStr">
        <is>
          <t>High</t>
        </is>
      </c>
      <c r="M2067" s="16" t="inlineStr"/>
      <c r="N2067" s="16" t="inlineStr"/>
      <c r="O2067" s="16" t="inlineStr"/>
    </row>
    <row r="2068" ht="72" customHeight="1">
      <c r="A2068" s="16" t="inlineStr">
        <is>
          <t>TC-MR-0030</t>
        </is>
      </c>
      <c r="B2068" s="16" t="inlineStr">
        <is>
          <t>Mock Response Matrix</t>
        </is>
      </c>
      <c r="C2068" s="16" t="inlineStr">
        <is>
          <t>Different methods same path (DELETE)</t>
        </is>
      </c>
      <c r="D2068" s="16" t="inlineStr">
        <is>
          <t>Functional</t>
        </is>
      </c>
      <c r="E2068" s="16" t="inlineStr">
        <is>
          <t>/users handled by GET vs POST definition - DELETE</t>
        </is>
      </c>
      <c r="F2068" s="16" t="inlineStr">
        <is>
          <t>Web build.</t>
        </is>
      </c>
      <c r="G2068" s="16" t="inlineStr">
        <is>
          <t>1. Configure scenario: /users handled by GET vs POST.
2. Define DELETE request matching one selector.
3. Define DELETE request matching another.</t>
        </is>
      </c>
      <c r="H2068" s="16" t="inlineStr">
        <is>
          <t>matching method=DELETE</t>
        </is>
      </c>
      <c r="I2068" s="16" t="inlineStr">
        <is>
          <t>Endpoints for both. (Verified for DELETE.)</t>
        </is>
      </c>
      <c r="J2068" s="16" t="inlineStr"/>
      <c r="K2068" s="16" t="inlineStr">
        <is>
          <t>Not Run</t>
        </is>
      </c>
      <c r="L2068" s="16" t="inlineStr">
        <is>
          <t>High</t>
        </is>
      </c>
      <c r="M2068" s="16" t="inlineStr"/>
      <c r="N2068" s="16" t="inlineStr"/>
      <c r="O2068" s="16" t="inlineStr"/>
    </row>
    <row r="2069" ht="72" customHeight="1">
      <c r="A2069" s="16" t="inlineStr">
        <is>
          <t>TC-MR-0031</t>
        </is>
      </c>
      <c r="B2069" s="16" t="inlineStr">
        <is>
          <t>Mock Response Matrix</t>
        </is>
      </c>
      <c r="C2069" s="16" t="inlineStr">
        <is>
          <t>Same method different paths (GET)</t>
        </is>
      </c>
      <c r="D2069" s="16" t="inlineStr">
        <is>
          <t>Functional</t>
        </is>
      </c>
      <c r="E2069" s="16" t="inlineStr">
        <is>
          <t>/users vs /users/list definition - GET</t>
        </is>
      </c>
      <c r="F2069" s="16" t="inlineStr">
        <is>
          <t>Web build.</t>
        </is>
      </c>
      <c r="G2069" s="16" t="inlineStr">
        <is>
          <t>1. Configure scenario: /users vs /users/list.
2. Define GET request matching one selector.
3. Define GET request matching another.</t>
        </is>
      </c>
      <c r="H2069" s="16" t="inlineStr">
        <is>
          <t>matching method=GET</t>
        </is>
      </c>
      <c r="I2069" s="16" t="inlineStr">
        <is>
          <t>Distinct. (Verified for GET.)</t>
        </is>
      </c>
      <c r="J2069" s="16" t="inlineStr"/>
      <c r="K2069" s="16" t="inlineStr">
        <is>
          <t>Not Run</t>
        </is>
      </c>
      <c r="L2069" s="16" t="inlineStr">
        <is>
          <t>High</t>
        </is>
      </c>
      <c r="M2069" s="16" t="inlineStr"/>
      <c r="N2069" s="16" t="inlineStr"/>
      <c r="O2069" s="16" t="inlineStr"/>
    </row>
    <row r="2070" ht="72" customHeight="1">
      <c r="A2070" s="16" t="inlineStr">
        <is>
          <t>TC-MR-0032</t>
        </is>
      </c>
      <c r="B2070" s="16" t="inlineStr">
        <is>
          <t>Mock Response Matrix</t>
        </is>
      </c>
      <c r="C2070" s="16" t="inlineStr">
        <is>
          <t>Same method different paths (POST)</t>
        </is>
      </c>
      <c r="D2070" s="16" t="inlineStr">
        <is>
          <t>Functional</t>
        </is>
      </c>
      <c r="E2070" s="16" t="inlineStr">
        <is>
          <t>/users vs /users/list definition - POST</t>
        </is>
      </c>
      <c r="F2070" s="16" t="inlineStr">
        <is>
          <t>Web build.</t>
        </is>
      </c>
      <c r="G2070" s="16" t="inlineStr">
        <is>
          <t>1. Configure scenario: /users vs /users/list.
2. Define POST request matching one selector.
3. Define POST request matching another.</t>
        </is>
      </c>
      <c r="H2070" s="16" t="inlineStr">
        <is>
          <t>matching method=POST</t>
        </is>
      </c>
      <c r="I2070" s="16" t="inlineStr">
        <is>
          <t>Distinct. (Verified for POST.)</t>
        </is>
      </c>
      <c r="J2070" s="16" t="inlineStr"/>
      <c r="K2070" s="16" t="inlineStr">
        <is>
          <t>Not Run</t>
        </is>
      </c>
      <c r="L2070" s="16" t="inlineStr">
        <is>
          <t>High</t>
        </is>
      </c>
      <c r="M2070" s="16" t="inlineStr"/>
      <c r="N2070" s="16" t="inlineStr"/>
      <c r="O2070" s="16" t="inlineStr"/>
    </row>
    <row r="2071" ht="72" customHeight="1">
      <c r="A2071" s="16" t="inlineStr">
        <is>
          <t>TC-MR-0033</t>
        </is>
      </c>
      <c r="B2071" s="16" t="inlineStr">
        <is>
          <t>Mock Response Matrix</t>
        </is>
      </c>
      <c r="C2071" s="16" t="inlineStr">
        <is>
          <t>Same method different paths (PUT)</t>
        </is>
      </c>
      <c r="D2071" s="16" t="inlineStr">
        <is>
          <t>Functional</t>
        </is>
      </c>
      <c r="E2071" s="16" t="inlineStr">
        <is>
          <t>/users vs /users/list definition - PUT</t>
        </is>
      </c>
      <c r="F2071" s="16" t="inlineStr">
        <is>
          <t>Web build.</t>
        </is>
      </c>
      <c r="G2071" s="16" t="inlineStr">
        <is>
          <t>1. Configure scenario: /users vs /users/list.
2. Define PUT request matching one selector.
3. Define PUT request matching another.</t>
        </is>
      </c>
      <c r="H2071" s="16" t="inlineStr">
        <is>
          <t>matching method=PUT</t>
        </is>
      </c>
      <c r="I2071" s="16" t="inlineStr">
        <is>
          <t>Distinct. (Verified for PUT.)</t>
        </is>
      </c>
      <c r="J2071" s="16" t="inlineStr"/>
      <c r="K2071" s="16" t="inlineStr">
        <is>
          <t>Not Run</t>
        </is>
      </c>
      <c r="L2071" s="16" t="inlineStr">
        <is>
          <t>High</t>
        </is>
      </c>
      <c r="M2071" s="16" t="inlineStr"/>
      <c r="N2071" s="16" t="inlineStr"/>
      <c r="O2071" s="16" t="inlineStr"/>
    </row>
    <row r="2072" ht="72" customHeight="1">
      <c r="A2072" s="16" t="inlineStr">
        <is>
          <t>TC-MR-0034</t>
        </is>
      </c>
      <c r="B2072" s="16" t="inlineStr">
        <is>
          <t>Mock Response Matrix</t>
        </is>
      </c>
      <c r="C2072" s="16" t="inlineStr">
        <is>
          <t>Same method different paths (PATCH)</t>
        </is>
      </c>
      <c r="D2072" s="16" t="inlineStr">
        <is>
          <t>Functional</t>
        </is>
      </c>
      <c r="E2072" s="16" t="inlineStr">
        <is>
          <t>/users vs /users/list definition - PATCH</t>
        </is>
      </c>
      <c r="F2072" s="16" t="inlineStr">
        <is>
          <t>Web build.</t>
        </is>
      </c>
      <c r="G2072" s="16" t="inlineStr">
        <is>
          <t>1. Configure scenario: /users vs /users/list.
2. Define PATCH request matching one selector.
3. Define PATCH request matching another.</t>
        </is>
      </c>
      <c r="H2072" s="16" t="inlineStr">
        <is>
          <t>matching method=PATCH</t>
        </is>
      </c>
      <c r="I2072" s="16" t="inlineStr">
        <is>
          <t>Distinct. (Verified for PATCH.)</t>
        </is>
      </c>
      <c r="J2072" s="16" t="inlineStr"/>
      <c r="K2072" s="16" t="inlineStr">
        <is>
          <t>Not Run</t>
        </is>
      </c>
      <c r="L2072" s="16" t="inlineStr">
        <is>
          <t>High</t>
        </is>
      </c>
      <c r="M2072" s="16" t="inlineStr"/>
      <c r="N2072" s="16" t="inlineStr"/>
      <c r="O2072" s="16" t="inlineStr"/>
    </row>
    <row r="2073" ht="72" customHeight="1">
      <c r="A2073" s="16" t="inlineStr">
        <is>
          <t>TC-MR-0035</t>
        </is>
      </c>
      <c r="B2073" s="16" t="inlineStr">
        <is>
          <t>Mock Response Matrix</t>
        </is>
      </c>
      <c r="C2073" s="16" t="inlineStr">
        <is>
          <t>Same method different paths (DELETE)</t>
        </is>
      </c>
      <c r="D2073" s="16" t="inlineStr">
        <is>
          <t>Functional</t>
        </is>
      </c>
      <c r="E2073" s="16" t="inlineStr">
        <is>
          <t>/users vs /users/list definition - DELETE</t>
        </is>
      </c>
      <c r="F2073" s="16" t="inlineStr">
        <is>
          <t>Web build.</t>
        </is>
      </c>
      <c r="G2073" s="16" t="inlineStr">
        <is>
          <t>1. Configure scenario: /users vs /users/list.
2. Define DELETE request matching one selector.
3. Define DELETE request matching another.</t>
        </is>
      </c>
      <c r="H2073" s="16" t="inlineStr">
        <is>
          <t>matching method=DELETE</t>
        </is>
      </c>
      <c r="I2073" s="16" t="inlineStr">
        <is>
          <t>Distinct. (Verified for DELETE.)</t>
        </is>
      </c>
      <c r="J2073" s="16" t="inlineStr"/>
      <c r="K2073" s="16" t="inlineStr">
        <is>
          <t>Not Run</t>
        </is>
      </c>
      <c r="L2073" s="16" t="inlineStr">
        <is>
          <t>High</t>
        </is>
      </c>
      <c r="M2073" s="16" t="inlineStr"/>
      <c r="N2073" s="16" t="inlineStr"/>
      <c r="O2073" s="16" t="inlineStr"/>
    </row>
    <row r="2074" ht="72" customHeight="1">
      <c r="A2074" s="16" t="inlineStr">
        <is>
          <t>TC-MR-0036</t>
        </is>
      </c>
      <c r="B2074" s="16" t="inlineStr">
        <is>
          <t>Mock Response Matrix</t>
        </is>
      </c>
      <c r="C2074" s="16" t="inlineStr">
        <is>
          <t>Path with multiple params /:org/:repo (GET)</t>
        </is>
      </c>
      <c r="D2074" s="16" t="inlineStr">
        <is>
          <t>Functional</t>
        </is>
      </c>
      <c r="E2074" s="16" t="inlineStr">
        <is>
          <t>Both captured definition - GET</t>
        </is>
      </c>
      <c r="F2074" s="16" t="inlineStr">
        <is>
          <t>Web build.</t>
        </is>
      </c>
      <c r="G2074" s="16" t="inlineStr">
        <is>
          <t>1. Configure scenario: Both captured.
2. Define GET request matching one selector.
3. Define GET request matching another.</t>
        </is>
      </c>
      <c r="H2074" s="16" t="inlineStr">
        <is>
          <t>matching method=GET</t>
        </is>
      </c>
      <c r="I2074" s="16" t="inlineStr">
        <is>
          <t>Both captured. (Verified for GET.)</t>
        </is>
      </c>
      <c r="J2074" s="16" t="inlineStr"/>
      <c r="K2074" s="16" t="inlineStr">
        <is>
          <t>Not Run</t>
        </is>
      </c>
      <c r="L2074" s="16" t="inlineStr">
        <is>
          <t>High</t>
        </is>
      </c>
      <c r="M2074" s="16" t="inlineStr"/>
      <c r="N2074" s="16" t="inlineStr"/>
      <c r="O2074" s="16" t="inlineStr"/>
    </row>
    <row r="2075" ht="72" customHeight="1">
      <c r="A2075" s="16" t="inlineStr">
        <is>
          <t>TC-MR-0037</t>
        </is>
      </c>
      <c r="B2075" s="16" t="inlineStr">
        <is>
          <t>Mock Response Matrix</t>
        </is>
      </c>
      <c r="C2075" s="16" t="inlineStr">
        <is>
          <t>Path with multiple params /:org/:repo (POST)</t>
        </is>
      </c>
      <c r="D2075" s="16" t="inlineStr">
        <is>
          <t>Functional</t>
        </is>
      </c>
      <c r="E2075" s="16" t="inlineStr">
        <is>
          <t>Both captured definition - POST</t>
        </is>
      </c>
      <c r="F2075" s="16" t="inlineStr">
        <is>
          <t>Web build.</t>
        </is>
      </c>
      <c r="G2075" s="16" t="inlineStr">
        <is>
          <t>1. Configure scenario: Both captured.
2. Define POST request matching one selector.
3. Define POST request matching another.</t>
        </is>
      </c>
      <c r="H2075" s="16" t="inlineStr">
        <is>
          <t>matching method=POST</t>
        </is>
      </c>
      <c r="I2075" s="16" t="inlineStr">
        <is>
          <t>Both captured. (Verified for POST.)</t>
        </is>
      </c>
      <c r="J2075" s="16" t="inlineStr"/>
      <c r="K2075" s="16" t="inlineStr">
        <is>
          <t>Not Run</t>
        </is>
      </c>
      <c r="L2075" s="16" t="inlineStr">
        <is>
          <t>High</t>
        </is>
      </c>
      <c r="M2075" s="16" t="inlineStr"/>
      <c r="N2075" s="16" t="inlineStr"/>
      <c r="O2075" s="16" t="inlineStr"/>
    </row>
    <row r="2076" ht="72" customHeight="1">
      <c r="A2076" s="16" t="inlineStr">
        <is>
          <t>TC-MR-0038</t>
        </is>
      </c>
      <c r="B2076" s="16" t="inlineStr">
        <is>
          <t>Mock Response Matrix</t>
        </is>
      </c>
      <c r="C2076" s="16" t="inlineStr">
        <is>
          <t>Path with multiple params /:org/:repo (PUT)</t>
        </is>
      </c>
      <c r="D2076" s="16" t="inlineStr">
        <is>
          <t>Functional</t>
        </is>
      </c>
      <c r="E2076" s="16" t="inlineStr">
        <is>
          <t>Both captured definition - PUT</t>
        </is>
      </c>
      <c r="F2076" s="16" t="inlineStr">
        <is>
          <t>Web build.</t>
        </is>
      </c>
      <c r="G2076" s="16" t="inlineStr">
        <is>
          <t>1. Configure scenario: Both captured.
2. Define PUT request matching one selector.
3. Define PUT request matching another.</t>
        </is>
      </c>
      <c r="H2076" s="16" t="inlineStr">
        <is>
          <t>matching method=PUT</t>
        </is>
      </c>
      <c r="I2076" s="16" t="inlineStr">
        <is>
          <t>Both captured. (Verified for PUT.)</t>
        </is>
      </c>
      <c r="J2076" s="16" t="inlineStr"/>
      <c r="K2076" s="16" t="inlineStr">
        <is>
          <t>Not Run</t>
        </is>
      </c>
      <c r="L2076" s="16" t="inlineStr">
        <is>
          <t>High</t>
        </is>
      </c>
      <c r="M2076" s="16" t="inlineStr"/>
      <c r="N2076" s="16" t="inlineStr"/>
      <c r="O2076" s="16" t="inlineStr"/>
    </row>
    <row r="2077" ht="72" customHeight="1">
      <c r="A2077" s="16" t="inlineStr">
        <is>
          <t>TC-MR-0039</t>
        </is>
      </c>
      <c r="B2077" s="16" t="inlineStr">
        <is>
          <t>Mock Response Matrix</t>
        </is>
      </c>
      <c r="C2077" s="16" t="inlineStr">
        <is>
          <t>Path with multiple params /:org/:repo (PATCH)</t>
        </is>
      </c>
      <c r="D2077" s="16" t="inlineStr">
        <is>
          <t>Functional</t>
        </is>
      </c>
      <c r="E2077" s="16" t="inlineStr">
        <is>
          <t>Both captured definition - PATCH</t>
        </is>
      </c>
      <c r="F2077" s="16" t="inlineStr">
        <is>
          <t>Web build.</t>
        </is>
      </c>
      <c r="G2077" s="16" t="inlineStr">
        <is>
          <t>1. Configure scenario: Both captured.
2. Define PATCH request matching one selector.
3. Define PATCH request matching another.</t>
        </is>
      </c>
      <c r="H2077" s="16" t="inlineStr">
        <is>
          <t>matching method=PATCH</t>
        </is>
      </c>
      <c r="I2077" s="16" t="inlineStr">
        <is>
          <t>Both captured. (Verified for PATCH.)</t>
        </is>
      </c>
      <c r="J2077" s="16" t="inlineStr"/>
      <c r="K2077" s="16" t="inlineStr">
        <is>
          <t>Not Run</t>
        </is>
      </c>
      <c r="L2077" s="16" t="inlineStr">
        <is>
          <t>High</t>
        </is>
      </c>
      <c r="M2077" s="16" t="inlineStr"/>
      <c r="N2077" s="16" t="inlineStr"/>
      <c r="O2077" s="16" t="inlineStr"/>
    </row>
    <row r="2078" ht="72" customHeight="1">
      <c r="A2078" s="16" t="inlineStr">
        <is>
          <t>TC-MR-0040</t>
        </is>
      </c>
      <c r="B2078" s="16" t="inlineStr">
        <is>
          <t>Mock Response Matrix</t>
        </is>
      </c>
      <c r="C2078" s="16" t="inlineStr">
        <is>
          <t>Path with multiple params /:org/:repo (DELETE)</t>
        </is>
      </c>
      <c r="D2078" s="16" t="inlineStr">
        <is>
          <t>Functional</t>
        </is>
      </c>
      <c r="E2078" s="16" t="inlineStr">
        <is>
          <t>Both captured definition - DELETE</t>
        </is>
      </c>
      <c r="F2078" s="16" t="inlineStr">
        <is>
          <t>Web build.</t>
        </is>
      </c>
      <c r="G2078" s="16" t="inlineStr">
        <is>
          <t>1. Configure scenario: Both captured.
2. Define DELETE request matching one selector.
3. Define DELETE request matching another.</t>
        </is>
      </c>
      <c r="H2078" s="16" t="inlineStr">
        <is>
          <t>matching method=DELETE</t>
        </is>
      </c>
      <c r="I2078" s="16" t="inlineStr">
        <is>
          <t>Both captured. (Verified for DELETE.)</t>
        </is>
      </c>
      <c r="J2078" s="16" t="inlineStr"/>
      <c r="K2078" s="16" t="inlineStr">
        <is>
          <t>Not Run</t>
        </is>
      </c>
      <c r="L2078" s="16" t="inlineStr">
        <is>
          <t>High</t>
        </is>
      </c>
      <c r="M2078" s="16" t="inlineStr"/>
      <c r="N2078" s="16" t="inlineStr"/>
      <c r="O2078" s="16" t="inlineStr"/>
    </row>
    <row r="2079" ht="72" customHeight="1">
      <c r="A2079" s="16" t="inlineStr">
        <is>
          <t>TC-MR-0041</t>
        </is>
      </c>
      <c r="B2079" s="16" t="inlineStr">
        <is>
          <t>Mock Response Matrix</t>
        </is>
      </c>
      <c r="C2079" s="16" t="inlineStr">
        <is>
          <t>Path with mixed :param and {param} (GET)</t>
        </is>
      </c>
      <c r="D2079" s="16" t="inlineStr">
        <is>
          <t>Functional</t>
        </is>
      </c>
      <c r="E2079" s="16" t="inlineStr">
        <is>
          <t>Either supported definition - GET</t>
        </is>
      </c>
      <c r="F2079" s="16" t="inlineStr">
        <is>
          <t>Web build.</t>
        </is>
      </c>
      <c r="G2079" s="16" t="inlineStr">
        <is>
          <t>1. Configure scenario: Either supported.
2. Define GET request matching one selector.
3. Define GET request matching another.</t>
        </is>
      </c>
      <c r="H2079" s="16" t="inlineStr">
        <is>
          <t>matching method=GET</t>
        </is>
      </c>
      <c r="I2079" s="16" t="inlineStr">
        <is>
          <t>Both syntaxes accepted. (Verified for GET.)</t>
        </is>
      </c>
      <c r="J2079" s="16" t="inlineStr"/>
      <c r="K2079" s="16" t="inlineStr">
        <is>
          <t>Not Run</t>
        </is>
      </c>
      <c r="L2079" s="16" t="inlineStr">
        <is>
          <t>Medium</t>
        </is>
      </c>
      <c r="M2079" s="16" t="inlineStr"/>
      <c r="N2079" s="16" t="inlineStr"/>
      <c r="O2079" s="16" t="inlineStr"/>
    </row>
    <row r="2080" ht="72" customHeight="1">
      <c r="A2080" s="16" t="inlineStr">
        <is>
          <t>TC-MR-0042</t>
        </is>
      </c>
      <c r="B2080" s="16" t="inlineStr">
        <is>
          <t>Mock Response Matrix</t>
        </is>
      </c>
      <c r="C2080" s="16" t="inlineStr">
        <is>
          <t>Path with mixed :param and {param} (POST)</t>
        </is>
      </c>
      <c r="D2080" s="16" t="inlineStr">
        <is>
          <t>Functional</t>
        </is>
      </c>
      <c r="E2080" s="16" t="inlineStr">
        <is>
          <t>Either supported definition - POST</t>
        </is>
      </c>
      <c r="F2080" s="16" t="inlineStr">
        <is>
          <t>Web build.</t>
        </is>
      </c>
      <c r="G2080" s="16" t="inlineStr">
        <is>
          <t>1. Configure scenario: Either supported.
2. Define POST request matching one selector.
3. Define POST request matching another.</t>
        </is>
      </c>
      <c r="H2080" s="16" t="inlineStr">
        <is>
          <t>matching method=POST</t>
        </is>
      </c>
      <c r="I2080" s="16" t="inlineStr">
        <is>
          <t>Both syntaxes accepted. (Verified for POST.)</t>
        </is>
      </c>
      <c r="J2080" s="16" t="inlineStr"/>
      <c r="K2080" s="16" t="inlineStr">
        <is>
          <t>Not Run</t>
        </is>
      </c>
      <c r="L2080" s="16" t="inlineStr">
        <is>
          <t>Medium</t>
        </is>
      </c>
      <c r="M2080" s="16" t="inlineStr"/>
      <c r="N2080" s="16" t="inlineStr"/>
      <c r="O2080" s="16" t="inlineStr"/>
    </row>
    <row r="2081" ht="72" customHeight="1">
      <c r="A2081" s="16" t="inlineStr">
        <is>
          <t>TC-MR-0043</t>
        </is>
      </c>
      <c r="B2081" s="16" t="inlineStr">
        <is>
          <t>Mock Response Matrix</t>
        </is>
      </c>
      <c r="C2081" s="16" t="inlineStr">
        <is>
          <t>Path with mixed :param and {param} (PUT)</t>
        </is>
      </c>
      <c r="D2081" s="16" t="inlineStr">
        <is>
          <t>Functional</t>
        </is>
      </c>
      <c r="E2081" s="16" t="inlineStr">
        <is>
          <t>Either supported definition - PUT</t>
        </is>
      </c>
      <c r="F2081" s="16" t="inlineStr">
        <is>
          <t>Web build.</t>
        </is>
      </c>
      <c r="G2081" s="16" t="inlineStr">
        <is>
          <t>1. Configure scenario: Either supported.
2. Define PUT request matching one selector.
3. Define PUT request matching another.</t>
        </is>
      </c>
      <c r="H2081" s="16" t="inlineStr">
        <is>
          <t>matching method=PUT</t>
        </is>
      </c>
      <c r="I2081" s="16" t="inlineStr">
        <is>
          <t>Both syntaxes accepted. (Verified for PUT.)</t>
        </is>
      </c>
      <c r="J2081" s="16" t="inlineStr"/>
      <c r="K2081" s="16" t="inlineStr">
        <is>
          <t>Not Run</t>
        </is>
      </c>
      <c r="L2081" s="16" t="inlineStr">
        <is>
          <t>Medium</t>
        </is>
      </c>
      <c r="M2081" s="16" t="inlineStr"/>
      <c r="N2081" s="16" t="inlineStr"/>
      <c r="O2081" s="16" t="inlineStr"/>
    </row>
    <row r="2082" ht="72" customHeight="1">
      <c r="A2082" s="16" t="inlineStr">
        <is>
          <t>TC-MR-0044</t>
        </is>
      </c>
      <c r="B2082" s="16" t="inlineStr">
        <is>
          <t>Mock Response Matrix</t>
        </is>
      </c>
      <c r="C2082" s="16" t="inlineStr">
        <is>
          <t>Path with mixed :param and {param} (PATCH)</t>
        </is>
      </c>
      <c r="D2082" s="16" t="inlineStr">
        <is>
          <t>Functional</t>
        </is>
      </c>
      <c r="E2082" s="16" t="inlineStr">
        <is>
          <t>Either supported definition - PATCH</t>
        </is>
      </c>
      <c r="F2082" s="16" t="inlineStr">
        <is>
          <t>Web build.</t>
        </is>
      </c>
      <c r="G2082" s="16" t="inlineStr">
        <is>
          <t>1. Configure scenario: Either supported.
2. Define PATCH request matching one selector.
3. Define PATCH request matching another.</t>
        </is>
      </c>
      <c r="H2082" s="16" t="inlineStr">
        <is>
          <t>matching method=PATCH</t>
        </is>
      </c>
      <c r="I2082" s="16" t="inlineStr">
        <is>
          <t>Both syntaxes accepted. (Verified for PATCH.)</t>
        </is>
      </c>
      <c r="J2082" s="16" t="inlineStr"/>
      <c r="K2082" s="16" t="inlineStr">
        <is>
          <t>Not Run</t>
        </is>
      </c>
      <c r="L2082" s="16" t="inlineStr">
        <is>
          <t>Medium</t>
        </is>
      </c>
      <c r="M2082" s="16" t="inlineStr"/>
      <c r="N2082" s="16" t="inlineStr"/>
      <c r="O2082" s="16" t="inlineStr"/>
    </row>
    <row r="2083" ht="72" customHeight="1">
      <c r="A2083" s="16" t="inlineStr">
        <is>
          <t>TC-MR-0045</t>
        </is>
      </c>
      <c r="B2083" s="16" t="inlineStr">
        <is>
          <t>Mock Response Matrix</t>
        </is>
      </c>
      <c r="C2083" s="16" t="inlineStr">
        <is>
          <t>Path with mixed :param and {param} (DELETE)</t>
        </is>
      </c>
      <c r="D2083" s="16" t="inlineStr">
        <is>
          <t>Functional</t>
        </is>
      </c>
      <c r="E2083" s="16" t="inlineStr">
        <is>
          <t>Either supported definition - DELETE</t>
        </is>
      </c>
      <c r="F2083" s="16" t="inlineStr">
        <is>
          <t>Web build.</t>
        </is>
      </c>
      <c r="G2083" s="16" t="inlineStr">
        <is>
          <t>1. Configure scenario: Either supported.
2. Define DELETE request matching one selector.
3. Define DELETE request matching another.</t>
        </is>
      </c>
      <c r="H2083" s="16" t="inlineStr">
        <is>
          <t>matching method=DELETE</t>
        </is>
      </c>
      <c r="I2083" s="16" t="inlineStr">
        <is>
          <t>Both syntaxes accepted. (Verified for DELETE.)</t>
        </is>
      </c>
      <c r="J2083" s="16" t="inlineStr"/>
      <c r="K2083" s="16" t="inlineStr">
        <is>
          <t>Not Run</t>
        </is>
      </c>
      <c r="L2083" s="16" t="inlineStr">
        <is>
          <t>Medium</t>
        </is>
      </c>
      <c r="M2083" s="16" t="inlineStr"/>
      <c r="N2083" s="16" t="inlineStr"/>
      <c r="O2083" s="16" t="inlineStr"/>
    </row>
    <row r="2084" ht="72" customHeight="1">
      <c r="A2084" s="16" t="inlineStr">
        <is>
          <t>TC-MR-0046</t>
        </is>
      </c>
      <c r="B2084" s="16" t="inlineStr">
        <is>
          <t>Mock Response Matrix</t>
        </is>
      </c>
      <c r="C2084" s="16" t="inlineStr">
        <is>
          <t>Trailing slash handling (GET)</t>
        </is>
      </c>
      <c r="D2084" s="16" t="inlineStr">
        <is>
          <t>Functional</t>
        </is>
      </c>
      <c r="E2084" s="16" t="inlineStr">
        <is>
          <t>/users vs /users/ definition - GET</t>
        </is>
      </c>
      <c r="F2084" s="16" t="inlineStr">
        <is>
          <t>Web build.</t>
        </is>
      </c>
      <c r="G2084" s="16" t="inlineStr">
        <is>
          <t>1. Configure scenario: /users vs /users/.
2. Define GET request matching one selector.
3. Define GET request matching another.</t>
        </is>
      </c>
      <c r="H2084" s="16" t="inlineStr">
        <is>
          <t>matching method=GET</t>
        </is>
      </c>
      <c r="I2084" s="16" t="inlineStr">
        <is>
          <t>Documented behavior: either equal or distinct, consistent. (Verified for GET.)</t>
        </is>
      </c>
      <c r="J2084" s="16" t="inlineStr"/>
      <c r="K2084" s="16" t="inlineStr">
        <is>
          <t>Not Run</t>
        </is>
      </c>
      <c r="L2084" s="16" t="inlineStr">
        <is>
          <t>Medium</t>
        </is>
      </c>
      <c r="M2084" s="16" t="inlineStr"/>
      <c r="N2084" s="16" t="inlineStr"/>
      <c r="O2084" s="16" t="inlineStr"/>
    </row>
    <row r="2085" ht="72" customHeight="1">
      <c r="A2085" s="16" t="inlineStr">
        <is>
          <t>TC-MR-0047</t>
        </is>
      </c>
      <c r="B2085" s="16" t="inlineStr">
        <is>
          <t>Mock Response Matrix</t>
        </is>
      </c>
      <c r="C2085" s="16" t="inlineStr">
        <is>
          <t>Trailing slash handling (POST)</t>
        </is>
      </c>
      <c r="D2085" s="16" t="inlineStr">
        <is>
          <t>Functional</t>
        </is>
      </c>
      <c r="E2085" s="16" t="inlineStr">
        <is>
          <t>/users vs /users/ definition - POST</t>
        </is>
      </c>
      <c r="F2085" s="16" t="inlineStr">
        <is>
          <t>Web build.</t>
        </is>
      </c>
      <c r="G2085" s="16" t="inlineStr">
        <is>
          <t>1. Configure scenario: /users vs /users/.
2. Define POST request matching one selector.
3. Define POST request matching another.</t>
        </is>
      </c>
      <c r="H2085" s="16" t="inlineStr">
        <is>
          <t>matching method=POST</t>
        </is>
      </c>
      <c r="I2085" s="16" t="inlineStr">
        <is>
          <t>Documented behavior: either equal or distinct, consistent. (Verified for POST.)</t>
        </is>
      </c>
      <c r="J2085" s="16" t="inlineStr"/>
      <c r="K2085" s="16" t="inlineStr">
        <is>
          <t>Not Run</t>
        </is>
      </c>
      <c r="L2085" s="16" t="inlineStr">
        <is>
          <t>Medium</t>
        </is>
      </c>
      <c r="M2085" s="16" t="inlineStr"/>
      <c r="N2085" s="16" t="inlineStr"/>
      <c r="O2085" s="16" t="inlineStr"/>
    </row>
    <row r="2086" ht="72" customHeight="1">
      <c r="A2086" s="16" t="inlineStr">
        <is>
          <t>TC-MR-0048</t>
        </is>
      </c>
      <c r="B2086" s="16" t="inlineStr">
        <is>
          <t>Mock Response Matrix</t>
        </is>
      </c>
      <c r="C2086" s="16" t="inlineStr">
        <is>
          <t>Trailing slash handling (PUT)</t>
        </is>
      </c>
      <c r="D2086" s="16" t="inlineStr">
        <is>
          <t>Functional</t>
        </is>
      </c>
      <c r="E2086" s="16" t="inlineStr">
        <is>
          <t>/users vs /users/ definition - PUT</t>
        </is>
      </c>
      <c r="F2086" s="16" t="inlineStr">
        <is>
          <t>Web build.</t>
        </is>
      </c>
      <c r="G2086" s="16" t="inlineStr">
        <is>
          <t>1. Configure scenario: /users vs /users/.
2. Define PUT request matching one selector.
3. Define PUT request matching another.</t>
        </is>
      </c>
      <c r="H2086" s="16" t="inlineStr">
        <is>
          <t>matching method=PUT</t>
        </is>
      </c>
      <c r="I2086" s="16" t="inlineStr">
        <is>
          <t>Documented behavior: either equal or distinct, consistent. (Verified for PUT.)</t>
        </is>
      </c>
      <c r="J2086" s="16" t="inlineStr"/>
      <c r="K2086" s="16" t="inlineStr">
        <is>
          <t>Not Run</t>
        </is>
      </c>
      <c r="L2086" s="16" t="inlineStr">
        <is>
          <t>Medium</t>
        </is>
      </c>
      <c r="M2086" s="16" t="inlineStr"/>
      <c r="N2086" s="16" t="inlineStr"/>
      <c r="O2086" s="16" t="inlineStr"/>
    </row>
    <row r="2087" ht="72" customHeight="1">
      <c r="A2087" s="16" t="inlineStr">
        <is>
          <t>TC-MR-0049</t>
        </is>
      </c>
      <c r="B2087" s="16" t="inlineStr">
        <is>
          <t>Mock Response Matrix</t>
        </is>
      </c>
      <c r="C2087" s="16" t="inlineStr">
        <is>
          <t>Trailing slash handling (PATCH)</t>
        </is>
      </c>
      <c r="D2087" s="16" t="inlineStr">
        <is>
          <t>Functional</t>
        </is>
      </c>
      <c r="E2087" s="16" t="inlineStr">
        <is>
          <t>/users vs /users/ definition - PATCH</t>
        </is>
      </c>
      <c r="F2087" s="16" t="inlineStr">
        <is>
          <t>Web build.</t>
        </is>
      </c>
      <c r="G2087" s="16" t="inlineStr">
        <is>
          <t>1. Configure scenario: /users vs /users/.
2. Define PATCH request matching one selector.
3. Define PATCH request matching another.</t>
        </is>
      </c>
      <c r="H2087" s="16" t="inlineStr">
        <is>
          <t>matching method=PATCH</t>
        </is>
      </c>
      <c r="I2087" s="16" t="inlineStr">
        <is>
          <t>Documented behavior: either equal or distinct, consistent. (Verified for PATCH.)</t>
        </is>
      </c>
      <c r="J2087" s="16" t="inlineStr"/>
      <c r="K2087" s="16" t="inlineStr">
        <is>
          <t>Not Run</t>
        </is>
      </c>
      <c r="L2087" s="16" t="inlineStr">
        <is>
          <t>Medium</t>
        </is>
      </c>
      <c r="M2087" s="16" t="inlineStr"/>
      <c r="N2087" s="16" t="inlineStr"/>
      <c r="O2087" s="16" t="inlineStr"/>
    </row>
    <row r="2088" ht="72" customHeight="1">
      <c r="A2088" s="16" t="inlineStr">
        <is>
          <t>TC-MR-0050</t>
        </is>
      </c>
      <c r="B2088" s="16" t="inlineStr">
        <is>
          <t>Mock Response Matrix</t>
        </is>
      </c>
      <c r="C2088" s="16" t="inlineStr">
        <is>
          <t>Trailing slash handling (DELETE)</t>
        </is>
      </c>
      <c r="D2088" s="16" t="inlineStr">
        <is>
          <t>Functional</t>
        </is>
      </c>
      <c r="E2088" s="16" t="inlineStr">
        <is>
          <t>/users vs /users/ definition - DELETE</t>
        </is>
      </c>
      <c r="F2088" s="16" t="inlineStr">
        <is>
          <t>Web build.</t>
        </is>
      </c>
      <c r="G2088" s="16" t="inlineStr">
        <is>
          <t>1. Configure scenario: /users vs /users/.
2. Define DELETE request matching one selector.
3. Define DELETE request matching another.</t>
        </is>
      </c>
      <c r="H2088" s="16" t="inlineStr">
        <is>
          <t>matching method=DELETE</t>
        </is>
      </c>
      <c r="I2088" s="16" t="inlineStr">
        <is>
          <t>Documented behavior: either equal or distinct, consistent. (Verified for DELETE.)</t>
        </is>
      </c>
      <c r="J2088" s="16" t="inlineStr"/>
      <c r="K2088" s="16" t="inlineStr">
        <is>
          <t>Not Run</t>
        </is>
      </c>
      <c r="L2088" s="16" t="inlineStr">
        <is>
          <t>Medium</t>
        </is>
      </c>
      <c r="M2088" s="16" t="inlineStr"/>
      <c r="N2088" s="16" t="inlineStr"/>
      <c r="O2088" s="16" t="inlineStr"/>
    </row>
    <row r="2089" ht="72" customHeight="1">
      <c r="A2089" s="16" t="inlineStr">
        <is>
          <t>TC-MR-0051</t>
        </is>
      </c>
      <c r="B2089" s="16" t="inlineStr">
        <is>
          <t>Mock Response Matrix</t>
        </is>
      </c>
      <c r="C2089" s="16" t="inlineStr">
        <is>
          <t>Case sensitivity in path (GET)</t>
        </is>
      </c>
      <c r="D2089" s="16" t="inlineStr">
        <is>
          <t>Functional</t>
        </is>
      </c>
      <c r="E2089" s="16" t="inlineStr">
        <is>
          <t>/Users vs /users definition - GET</t>
        </is>
      </c>
      <c r="F2089" s="16" t="inlineStr">
        <is>
          <t>Web build.</t>
        </is>
      </c>
      <c r="G2089" s="16" t="inlineStr">
        <is>
          <t>1. Configure scenario: /Users vs /users.
2. Define GET request matching one selector.
3. Define GET request matching another.</t>
        </is>
      </c>
      <c r="H2089" s="16" t="inlineStr">
        <is>
          <t>matching method=GET</t>
        </is>
      </c>
      <c r="I2089" s="16" t="inlineStr">
        <is>
          <t>Distinct or equal per definition; consistent. (Verified for GET.)</t>
        </is>
      </c>
      <c r="J2089" s="16" t="inlineStr"/>
      <c r="K2089" s="16" t="inlineStr">
        <is>
          <t>Not Run</t>
        </is>
      </c>
      <c r="L2089" s="16" t="inlineStr">
        <is>
          <t>Low</t>
        </is>
      </c>
      <c r="M2089" s="16" t="inlineStr"/>
      <c r="N2089" s="16" t="inlineStr"/>
      <c r="O2089" s="16" t="inlineStr"/>
    </row>
    <row r="2090" ht="72" customHeight="1">
      <c r="A2090" s="16" t="inlineStr">
        <is>
          <t>TC-MR-0052</t>
        </is>
      </c>
      <c r="B2090" s="16" t="inlineStr">
        <is>
          <t>Mock Response Matrix</t>
        </is>
      </c>
      <c r="C2090" s="16" t="inlineStr">
        <is>
          <t>Case sensitivity in path (POST)</t>
        </is>
      </c>
      <c r="D2090" s="16" t="inlineStr">
        <is>
          <t>Functional</t>
        </is>
      </c>
      <c r="E2090" s="16" t="inlineStr">
        <is>
          <t>/Users vs /users definition - POST</t>
        </is>
      </c>
      <c r="F2090" s="16" t="inlineStr">
        <is>
          <t>Web build.</t>
        </is>
      </c>
      <c r="G2090" s="16" t="inlineStr">
        <is>
          <t>1. Configure scenario: /Users vs /users.
2. Define POST request matching one selector.
3. Define POST request matching another.</t>
        </is>
      </c>
      <c r="H2090" s="16" t="inlineStr">
        <is>
          <t>matching method=POST</t>
        </is>
      </c>
      <c r="I2090" s="16" t="inlineStr">
        <is>
          <t>Distinct or equal per definition; consistent. (Verified for POST.)</t>
        </is>
      </c>
      <c r="J2090" s="16" t="inlineStr"/>
      <c r="K2090" s="16" t="inlineStr">
        <is>
          <t>Not Run</t>
        </is>
      </c>
      <c r="L2090" s="16" t="inlineStr">
        <is>
          <t>Low</t>
        </is>
      </c>
      <c r="M2090" s="16" t="inlineStr"/>
      <c r="N2090" s="16" t="inlineStr"/>
      <c r="O2090" s="16" t="inlineStr"/>
    </row>
    <row r="2091" ht="72" customHeight="1">
      <c r="A2091" s="16" t="inlineStr">
        <is>
          <t>TC-MR-0053</t>
        </is>
      </c>
      <c r="B2091" s="16" t="inlineStr">
        <is>
          <t>Mock Response Matrix</t>
        </is>
      </c>
      <c r="C2091" s="16" t="inlineStr">
        <is>
          <t>Case sensitivity in path (PUT)</t>
        </is>
      </c>
      <c r="D2091" s="16" t="inlineStr">
        <is>
          <t>Functional</t>
        </is>
      </c>
      <c r="E2091" s="16" t="inlineStr">
        <is>
          <t>/Users vs /users definition - PUT</t>
        </is>
      </c>
      <c r="F2091" s="16" t="inlineStr">
        <is>
          <t>Web build.</t>
        </is>
      </c>
      <c r="G2091" s="16" t="inlineStr">
        <is>
          <t>1. Configure scenario: /Users vs /users.
2. Define PUT request matching one selector.
3. Define PUT request matching another.</t>
        </is>
      </c>
      <c r="H2091" s="16" t="inlineStr">
        <is>
          <t>matching method=PUT</t>
        </is>
      </c>
      <c r="I2091" s="16" t="inlineStr">
        <is>
          <t>Distinct or equal per definition; consistent. (Verified for PUT.)</t>
        </is>
      </c>
      <c r="J2091" s="16" t="inlineStr"/>
      <c r="K2091" s="16" t="inlineStr">
        <is>
          <t>Not Run</t>
        </is>
      </c>
      <c r="L2091" s="16" t="inlineStr">
        <is>
          <t>Low</t>
        </is>
      </c>
      <c r="M2091" s="16" t="inlineStr"/>
      <c r="N2091" s="16" t="inlineStr"/>
      <c r="O2091" s="16" t="inlineStr"/>
    </row>
    <row r="2092" ht="72" customHeight="1">
      <c r="A2092" s="16" t="inlineStr">
        <is>
          <t>TC-MR-0054</t>
        </is>
      </c>
      <c r="B2092" s="16" t="inlineStr">
        <is>
          <t>Mock Response Matrix</t>
        </is>
      </c>
      <c r="C2092" s="16" t="inlineStr">
        <is>
          <t>Case sensitivity in path (PATCH)</t>
        </is>
      </c>
      <c r="D2092" s="16" t="inlineStr">
        <is>
          <t>Functional</t>
        </is>
      </c>
      <c r="E2092" s="16" t="inlineStr">
        <is>
          <t>/Users vs /users definition - PATCH</t>
        </is>
      </c>
      <c r="F2092" s="16" t="inlineStr">
        <is>
          <t>Web build.</t>
        </is>
      </c>
      <c r="G2092" s="16" t="inlineStr">
        <is>
          <t>1. Configure scenario: /Users vs /users.
2. Define PATCH request matching one selector.
3. Define PATCH request matching another.</t>
        </is>
      </c>
      <c r="H2092" s="16" t="inlineStr">
        <is>
          <t>matching method=PATCH</t>
        </is>
      </c>
      <c r="I2092" s="16" t="inlineStr">
        <is>
          <t>Distinct or equal per definition; consistent. (Verified for PATCH.)</t>
        </is>
      </c>
      <c r="J2092" s="16" t="inlineStr"/>
      <c r="K2092" s="16" t="inlineStr">
        <is>
          <t>Not Run</t>
        </is>
      </c>
      <c r="L2092" s="16" t="inlineStr">
        <is>
          <t>Low</t>
        </is>
      </c>
      <c r="M2092" s="16" t="inlineStr"/>
      <c r="N2092" s="16" t="inlineStr"/>
      <c r="O2092" s="16" t="inlineStr"/>
    </row>
    <row r="2093" ht="72" customHeight="1">
      <c r="A2093" s="16" t="inlineStr">
        <is>
          <t>TC-MR-0055</t>
        </is>
      </c>
      <c r="B2093" s="16" t="inlineStr">
        <is>
          <t>Mock Response Matrix</t>
        </is>
      </c>
      <c r="C2093" s="16" t="inlineStr">
        <is>
          <t>Case sensitivity in path (DELETE)</t>
        </is>
      </c>
      <c r="D2093" s="16" t="inlineStr">
        <is>
          <t>Functional</t>
        </is>
      </c>
      <c r="E2093" s="16" t="inlineStr">
        <is>
          <t>/Users vs /users definition - DELETE</t>
        </is>
      </c>
      <c r="F2093" s="16" t="inlineStr">
        <is>
          <t>Web build.</t>
        </is>
      </c>
      <c r="G2093" s="16" t="inlineStr">
        <is>
          <t>1. Configure scenario: /Users vs /users.
2. Define DELETE request matching one selector.
3. Define DELETE request matching another.</t>
        </is>
      </c>
      <c r="H2093" s="16" t="inlineStr">
        <is>
          <t>matching method=DELETE</t>
        </is>
      </c>
      <c r="I2093" s="16" t="inlineStr">
        <is>
          <t>Distinct or equal per definition; consistent. (Verified for DELETE.)</t>
        </is>
      </c>
      <c r="J2093" s="16" t="inlineStr"/>
      <c r="K2093" s="16" t="inlineStr">
        <is>
          <t>Not Run</t>
        </is>
      </c>
      <c r="L2093" s="16" t="inlineStr">
        <is>
          <t>Low</t>
        </is>
      </c>
      <c r="M2093" s="16" t="inlineStr"/>
      <c r="N2093" s="16" t="inlineStr"/>
      <c r="O2093" s="16" t="inlineStr"/>
    </row>
    <row r="2094" ht="72" customHeight="1">
      <c r="A2094" s="16" t="inlineStr">
        <is>
          <t>TC-MR-0056</t>
        </is>
      </c>
      <c r="B2094" s="16" t="inlineStr">
        <is>
          <t>Mock Response Matrix</t>
        </is>
      </c>
      <c r="C2094" s="16" t="inlineStr">
        <is>
          <t>Query-string ignored in match (GET)</t>
        </is>
      </c>
      <c r="D2094" s="16" t="inlineStr">
        <is>
          <t>Functional</t>
        </is>
      </c>
      <c r="E2094" s="16" t="inlineStr">
        <is>
          <t>Path matches regardless of ?x=y definition - GET</t>
        </is>
      </c>
      <c r="F2094" s="16" t="inlineStr">
        <is>
          <t>Web build.</t>
        </is>
      </c>
      <c r="G2094" s="16" t="inlineStr">
        <is>
          <t>1. Configure scenario: Path matches regardless of ?x=y.
2. Define GET request matching one selector.
3. Define GET request matching another.</t>
        </is>
      </c>
      <c r="H2094" s="16" t="inlineStr">
        <is>
          <t>matching method=GET</t>
        </is>
      </c>
      <c r="I2094" s="16" t="inlineStr">
        <is>
          <t>Match ignores query; query can still be inspected. (Verified for GET.)</t>
        </is>
      </c>
      <c r="J2094" s="16" t="inlineStr"/>
      <c r="K2094" s="16" t="inlineStr">
        <is>
          <t>Not Run</t>
        </is>
      </c>
      <c r="L2094" s="16" t="inlineStr">
        <is>
          <t>Medium</t>
        </is>
      </c>
      <c r="M2094" s="16" t="inlineStr"/>
      <c r="N2094" s="16" t="inlineStr"/>
      <c r="O2094" s="16" t="inlineStr"/>
    </row>
    <row r="2095" ht="72" customHeight="1">
      <c r="A2095" s="16" t="inlineStr">
        <is>
          <t>TC-MR-0057</t>
        </is>
      </c>
      <c r="B2095" s="16" t="inlineStr">
        <is>
          <t>Mock Response Matrix</t>
        </is>
      </c>
      <c r="C2095" s="16" t="inlineStr">
        <is>
          <t>Query-string ignored in match (POST)</t>
        </is>
      </c>
      <c r="D2095" s="16" t="inlineStr">
        <is>
          <t>Functional</t>
        </is>
      </c>
      <c r="E2095" s="16" t="inlineStr">
        <is>
          <t>Path matches regardless of ?x=y definition - POST</t>
        </is>
      </c>
      <c r="F2095" s="16" t="inlineStr">
        <is>
          <t>Web build.</t>
        </is>
      </c>
      <c r="G2095" s="16" t="inlineStr">
        <is>
          <t>1. Configure scenario: Path matches regardless of ?x=y.
2. Define POST request matching one selector.
3. Define POST request matching another.</t>
        </is>
      </c>
      <c r="H2095" s="16" t="inlineStr">
        <is>
          <t>matching method=POST</t>
        </is>
      </c>
      <c r="I2095" s="16" t="inlineStr">
        <is>
          <t>Match ignores query; query can still be inspected. (Verified for POST.)</t>
        </is>
      </c>
      <c r="J2095" s="16" t="inlineStr"/>
      <c r="K2095" s="16" t="inlineStr">
        <is>
          <t>Not Run</t>
        </is>
      </c>
      <c r="L2095" s="16" t="inlineStr">
        <is>
          <t>Medium</t>
        </is>
      </c>
      <c r="M2095" s="16" t="inlineStr"/>
      <c r="N2095" s="16" t="inlineStr"/>
      <c r="O2095" s="16" t="inlineStr"/>
    </row>
    <row r="2096" ht="72" customHeight="1">
      <c r="A2096" s="16" t="inlineStr">
        <is>
          <t>TC-MR-0058</t>
        </is>
      </c>
      <c r="B2096" s="16" t="inlineStr">
        <is>
          <t>Mock Response Matrix</t>
        </is>
      </c>
      <c r="C2096" s="16" t="inlineStr">
        <is>
          <t>Query-string ignored in match (PUT)</t>
        </is>
      </c>
      <c r="D2096" s="16" t="inlineStr">
        <is>
          <t>Functional</t>
        </is>
      </c>
      <c r="E2096" s="16" t="inlineStr">
        <is>
          <t>Path matches regardless of ?x=y definition - PUT</t>
        </is>
      </c>
      <c r="F2096" s="16" t="inlineStr">
        <is>
          <t>Web build.</t>
        </is>
      </c>
      <c r="G2096" s="16" t="inlineStr">
        <is>
          <t>1. Configure scenario: Path matches regardless of ?x=y.
2. Define PUT request matching one selector.
3. Define PUT request matching another.</t>
        </is>
      </c>
      <c r="H2096" s="16" t="inlineStr">
        <is>
          <t>matching method=PUT</t>
        </is>
      </c>
      <c r="I2096" s="16" t="inlineStr">
        <is>
          <t>Match ignores query; query can still be inspected. (Verified for PUT.)</t>
        </is>
      </c>
      <c r="J2096" s="16" t="inlineStr"/>
      <c r="K2096" s="16" t="inlineStr">
        <is>
          <t>Not Run</t>
        </is>
      </c>
      <c r="L2096" s="16" t="inlineStr">
        <is>
          <t>Medium</t>
        </is>
      </c>
      <c r="M2096" s="16" t="inlineStr"/>
      <c r="N2096" s="16" t="inlineStr"/>
      <c r="O2096" s="16" t="inlineStr"/>
    </row>
    <row r="2097" ht="72" customHeight="1">
      <c r="A2097" s="16" t="inlineStr">
        <is>
          <t>TC-MR-0059</t>
        </is>
      </c>
      <c r="B2097" s="16" t="inlineStr">
        <is>
          <t>Mock Response Matrix</t>
        </is>
      </c>
      <c r="C2097" s="16" t="inlineStr">
        <is>
          <t>Query-string ignored in match (PATCH)</t>
        </is>
      </c>
      <c r="D2097" s="16" t="inlineStr">
        <is>
          <t>Functional</t>
        </is>
      </c>
      <c r="E2097" s="16" t="inlineStr">
        <is>
          <t>Path matches regardless of ?x=y definition - PATCH</t>
        </is>
      </c>
      <c r="F2097" s="16" t="inlineStr">
        <is>
          <t>Web build.</t>
        </is>
      </c>
      <c r="G2097" s="16" t="inlineStr">
        <is>
          <t>1. Configure scenario: Path matches regardless of ?x=y.
2. Define PATCH request matching one selector.
3. Define PATCH request matching another.</t>
        </is>
      </c>
      <c r="H2097" s="16" t="inlineStr">
        <is>
          <t>matching method=PATCH</t>
        </is>
      </c>
      <c r="I2097" s="16" t="inlineStr">
        <is>
          <t>Match ignores query; query can still be inspected. (Verified for PATCH.)</t>
        </is>
      </c>
      <c r="J2097" s="16" t="inlineStr"/>
      <c r="K2097" s="16" t="inlineStr">
        <is>
          <t>Not Run</t>
        </is>
      </c>
      <c r="L2097" s="16" t="inlineStr">
        <is>
          <t>Medium</t>
        </is>
      </c>
      <c r="M2097" s="16" t="inlineStr"/>
      <c r="N2097" s="16" t="inlineStr"/>
      <c r="O2097" s="16" t="inlineStr"/>
    </row>
    <row r="2098" ht="72" customHeight="1">
      <c r="A2098" s="16" t="inlineStr">
        <is>
          <t>TC-MR-0060</t>
        </is>
      </c>
      <c r="B2098" s="16" t="inlineStr">
        <is>
          <t>Mock Response Matrix</t>
        </is>
      </c>
      <c r="C2098" s="16" t="inlineStr">
        <is>
          <t>Query-string ignored in match (DELETE)</t>
        </is>
      </c>
      <c r="D2098" s="16" t="inlineStr">
        <is>
          <t>Functional</t>
        </is>
      </c>
      <c r="E2098" s="16" t="inlineStr">
        <is>
          <t>Path matches regardless of ?x=y definition - DELETE</t>
        </is>
      </c>
      <c r="F2098" s="16" t="inlineStr">
        <is>
          <t>Web build.</t>
        </is>
      </c>
      <c r="G2098" s="16" t="inlineStr">
        <is>
          <t>1. Configure scenario: Path matches regardless of ?x=y.
2. Define DELETE request matching one selector.
3. Define DELETE request matching another.</t>
        </is>
      </c>
      <c r="H2098" s="16" t="inlineStr">
        <is>
          <t>matching method=DELETE</t>
        </is>
      </c>
      <c r="I2098" s="16" t="inlineStr">
        <is>
          <t>Match ignores query; query can still be inspected. (Verified for DELETE.)</t>
        </is>
      </c>
      <c r="J2098" s="16" t="inlineStr"/>
      <c r="K2098" s="16" t="inlineStr">
        <is>
          <t>Not Run</t>
        </is>
      </c>
      <c r="L2098" s="16" t="inlineStr">
        <is>
          <t>Medium</t>
        </is>
      </c>
      <c r="M2098" s="16" t="inlineStr"/>
      <c r="N2098" s="16" t="inlineStr"/>
      <c r="O2098" s="16" t="inlineStr"/>
    </row>
    <row r="2099" ht="72" customHeight="1">
      <c r="A2099" s="16" t="inlineStr">
        <is>
          <t>TC-MR-0061</t>
        </is>
      </c>
      <c r="B2099" s="16" t="inlineStr">
        <is>
          <t>Mock Response Matrix</t>
        </is>
      </c>
      <c r="C2099" s="16" t="inlineStr">
        <is>
          <t>Header-based selector OR (GET)</t>
        </is>
      </c>
      <c r="D2099" s="16" t="inlineStr">
        <is>
          <t>Functional</t>
        </is>
      </c>
      <c r="E2099" s="16" t="inlineStr">
        <is>
          <t>Two endpoints; one matches X=A OR X=B definition - GET</t>
        </is>
      </c>
      <c r="F2099" s="16" t="inlineStr">
        <is>
          <t>Web build.</t>
        </is>
      </c>
      <c r="G2099" s="16" t="inlineStr">
        <is>
          <t>1. Configure scenario: Two endpoints; one matches X=A OR X=B.
2. Define GET request matching one selector.
3. Define GET request matching another.</t>
        </is>
      </c>
      <c r="H2099" s="16" t="inlineStr">
        <is>
          <t>matching method=GET</t>
        </is>
      </c>
      <c r="I2099" s="16" t="inlineStr">
        <is>
          <t>Both invoke same response. (Verified for GET.)</t>
        </is>
      </c>
      <c r="J2099" s="16" t="inlineStr"/>
      <c r="K2099" s="16" t="inlineStr">
        <is>
          <t>Not Run</t>
        </is>
      </c>
      <c r="L2099" s="16" t="inlineStr">
        <is>
          <t>Medium</t>
        </is>
      </c>
      <c r="M2099" s="16" t="inlineStr"/>
      <c r="N2099" s="16" t="inlineStr"/>
      <c r="O2099" s="16" t="inlineStr"/>
    </row>
    <row r="2100" ht="72" customHeight="1">
      <c r="A2100" s="16" t="inlineStr">
        <is>
          <t>TC-MR-0062</t>
        </is>
      </c>
      <c r="B2100" s="16" t="inlineStr">
        <is>
          <t>Mock Response Matrix</t>
        </is>
      </c>
      <c r="C2100" s="16" t="inlineStr">
        <is>
          <t>Header-based selector OR (POST)</t>
        </is>
      </c>
      <c r="D2100" s="16" t="inlineStr">
        <is>
          <t>Functional</t>
        </is>
      </c>
      <c r="E2100" s="16" t="inlineStr">
        <is>
          <t>Two endpoints; one matches X=A OR X=B definition - POST</t>
        </is>
      </c>
      <c r="F2100" s="16" t="inlineStr">
        <is>
          <t>Web build.</t>
        </is>
      </c>
      <c r="G2100" s="16" t="inlineStr">
        <is>
          <t>1. Configure scenario: Two endpoints; one matches X=A OR X=B.
2. Define POST request matching one selector.
3. Define POST request matching another.</t>
        </is>
      </c>
      <c r="H2100" s="16" t="inlineStr">
        <is>
          <t>matching method=POST</t>
        </is>
      </c>
      <c r="I2100" s="16" t="inlineStr">
        <is>
          <t>Both invoke same response. (Verified for POST.)</t>
        </is>
      </c>
      <c r="J2100" s="16" t="inlineStr"/>
      <c r="K2100" s="16" t="inlineStr">
        <is>
          <t>Not Run</t>
        </is>
      </c>
      <c r="L2100" s="16" t="inlineStr">
        <is>
          <t>Medium</t>
        </is>
      </c>
      <c r="M2100" s="16" t="inlineStr"/>
      <c r="N2100" s="16" t="inlineStr"/>
      <c r="O2100" s="16" t="inlineStr"/>
    </row>
    <row r="2101" ht="72" customHeight="1">
      <c r="A2101" s="16" t="inlineStr">
        <is>
          <t>TC-MR-0063</t>
        </is>
      </c>
      <c r="B2101" s="16" t="inlineStr">
        <is>
          <t>Mock Response Matrix</t>
        </is>
      </c>
      <c r="C2101" s="16" t="inlineStr">
        <is>
          <t>Header-based selector OR (PUT)</t>
        </is>
      </c>
      <c r="D2101" s="16" t="inlineStr">
        <is>
          <t>Functional</t>
        </is>
      </c>
      <c r="E2101" s="16" t="inlineStr">
        <is>
          <t>Two endpoints; one matches X=A OR X=B definition - PUT</t>
        </is>
      </c>
      <c r="F2101" s="16" t="inlineStr">
        <is>
          <t>Web build.</t>
        </is>
      </c>
      <c r="G2101" s="16" t="inlineStr">
        <is>
          <t>1. Configure scenario: Two endpoints; one matches X=A OR X=B.
2. Define PUT request matching one selector.
3. Define PUT request matching another.</t>
        </is>
      </c>
      <c r="H2101" s="16" t="inlineStr">
        <is>
          <t>matching method=PUT</t>
        </is>
      </c>
      <c r="I2101" s="16" t="inlineStr">
        <is>
          <t>Both invoke same response. (Verified for PUT.)</t>
        </is>
      </c>
      <c r="J2101" s="16" t="inlineStr"/>
      <c r="K2101" s="16" t="inlineStr">
        <is>
          <t>Not Run</t>
        </is>
      </c>
      <c r="L2101" s="16" t="inlineStr">
        <is>
          <t>Medium</t>
        </is>
      </c>
      <c r="M2101" s="16" t="inlineStr"/>
      <c r="N2101" s="16" t="inlineStr"/>
      <c r="O2101" s="16" t="inlineStr"/>
    </row>
    <row r="2102" ht="72" customHeight="1">
      <c r="A2102" s="16" t="inlineStr">
        <is>
          <t>TC-MR-0064</t>
        </is>
      </c>
      <c r="B2102" s="16" t="inlineStr">
        <is>
          <t>Mock Response Matrix</t>
        </is>
      </c>
      <c r="C2102" s="16" t="inlineStr">
        <is>
          <t>Header-based selector OR (PATCH)</t>
        </is>
      </c>
      <c r="D2102" s="16" t="inlineStr">
        <is>
          <t>Functional</t>
        </is>
      </c>
      <c r="E2102" s="16" t="inlineStr">
        <is>
          <t>Two endpoints; one matches X=A OR X=B definition - PATCH</t>
        </is>
      </c>
      <c r="F2102" s="16" t="inlineStr">
        <is>
          <t>Web build.</t>
        </is>
      </c>
      <c r="G2102" s="16" t="inlineStr">
        <is>
          <t>1. Configure scenario: Two endpoints; one matches X=A OR X=B.
2. Define PATCH request matching one selector.
3. Define PATCH request matching another.</t>
        </is>
      </c>
      <c r="H2102" s="16" t="inlineStr">
        <is>
          <t>matching method=PATCH</t>
        </is>
      </c>
      <c r="I2102" s="16" t="inlineStr">
        <is>
          <t>Both invoke same response. (Verified for PATCH.)</t>
        </is>
      </c>
      <c r="J2102" s="16" t="inlineStr"/>
      <c r="K2102" s="16" t="inlineStr">
        <is>
          <t>Not Run</t>
        </is>
      </c>
      <c r="L2102" s="16" t="inlineStr">
        <is>
          <t>Medium</t>
        </is>
      </c>
      <c r="M2102" s="16" t="inlineStr"/>
      <c r="N2102" s="16" t="inlineStr"/>
      <c r="O2102" s="16" t="inlineStr"/>
    </row>
    <row r="2103" ht="72" customHeight="1">
      <c r="A2103" s="16" t="inlineStr">
        <is>
          <t>TC-MR-0065</t>
        </is>
      </c>
      <c r="B2103" s="16" t="inlineStr">
        <is>
          <t>Mock Response Matrix</t>
        </is>
      </c>
      <c r="C2103" s="16" t="inlineStr">
        <is>
          <t>Header-based selector OR (DELETE)</t>
        </is>
      </c>
      <c r="D2103" s="16" t="inlineStr">
        <is>
          <t>Functional</t>
        </is>
      </c>
      <c r="E2103" s="16" t="inlineStr">
        <is>
          <t>Two endpoints; one matches X=A OR X=B definition - DELETE</t>
        </is>
      </c>
      <c r="F2103" s="16" t="inlineStr">
        <is>
          <t>Web build.</t>
        </is>
      </c>
      <c r="G2103" s="16" t="inlineStr">
        <is>
          <t>1. Configure scenario: Two endpoints; one matches X=A OR X=B.
2. Define DELETE request matching one selector.
3. Define DELETE request matching another.</t>
        </is>
      </c>
      <c r="H2103" s="16" t="inlineStr">
        <is>
          <t>matching method=DELETE</t>
        </is>
      </c>
      <c r="I2103" s="16" t="inlineStr">
        <is>
          <t>Both invoke same response. (Verified for DELETE.)</t>
        </is>
      </c>
      <c r="J2103" s="16" t="inlineStr"/>
      <c r="K2103" s="16" t="inlineStr">
        <is>
          <t>Not Run</t>
        </is>
      </c>
      <c r="L2103" s="16" t="inlineStr">
        <is>
          <t>Medium</t>
        </is>
      </c>
      <c r="M2103" s="16" t="inlineStr"/>
      <c r="N2103" s="16" t="inlineStr"/>
      <c r="O2103" s="16" t="inlineStr"/>
    </row>
    <row r="2104" ht="72" customHeight="1">
      <c r="A2104" s="16" t="inlineStr">
        <is>
          <t>TC-MR-0066</t>
        </is>
      </c>
      <c r="B2104" s="16" t="inlineStr">
        <is>
          <t>Mock Response Matrix</t>
        </is>
      </c>
      <c r="C2104" s="16" t="inlineStr">
        <is>
          <t>Body content selector (GET)</t>
        </is>
      </c>
      <c r="D2104" s="16" t="inlineStr">
        <is>
          <t>Functional</t>
        </is>
      </c>
      <c r="E2104" s="16" t="inlineStr">
        <is>
          <t>Match request body field definition - GET</t>
        </is>
      </c>
      <c r="F2104" s="16" t="inlineStr">
        <is>
          <t>Web build.</t>
        </is>
      </c>
      <c r="G2104" s="16" t="inlineStr">
        <is>
          <t>1. Configure scenario: Match request body field.
2. Define GET request matching one selector.
3. Define GET request matching another.</t>
        </is>
      </c>
      <c r="H2104" s="16" t="inlineStr">
        <is>
          <t>matching method=GET</t>
        </is>
      </c>
      <c r="I2104" s="16" t="inlineStr">
        <is>
          <t>Routes by body value. (Verified for GET.)</t>
        </is>
      </c>
      <c r="J2104" s="16" t="inlineStr"/>
      <c r="K2104" s="16" t="inlineStr">
        <is>
          <t>Not Run</t>
        </is>
      </c>
      <c r="L2104" s="16" t="inlineStr">
        <is>
          <t>Medium</t>
        </is>
      </c>
      <c r="M2104" s="16" t="inlineStr"/>
      <c r="N2104" s="16" t="inlineStr"/>
      <c r="O2104" s="16" t="inlineStr"/>
    </row>
    <row r="2105" ht="72" customHeight="1">
      <c r="A2105" s="16" t="inlineStr">
        <is>
          <t>TC-MR-0067</t>
        </is>
      </c>
      <c r="B2105" s="16" t="inlineStr">
        <is>
          <t>Mock Response Matrix</t>
        </is>
      </c>
      <c r="C2105" s="16" t="inlineStr">
        <is>
          <t>Body content selector (POST)</t>
        </is>
      </c>
      <c r="D2105" s="16" t="inlineStr">
        <is>
          <t>Functional</t>
        </is>
      </c>
      <c r="E2105" s="16" t="inlineStr">
        <is>
          <t>Match request body field definition - POST</t>
        </is>
      </c>
      <c r="F2105" s="16" t="inlineStr">
        <is>
          <t>Web build.</t>
        </is>
      </c>
      <c r="G2105" s="16" t="inlineStr">
        <is>
          <t>1. Configure scenario: Match request body field.
2. Define POST request matching one selector.
3. Define POST request matching another.</t>
        </is>
      </c>
      <c r="H2105" s="16" t="inlineStr">
        <is>
          <t>matching method=POST</t>
        </is>
      </c>
      <c r="I2105" s="16" t="inlineStr">
        <is>
          <t>Routes by body value. (Verified for POST.)</t>
        </is>
      </c>
      <c r="J2105" s="16" t="inlineStr"/>
      <c r="K2105" s="16" t="inlineStr">
        <is>
          <t>Not Run</t>
        </is>
      </c>
      <c r="L2105" s="16" t="inlineStr">
        <is>
          <t>Medium</t>
        </is>
      </c>
      <c r="M2105" s="16" t="inlineStr"/>
      <c r="N2105" s="16" t="inlineStr"/>
      <c r="O2105" s="16" t="inlineStr"/>
    </row>
    <row r="2106" ht="72" customHeight="1">
      <c r="A2106" s="16" t="inlineStr">
        <is>
          <t>TC-MR-0068</t>
        </is>
      </c>
      <c r="B2106" s="16" t="inlineStr">
        <is>
          <t>Mock Response Matrix</t>
        </is>
      </c>
      <c r="C2106" s="16" t="inlineStr">
        <is>
          <t>Body content selector (PUT)</t>
        </is>
      </c>
      <c r="D2106" s="16" t="inlineStr">
        <is>
          <t>Functional</t>
        </is>
      </c>
      <c r="E2106" s="16" t="inlineStr">
        <is>
          <t>Match request body field definition - PUT</t>
        </is>
      </c>
      <c r="F2106" s="16" t="inlineStr">
        <is>
          <t>Web build.</t>
        </is>
      </c>
      <c r="G2106" s="16" t="inlineStr">
        <is>
          <t>1. Configure scenario: Match request body field.
2. Define PUT request matching one selector.
3. Define PUT request matching another.</t>
        </is>
      </c>
      <c r="H2106" s="16" t="inlineStr">
        <is>
          <t>matching method=PUT</t>
        </is>
      </c>
      <c r="I2106" s="16" t="inlineStr">
        <is>
          <t>Routes by body value. (Verified for PUT.)</t>
        </is>
      </c>
      <c r="J2106" s="16" t="inlineStr"/>
      <c r="K2106" s="16" t="inlineStr">
        <is>
          <t>Not Run</t>
        </is>
      </c>
      <c r="L2106" s="16" t="inlineStr">
        <is>
          <t>Medium</t>
        </is>
      </c>
      <c r="M2106" s="16" t="inlineStr"/>
      <c r="N2106" s="16" t="inlineStr"/>
      <c r="O2106" s="16" t="inlineStr"/>
    </row>
    <row r="2107" ht="72" customHeight="1">
      <c r="A2107" s="16" t="inlineStr">
        <is>
          <t>TC-MR-0069</t>
        </is>
      </c>
      <c r="B2107" s="16" t="inlineStr">
        <is>
          <t>Mock Response Matrix</t>
        </is>
      </c>
      <c r="C2107" s="16" t="inlineStr">
        <is>
          <t>Body content selector (PATCH)</t>
        </is>
      </c>
      <c r="D2107" s="16" t="inlineStr">
        <is>
          <t>Functional</t>
        </is>
      </c>
      <c r="E2107" s="16" t="inlineStr">
        <is>
          <t>Match request body field definition - PATCH</t>
        </is>
      </c>
      <c r="F2107" s="16" t="inlineStr">
        <is>
          <t>Web build.</t>
        </is>
      </c>
      <c r="G2107" s="16" t="inlineStr">
        <is>
          <t>1. Configure scenario: Match request body field.
2. Define PATCH request matching one selector.
3. Define PATCH request matching another.</t>
        </is>
      </c>
      <c r="H2107" s="16" t="inlineStr">
        <is>
          <t>matching method=PATCH</t>
        </is>
      </c>
      <c r="I2107" s="16" t="inlineStr">
        <is>
          <t>Routes by body value. (Verified for PATCH.)</t>
        </is>
      </c>
      <c r="J2107" s="16" t="inlineStr"/>
      <c r="K2107" s="16" t="inlineStr">
        <is>
          <t>Not Run</t>
        </is>
      </c>
      <c r="L2107" s="16" t="inlineStr">
        <is>
          <t>Medium</t>
        </is>
      </c>
      <c r="M2107" s="16" t="inlineStr"/>
      <c r="N2107" s="16" t="inlineStr"/>
      <c r="O2107" s="16" t="inlineStr"/>
    </row>
    <row r="2108" ht="72" customHeight="1">
      <c r="A2108" s="16" t="inlineStr">
        <is>
          <t>TC-MR-0070</t>
        </is>
      </c>
      <c r="B2108" s="16" t="inlineStr">
        <is>
          <t>Mock Response Matrix</t>
        </is>
      </c>
      <c r="C2108" s="16" t="inlineStr">
        <is>
          <t>Body content selector (DELETE)</t>
        </is>
      </c>
      <c r="D2108" s="16" t="inlineStr">
        <is>
          <t>Functional</t>
        </is>
      </c>
      <c r="E2108" s="16" t="inlineStr">
        <is>
          <t>Match request body field definition - DELETE</t>
        </is>
      </c>
      <c r="F2108" s="16" t="inlineStr">
        <is>
          <t>Web build.</t>
        </is>
      </c>
      <c r="G2108" s="16" t="inlineStr">
        <is>
          <t>1. Configure scenario: Match request body field.
2. Define DELETE request matching one selector.
3. Define DELETE request matching another.</t>
        </is>
      </c>
      <c r="H2108" s="16" t="inlineStr">
        <is>
          <t>matching method=DELETE</t>
        </is>
      </c>
      <c r="I2108" s="16" t="inlineStr">
        <is>
          <t>Routes by body value. (Verified for DELETE.)</t>
        </is>
      </c>
      <c r="J2108" s="16" t="inlineStr"/>
      <c r="K2108" s="16" t="inlineStr">
        <is>
          <t>Not Run</t>
        </is>
      </c>
      <c r="L2108" s="16" t="inlineStr">
        <is>
          <t>Medium</t>
        </is>
      </c>
      <c r="M2108" s="16" t="inlineStr"/>
      <c r="N2108" s="16" t="inlineStr"/>
      <c r="O2108" s="16" t="inlineStr"/>
    </row>
    <row r="2109" ht="72" customHeight="1">
      <c r="A2109" s="16" t="inlineStr">
        <is>
          <t>TC-MR-0071</t>
        </is>
      </c>
      <c r="B2109" s="16" t="inlineStr">
        <is>
          <t>Mock Response Matrix</t>
        </is>
      </c>
      <c r="C2109" s="16" t="inlineStr">
        <is>
          <t>Selector priority order (GET)</t>
        </is>
      </c>
      <c r="D2109" s="16" t="inlineStr">
        <is>
          <t>Functional</t>
        </is>
      </c>
      <c r="E2109" s="16" t="inlineStr">
        <is>
          <t>Multiple selectors; specific wins definition - GET</t>
        </is>
      </c>
      <c r="F2109" s="16" t="inlineStr">
        <is>
          <t>Web build.</t>
        </is>
      </c>
      <c r="G2109" s="16" t="inlineStr">
        <is>
          <t>1. Configure scenario: Multiple selectors; specific wins.
2. Define GET request matching one selector.
3. Define GET request matching another.</t>
        </is>
      </c>
      <c r="H2109" s="16" t="inlineStr">
        <is>
          <t>matching method=GET</t>
        </is>
      </c>
      <c r="I2109" s="16" t="inlineStr">
        <is>
          <t>More specific selector picked. (Verified for GET.)</t>
        </is>
      </c>
      <c r="J2109" s="16" t="inlineStr"/>
      <c r="K2109" s="16" t="inlineStr">
        <is>
          <t>Not Run</t>
        </is>
      </c>
      <c r="L2109" s="16" t="inlineStr">
        <is>
          <t>Medium</t>
        </is>
      </c>
      <c r="M2109" s="16" t="inlineStr"/>
      <c r="N2109" s="16" t="inlineStr"/>
      <c r="O2109" s="16" t="inlineStr"/>
    </row>
    <row r="2110" ht="72" customHeight="1">
      <c r="A2110" s="16" t="inlineStr">
        <is>
          <t>TC-MR-0072</t>
        </is>
      </c>
      <c r="B2110" s="16" t="inlineStr">
        <is>
          <t>Mock Response Matrix</t>
        </is>
      </c>
      <c r="C2110" s="16" t="inlineStr">
        <is>
          <t>Selector priority order (POST)</t>
        </is>
      </c>
      <c r="D2110" s="16" t="inlineStr">
        <is>
          <t>Functional</t>
        </is>
      </c>
      <c r="E2110" s="16" t="inlineStr">
        <is>
          <t>Multiple selectors; specific wins definition - POST</t>
        </is>
      </c>
      <c r="F2110" s="16" t="inlineStr">
        <is>
          <t>Web build.</t>
        </is>
      </c>
      <c r="G2110" s="16" t="inlineStr">
        <is>
          <t>1. Configure scenario: Multiple selectors; specific wins.
2. Define POST request matching one selector.
3. Define POST request matching another.</t>
        </is>
      </c>
      <c r="H2110" s="16" t="inlineStr">
        <is>
          <t>matching method=POST</t>
        </is>
      </c>
      <c r="I2110" s="16" t="inlineStr">
        <is>
          <t>More specific selector picked. (Verified for POST.)</t>
        </is>
      </c>
      <c r="J2110" s="16" t="inlineStr"/>
      <c r="K2110" s="16" t="inlineStr">
        <is>
          <t>Not Run</t>
        </is>
      </c>
      <c r="L2110" s="16" t="inlineStr">
        <is>
          <t>Medium</t>
        </is>
      </c>
      <c r="M2110" s="16" t="inlineStr"/>
      <c r="N2110" s="16" t="inlineStr"/>
      <c r="O2110" s="16" t="inlineStr"/>
    </row>
    <row r="2111" ht="72" customHeight="1">
      <c r="A2111" s="16" t="inlineStr">
        <is>
          <t>TC-MR-0073</t>
        </is>
      </c>
      <c r="B2111" s="16" t="inlineStr">
        <is>
          <t>Mock Response Matrix</t>
        </is>
      </c>
      <c r="C2111" s="16" t="inlineStr">
        <is>
          <t>Selector priority order (PUT)</t>
        </is>
      </c>
      <c r="D2111" s="16" t="inlineStr">
        <is>
          <t>Functional</t>
        </is>
      </c>
      <c r="E2111" s="16" t="inlineStr">
        <is>
          <t>Multiple selectors; specific wins definition - PUT</t>
        </is>
      </c>
      <c r="F2111" s="16" t="inlineStr">
        <is>
          <t>Web build.</t>
        </is>
      </c>
      <c r="G2111" s="16" t="inlineStr">
        <is>
          <t>1. Configure scenario: Multiple selectors; specific wins.
2. Define PUT request matching one selector.
3. Define PUT request matching another.</t>
        </is>
      </c>
      <c r="H2111" s="16" t="inlineStr">
        <is>
          <t>matching method=PUT</t>
        </is>
      </c>
      <c r="I2111" s="16" t="inlineStr">
        <is>
          <t>More specific selector picked. (Verified for PUT.)</t>
        </is>
      </c>
      <c r="J2111" s="16" t="inlineStr"/>
      <c r="K2111" s="16" t="inlineStr">
        <is>
          <t>Not Run</t>
        </is>
      </c>
      <c r="L2111" s="16" t="inlineStr">
        <is>
          <t>Medium</t>
        </is>
      </c>
      <c r="M2111" s="16" t="inlineStr"/>
      <c r="N2111" s="16" t="inlineStr"/>
      <c r="O2111" s="16" t="inlineStr"/>
    </row>
    <row r="2112" ht="72" customHeight="1">
      <c r="A2112" s="16" t="inlineStr">
        <is>
          <t>TC-MR-0074</t>
        </is>
      </c>
      <c r="B2112" s="16" t="inlineStr">
        <is>
          <t>Mock Response Matrix</t>
        </is>
      </c>
      <c r="C2112" s="16" t="inlineStr">
        <is>
          <t>Selector priority order (PATCH)</t>
        </is>
      </c>
      <c r="D2112" s="16" t="inlineStr">
        <is>
          <t>Functional</t>
        </is>
      </c>
      <c r="E2112" s="16" t="inlineStr">
        <is>
          <t>Multiple selectors; specific wins definition - PATCH</t>
        </is>
      </c>
      <c r="F2112" s="16" t="inlineStr">
        <is>
          <t>Web build.</t>
        </is>
      </c>
      <c r="G2112" s="16" t="inlineStr">
        <is>
          <t>1. Configure scenario: Multiple selectors; specific wins.
2. Define PATCH request matching one selector.
3. Define PATCH request matching another.</t>
        </is>
      </c>
      <c r="H2112" s="16" t="inlineStr">
        <is>
          <t>matching method=PATCH</t>
        </is>
      </c>
      <c r="I2112" s="16" t="inlineStr">
        <is>
          <t>More specific selector picked. (Verified for PATCH.)</t>
        </is>
      </c>
      <c r="J2112" s="16" t="inlineStr"/>
      <c r="K2112" s="16" t="inlineStr">
        <is>
          <t>Not Run</t>
        </is>
      </c>
      <c r="L2112" s="16" t="inlineStr">
        <is>
          <t>Medium</t>
        </is>
      </c>
      <c r="M2112" s="16" t="inlineStr"/>
      <c r="N2112" s="16" t="inlineStr"/>
      <c r="O2112" s="16" t="inlineStr"/>
    </row>
    <row r="2113" ht="72" customHeight="1">
      <c r="A2113" s="16" t="inlineStr">
        <is>
          <t>TC-MR-0075</t>
        </is>
      </c>
      <c r="B2113" s="16" t="inlineStr">
        <is>
          <t>Mock Response Matrix</t>
        </is>
      </c>
      <c r="C2113" s="16" t="inlineStr">
        <is>
          <t>Selector priority order (DELETE)</t>
        </is>
      </c>
      <c r="D2113" s="16" t="inlineStr">
        <is>
          <t>Functional</t>
        </is>
      </c>
      <c r="E2113" s="16" t="inlineStr">
        <is>
          <t>Multiple selectors; specific wins definition - DELETE</t>
        </is>
      </c>
      <c r="F2113" s="16" t="inlineStr">
        <is>
          <t>Web build.</t>
        </is>
      </c>
      <c r="G2113" s="16" t="inlineStr">
        <is>
          <t>1. Configure scenario: Multiple selectors; specific wins.
2. Define DELETE request matching one selector.
3. Define DELETE request matching another.</t>
        </is>
      </c>
      <c r="H2113" s="16" t="inlineStr">
        <is>
          <t>matching method=DELETE</t>
        </is>
      </c>
      <c r="I2113" s="16" t="inlineStr">
        <is>
          <t>More specific selector picked. (Verified for DELETE.)</t>
        </is>
      </c>
      <c r="J2113" s="16" t="inlineStr"/>
      <c r="K2113" s="16" t="inlineStr">
        <is>
          <t>Not Run</t>
        </is>
      </c>
      <c r="L2113" s="16" t="inlineStr">
        <is>
          <t>Medium</t>
        </is>
      </c>
      <c r="M2113" s="16" t="inlineStr"/>
      <c r="N2113" s="16" t="inlineStr"/>
      <c r="O2113" s="16" t="inlineStr"/>
    </row>
    <row r="2114" ht="72" customHeight="1">
      <c r="A2114" s="16" t="inlineStr">
        <is>
          <t>TC-MR-0076</t>
        </is>
      </c>
      <c r="B2114" s="16" t="inlineStr">
        <is>
          <t>Mock Response Matrix</t>
        </is>
      </c>
      <c r="C2114" s="16" t="inlineStr">
        <is>
          <t>Wildcard fallback selector (GET)</t>
        </is>
      </c>
      <c r="D2114" s="16" t="inlineStr">
        <is>
          <t>Functional</t>
        </is>
      </c>
      <c r="E2114" s="16" t="inlineStr">
        <is>
          <t>Default response definition - GET</t>
        </is>
      </c>
      <c r="F2114" s="16" t="inlineStr">
        <is>
          <t>Web build.</t>
        </is>
      </c>
      <c r="G2114" s="16" t="inlineStr">
        <is>
          <t>1. Configure scenario: Default response.
2. Define GET request matching one selector.
3. Define GET request matching another.</t>
        </is>
      </c>
      <c r="H2114" s="16" t="inlineStr">
        <is>
          <t>matching method=GET</t>
        </is>
      </c>
      <c r="I2114" s="16" t="inlineStr">
        <is>
          <t>Used when no other match. (Verified for GET.)</t>
        </is>
      </c>
      <c r="J2114" s="16" t="inlineStr"/>
      <c r="K2114" s="16" t="inlineStr">
        <is>
          <t>Not Run</t>
        </is>
      </c>
      <c r="L2114" s="16" t="inlineStr">
        <is>
          <t>Medium</t>
        </is>
      </c>
      <c r="M2114" s="16" t="inlineStr"/>
      <c r="N2114" s="16" t="inlineStr"/>
      <c r="O2114" s="16" t="inlineStr"/>
    </row>
    <row r="2115" ht="72" customHeight="1">
      <c r="A2115" s="16" t="inlineStr">
        <is>
          <t>TC-MR-0077</t>
        </is>
      </c>
      <c r="B2115" s="16" t="inlineStr">
        <is>
          <t>Mock Response Matrix</t>
        </is>
      </c>
      <c r="C2115" s="16" t="inlineStr">
        <is>
          <t>Wildcard fallback selector (POST)</t>
        </is>
      </c>
      <c r="D2115" s="16" t="inlineStr">
        <is>
          <t>Functional</t>
        </is>
      </c>
      <c r="E2115" s="16" t="inlineStr">
        <is>
          <t>Default response definition - POST</t>
        </is>
      </c>
      <c r="F2115" s="16" t="inlineStr">
        <is>
          <t>Web build.</t>
        </is>
      </c>
      <c r="G2115" s="16" t="inlineStr">
        <is>
          <t>1. Configure scenario: Default response.
2. Define POST request matching one selector.
3. Define POST request matching another.</t>
        </is>
      </c>
      <c r="H2115" s="16" t="inlineStr">
        <is>
          <t>matching method=POST</t>
        </is>
      </c>
      <c r="I2115" s="16" t="inlineStr">
        <is>
          <t>Used when no other match. (Verified for POST.)</t>
        </is>
      </c>
      <c r="J2115" s="16" t="inlineStr"/>
      <c r="K2115" s="16" t="inlineStr">
        <is>
          <t>Not Run</t>
        </is>
      </c>
      <c r="L2115" s="16" t="inlineStr">
        <is>
          <t>Medium</t>
        </is>
      </c>
      <c r="M2115" s="16" t="inlineStr"/>
      <c r="N2115" s="16" t="inlineStr"/>
      <c r="O2115" s="16" t="inlineStr"/>
    </row>
    <row r="2116" ht="72" customHeight="1">
      <c r="A2116" s="16" t="inlineStr">
        <is>
          <t>TC-MR-0078</t>
        </is>
      </c>
      <c r="B2116" s="16" t="inlineStr">
        <is>
          <t>Mock Response Matrix</t>
        </is>
      </c>
      <c r="C2116" s="16" t="inlineStr">
        <is>
          <t>Wildcard fallback selector (PUT)</t>
        </is>
      </c>
      <c r="D2116" s="16" t="inlineStr">
        <is>
          <t>Functional</t>
        </is>
      </c>
      <c r="E2116" s="16" t="inlineStr">
        <is>
          <t>Default response definition - PUT</t>
        </is>
      </c>
      <c r="F2116" s="16" t="inlineStr">
        <is>
          <t>Web build.</t>
        </is>
      </c>
      <c r="G2116" s="16" t="inlineStr">
        <is>
          <t>1. Configure scenario: Default response.
2. Define PUT request matching one selector.
3. Define PUT request matching another.</t>
        </is>
      </c>
      <c r="H2116" s="16" t="inlineStr">
        <is>
          <t>matching method=PUT</t>
        </is>
      </c>
      <c r="I2116" s="16" t="inlineStr">
        <is>
          <t>Used when no other match. (Verified for PUT.)</t>
        </is>
      </c>
      <c r="J2116" s="16" t="inlineStr"/>
      <c r="K2116" s="16" t="inlineStr">
        <is>
          <t>Not Run</t>
        </is>
      </c>
      <c r="L2116" s="16" t="inlineStr">
        <is>
          <t>Medium</t>
        </is>
      </c>
      <c r="M2116" s="16" t="inlineStr"/>
      <c r="N2116" s="16" t="inlineStr"/>
      <c r="O2116" s="16" t="inlineStr"/>
    </row>
    <row r="2117" ht="72" customHeight="1">
      <c r="A2117" s="16" t="inlineStr">
        <is>
          <t>TC-MR-0079</t>
        </is>
      </c>
      <c r="B2117" s="16" t="inlineStr">
        <is>
          <t>Mock Response Matrix</t>
        </is>
      </c>
      <c r="C2117" s="16" t="inlineStr">
        <is>
          <t>Wildcard fallback selector (PATCH)</t>
        </is>
      </c>
      <c r="D2117" s="16" t="inlineStr">
        <is>
          <t>Functional</t>
        </is>
      </c>
      <c r="E2117" s="16" t="inlineStr">
        <is>
          <t>Default response definition - PATCH</t>
        </is>
      </c>
      <c r="F2117" s="16" t="inlineStr">
        <is>
          <t>Web build.</t>
        </is>
      </c>
      <c r="G2117" s="16" t="inlineStr">
        <is>
          <t>1. Configure scenario: Default response.
2. Define PATCH request matching one selector.
3. Define PATCH request matching another.</t>
        </is>
      </c>
      <c r="H2117" s="16" t="inlineStr">
        <is>
          <t>matching method=PATCH</t>
        </is>
      </c>
      <c r="I2117" s="16" t="inlineStr">
        <is>
          <t>Used when no other match. (Verified for PATCH.)</t>
        </is>
      </c>
      <c r="J2117" s="16" t="inlineStr"/>
      <c r="K2117" s="16" t="inlineStr">
        <is>
          <t>Not Run</t>
        </is>
      </c>
      <c r="L2117" s="16" t="inlineStr">
        <is>
          <t>Medium</t>
        </is>
      </c>
      <c r="M2117" s="16" t="inlineStr"/>
      <c r="N2117" s="16" t="inlineStr"/>
      <c r="O2117" s="16" t="inlineStr"/>
    </row>
    <row r="2118" ht="72" customHeight="1">
      <c r="A2118" s="16" t="inlineStr">
        <is>
          <t>TC-MR-0080</t>
        </is>
      </c>
      <c r="B2118" s="16" t="inlineStr">
        <is>
          <t>Mock Response Matrix</t>
        </is>
      </c>
      <c r="C2118" s="16" t="inlineStr">
        <is>
          <t>Wildcard fallback selector (DELETE)</t>
        </is>
      </c>
      <c r="D2118" s="16" t="inlineStr">
        <is>
          <t>Functional</t>
        </is>
      </c>
      <c r="E2118" s="16" t="inlineStr">
        <is>
          <t>Default response definition - DELETE</t>
        </is>
      </c>
      <c r="F2118" s="16" t="inlineStr">
        <is>
          <t>Web build.</t>
        </is>
      </c>
      <c r="G2118" s="16" t="inlineStr">
        <is>
          <t>1. Configure scenario: Default response.
2. Define DELETE request matching one selector.
3. Define DELETE request matching another.</t>
        </is>
      </c>
      <c r="H2118" s="16" t="inlineStr">
        <is>
          <t>matching method=DELETE</t>
        </is>
      </c>
      <c r="I2118" s="16" t="inlineStr">
        <is>
          <t>Used when no other match. (Verified for DELETE.)</t>
        </is>
      </c>
      <c r="J2118" s="16" t="inlineStr"/>
      <c r="K2118" s="16" t="inlineStr">
        <is>
          <t>Not Run</t>
        </is>
      </c>
      <c r="L2118" s="16" t="inlineStr">
        <is>
          <t>Medium</t>
        </is>
      </c>
      <c r="M2118" s="16" t="inlineStr"/>
      <c r="N2118" s="16" t="inlineStr"/>
      <c r="O2118" s="16" t="inlineStr"/>
    </row>
    <row r="2119" ht="72" customHeight="1">
      <c r="A2119" s="16" t="inlineStr">
        <is>
          <t>TC-CP-0115</t>
        </is>
      </c>
      <c r="B2119" s="16" t="inlineStr">
        <is>
          <t>Changes-to-Push View</t>
        </is>
      </c>
      <c r="C2119" s="16" t="inlineStr">
        <is>
          <t>Edit Flow</t>
        </is>
      </c>
      <c r="D2119" s="16" t="inlineStr">
        <is>
          <t>Functional</t>
        </is>
      </c>
      <c r="E2119" s="16" t="inlineStr">
        <is>
          <t>Edit -&gt; Changes-to-Push: Editor: rename request</t>
        </is>
      </c>
      <c r="F2119" s="16" t="inlineStr">
        <is>
          <t>Linked workspace; clean state.</t>
        </is>
      </c>
      <c r="G2119" s="16" t="inlineStr">
        <is>
          <t>1. Rename request 'Login' to 'SignIn'.
2. Open Workspace panel.</t>
        </is>
      </c>
      <c r="H2119" s="16" t="inlineStr">
        <is>
          <t>edit-to-push</t>
        </is>
      </c>
      <c r="I2119" s="16" t="inlineStr">
        <is>
          <t>Strip ~1 modified; modal lists 'SignIn' (label uses current name) with kind 'modified'.</t>
        </is>
      </c>
      <c r="J2119" s="16" t="inlineStr"/>
      <c r="K2119" s="16" t="inlineStr">
        <is>
          <t>Not Run</t>
        </is>
      </c>
      <c r="L2119" s="16" t="inlineStr">
        <is>
          <t>High</t>
        </is>
      </c>
      <c r="M2119" s="16" t="inlineStr"/>
      <c r="N2119" s="16" t="inlineStr"/>
      <c r="O2119" s="16" t="inlineStr"/>
    </row>
    <row r="2120" ht="72" customHeight="1">
      <c r="A2120" s="16" t="inlineStr">
        <is>
          <t>TC-CP-0116</t>
        </is>
      </c>
      <c r="B2120" s="16" t="inlineStr">
        <is>
          <t>Changes-to-Push View</t>
        </is>
      </c>
      <c r="C2120" s="16" t="inlineStr">
        <is>
          <t>Edit Flow</t>
        </is>
      </c>
      <c r="D2120" s="16" t="inlineStr">
        <is>
          <t>Functional</t>
        </is>
      </c>
      <c r="E2120" s="16" t="inlineStr">
        <is>
          <t>Edit -&gt; Changes-to-Push: Editor: change URL</t>
        </is>
      </c>
      <c r="F2120" s="16" t="inlineStr">
        <is>
          <t>Linked workspace; clean state.</t>
        </is>
      </c>
      <c r="G2120" s="16" t="inlineStr">
        <is>
          <t>1. Change URL.
2. Inspect strip.</t>
        </is>
      </c>
      <c r="H2120" s="16" t="inlineStr">
        <is>
          <t>edit-to-push</t>
        </is>
      </c>
      <c r="I2120" s="16" t="inlineStr">
        <is>
          <t>Strip +0/~1/-0; modal diff shows old vs new URL.</t>
        </is>
      </c>
      <c r="J2120" s="16" t="inlineStr"/>
      <c r="K2120" s="16" t="inlineStr">
        <is>
          <t>Not Run</t>
        </is>
      </c>
      <c r="L2120" s="16" t="inlineStr">
        <is>
          <t>High</t>
        </is>
      </c>
      <c r="M2120" s="16" t="inlineStr"/>
      <c r="N2120" s="16" t="inlineStr"/>
      <c r="O2120" s="16" t="inlineStr"/>
    </row>
    <row r="2121" ht="72" customHeight="1">
      <c r="A2121" s="16" t="inlineStr">
        <is>
          <t>TC-CP-0117</t>
        </is>
      </c>
      <c r="B2121" s="16" t="inlineStr">
        <is>
          <t>Changes-to-Push View</t>
        </is>
      </c>
      <c r="C2121" s="16" t="inlineStr">
        <is>
          <t>Edit Flow</t>
        </is>
      </c>
      <c r="D2121" s="16" t="inlineStr">
        <is>
          <t>Functional</t>
        </is>
      </c>
      <c r="E2121" s="16" t="inlineStr">
        <is>
          <t>Edit -&gt; Changes-to-Push: Editor: change method</t>
        </is>
      </c>
      <c r="F2121" s="16" t="inlineStr">
        <is>
          <t>Linked workspace; clean state.</t>
        </is>
      </c>
      <c r="G2121" s="16" t="inlineStr">
        <is>
          <t>1. GET -&gt; POST.
2. Strip.</t>
        </is>
      </c>
      <c r="H2121" s="16" t="inlineStr">
        <is>
          <t>edit-to-push</t>
        </is>
      </c>
      <c r="I2121" s="16" t="inlineStr">
        <is>
          <t>Strip ~1 modified; diff shows method change.</t>
        </is>
      </c>
      <c r="J2121" s="16" t="inlineStr"/>
      <c r="K2121" s="16" t="inlineStr">
        <is>
          <t>Not Run</t>
        </is>
      </c>
      <c r="L2121" s="16" t="inlineStr">
        <is>
          <t>Medium</t>
        </is>
      </c>
      <c r="M2121" s="16" t="inlineStr"/>
      <c r="N2121" s="16" t="inlineStr"/>
      <c r="O2121" s="16" t="inlineStr"/>
    </row>
    <row r="2122" ht="72" customHeight="1">
      <c r="A2122" s="16" t="inlineStr">
        <is>
          <t>TC-CP-0118</t>
        </is>
      </c>
      <c r="B2122" s="16" t="inlineStr">
        <is>
          <t>Changes-to-Push View</t>
        </is>
      </c>
      <c r="C2122" s="16" t="inlineStr">
        <is>
          <t>Edit Flow</t>
        </is>
      </c>
      <c r="D2122" s="16" t="inlineStr">
        <is>
          <t>Functional</t>
        </is>
      </c>
      <c r="E2122" s="16" t="inlineStr">
        <is>
          <t>Edit -&gt; Changes-to-Push: Editor: add header</t>
        </is>
      </c>
      <c r="F2122" s="16" t="inlineStr">
        <is>
          <t>Linked workspace; clean state.</t>
        </is>
      </c>
      <c r="G2122" s="16" t="inlineStr">
        <is>
          <t>1. Add header.
2. Strip.</t>
        </is>
      </c>
      <c r="H2122" s="16" t="inlineStr">
        <is>
          <t>edit-to-push</t>
        </is>
      </c>
      <c r="I2122" s="16" t="inlineStr">
        <is>
          <t>Strip ~1 modified; diff shows new header row.</t>
        </is>
      </c>
      <c r="J2122" s="16" t="inlineStr"/>
      <c r="K2122" s="16" t="inlineStr">
        <is>
          <t>Not Run</t>
        </is>
      </c>
      <c r="L2122" s="16" t="inlineStr">
        <is>
          <t>Medium</t>
        </is>
      </c>
      <c r="M2122" s="16" t="inlineStr"/>
      <c r="N2122" s="16" t="inlineStr"/>
      <c r="O2122" s="16" t="inlineStr"/>
    </row>
    <row r="2123" ht="72" customHeight="1">
      <c r="A2123" s="16" t="inlineStr">
        <is>
          <t>TC-CP-0119</t>
        </is>
      </c>
      <c r="B2123" s="16" t="inlineStr">
        <is>
          <t>Changes-to-Push View</t>
        </is>
      </c>
      <c r="C2123" s="16" t="inlineStr">
        <is>
          <t>Edit Flow</t>
        </is>
      </c>
      <c r="D2123" s="16" t="inlineStr">
        <is>
          <t>Functional</t>
        </is>
      </c>
      <c r="E2123" s="16" t="inlineStr">
        <is>
          <t>Edit -&gt; Changes-to-Push: Editor: change body</t>
        </is>
      </c>
      <c r="F2123" s="16" t="inlineStr">
        <is>
          <t>Linked workspace; clean state.</t>
        </is>
      </c>
      <c r="G2123" s="16" t="inlineStr">
        <is>
          <t>1. Edit body.
2. Strip.</t>
        </is>
      </c>
      <c r="H2123" s="16" t="inlineStr">
        <is>
          <t>edit-to-push</t>
        </is>
      </c>
      <c r="I2123" s="16" t="inlineStr">
        <is>
          <t>Strip ~1; diff shows body change.</t>
        </is>
      </c>
      <c r="J2123" s="16" t="inlineStr"/>
      <c r="K2123" s="16" t="inlineStr">
        <is>
          <t>Not Run</t>
        </is>
      </c>
      <c r="L2123" s="16" t="inlineStr">
        <is>
          <t>Medium</t>
        </is>
      </c>
      <c r="M2123" s="16" t="inlineStr"/>
      <c r="N2123" s="16" t="inlineStr"/>
      <c r="O2123" s="16" t="inlineStr"/>
    </row>
    <row r="2124" ht="72" customHeight="1">
      <c r="A2124" s="16" t="inlineStr">
        <is>
          <t>TC-CP-0120</t>
        </is>
      </c>
      <c r="B2124" s="16" t="inlineStr">
        <is>
          <t>Changes-to-Push View</t>
        </is>
      </c>
      <c r="C2124" s="16" t="inlineStr">
        <is>
          <t>Edit Flow</t>
        </is>
      </c>
      <c r="D2124" s="16" t="inlineStr">
        <is>
          <t>Functional</t>
        </is>
      </c>
      <c r="E2124" s="16" t="inlineStr">
        <is>
          <t>Edit -&gt; Changes-to-Push: Editor: change auth type</t>
        </is>
      </c>
      <c r="F2124" s="16" t="inlineStr">
        <is>
          <t>Linked workspace; clean state.</t>
        </is>
      </c>
      <c r="G2124" s="16" t="inlineStr">
        <is>
          <t>1. Change auth.
2. Strip.</t>
        </is>
      </c>
      <c r="H2124" s="16" t="inlineStr">
        <is>
          <t>edit-to-push</t>
        </is>
      </c>
      <c r="I2124" s="16" t="inlineStr">
        <is>
          <t>Strip ~1; diff shows auth change.</t>
        </is>
      </c>
      <c r="J2124" s="16" t="inlineStr"/>
      <c r="K2124" s="16" t="inlineStr">
        <is>
          <t>Not Run</t>
        </is>
      </c>
      <c r="L2124" s="16" t="inlineStr">
        <is>
          <t>Medium</t>
        </is>
      </c>
      <c r="M2124" s="16" t="inlineStr"/>
      <c r="N2124" s="16" t="inlineStr"/>
      <c r="O2124" s="16" t="inlineStr"/>
    </row>
    <row r="2125" ht="72" customHeight="1">
      <c r="A2125" s="16" t="inlineStr">
        <is>
          <t>TC-CP-0121</t>
        </is>
      </c>
      <c r="B2125" s="16" t="inlineStr">
        <is>
          <t>Changes-to-Push View</t>
        </is>
      </c>
      <c r="C2125" s="16" t="inlineStr">
        <is>
          <t>Edit Flow</t>
        </is>
      </c>
      <c r="D2125" s="16" t="inlineStr">
        <is>
          <t>Functional</t>
        </is>
      </c>
      <c r="E2125" s="16" t="inlineStr">
        <is>
          <t>Edit -&gt; Changes-to-Push: Editor: add pre-request script</t>
        </is>
      </c>
      <c r="F2125" s="16" t="inlineStr">
        <is>
          <t>Linked workspace; clean state.</t>
        </is>
      </c>
      <c r="G2125" s="16" t="inlineStr">
        <is>
          <t>1. Add script.
2. Strip.</t>
        </is>
      </c>
      <c r="H2125" s="16" t="inlineStr">
        <is>
          <t>edit-to-push</t>
        </is>
      </c>
      <c r="I2125" s="16" t="inlineStr">
        <is>
          <t>Strip ~1; diff shows script.</t>
        </is>
      </c>
      <c r="J2125" s="16" t="inlineStr"/>
      <c r="K2125" s="16" t="inlineStr">
        <is>
          <t>Not Run</t>
        </is>
      </c>
      <c r="L2125" s="16" t="inlineStr">
        <is>
          <t>Medium</t>
        </is>
      </c>
      <c r="M2125" s="16" t="inlineStr"/>
      <c r="N2125" s="16" t="inlineStr"/>
      <c r="O2125" s="16" t="inlineStr"/>
    </row>
    <row r="2126" ht="72" customHeight="1">
      <c r="A2126" s="16" t="inlineStr">
        <is>
          <t>TC-CP-0122</t>
        </is>
      </c>
      <c r="B2126" s="16" t="inlineStr">
        <is>
          <t>Changes-to-Push View</t>
        </is>
      </c>
      <c r="C2126" s="16" t="inlineStr">
        <is>
          <t>Edit Flow</t>
        </is>
      </c>
      <c r="D2126" s="16" t="inlineStr">
        <is>
          <t>Functional</t>
        </is>
      </c>
      <c r="E2126" s="16" t="inlineStr">
        <is>
          <t>Edit -&gt; Changes-to-Push: Editor: change settings (timeout)</t>
        </is>
      </c>
      <c r="F2126" s="16" t="inlineStr">
        <is>
          <t>Linked workspace; clean state.</t>
        </is>
      </c>
      <c r="G2126" s="16" t="inlineStr">
        <is>
          <t>1. Change timeout.
2. Strip.</t>
        </is>
      </c>
      <c r="H2126" s="16" t="inlineStr">
        <is>
          <t>edit-to-push</t>
        </is>
      </c>
      <c r="I2126" s="16" t="inlineStr">
        <is>
          <t>Strip ~1; diff shows setting.</t>
        </is>
      </c>
      <c r="J2126" s="16" t="inlineStr"/>
      <c r="K2126" s="16" t="inlineStr">
        <is>
          <t>Not Run</t>
        </is>
      </c>
      <c r="L2126" s="16" t="inlineStr">
        <is>
          <t>Low</t>
        </is>
      </c>
      <c r="M2126" s="16" t="inlineStr"/>
      <c r="N2126" s="16" t="inlineStr"/>
      <c r="O2126" s="16" t="inlineStr"/>
    </row>
    <row r="2127" ht="72" customHeight="1">
      <c r="A2127" s="16" t="inlineStr">
        <is>
          <t>TC-CP-0123</t>
        </is>
      </c>
      <c r="B2127" s="16" t="inlineStr">
        <is>
          <t>Changes-to-Push View</t>
        </is>
      </c>
      <c r="C2127" s="16" t="inlineStr">
        <is>
          <t>Edit Flow</t>
        </is>
      </c>
      <c r="D2127" s="16" t="inlineStr">
        <is>
          <t>Functional</t>
        </is>
      </c>
      <c r="E2127" s="16" t="inlineStr">
        <is>
          <t>Edit -&gt; Changes-to-Push: Env: create new env</t>
        </is>
      </c>
      <c r="F2127" s="16" t="inlineStr">
        <is>
          <t>Linked workspace; clean state.</t>
        </is>
      </c>
      <c r="G2127" s="16" t="inlineStr">
        <is>
          <t>1. New env Staging.
2. Strip.</t>
        </is>
      </c>
      <c r="H2127" s="16" t="inlineStr">
        <is>
          <t>edit-to-push</t>
        </is>
      </c>
      <c r="I2127" s="16" t="inlineStr">
        <is>
          <t>Strip +1; modal Added env 'Staging'.</t>
        </is>
      </c>
      <c r="J2127" s="16" t="inlineStr"/>
      <c r="K2127" s="16" t="inlineStr">
        <is>
          <t>Not Run</t>
        </is>
      </c>
      <c r="L2127" s="16" t="inlineStr">
        <is>
          <t>High</t>
        </is>
      </c>
      <c r="M2127" s="16" t="inlineStr"/>
      <c r="N2127" s="16" t="inlineStr"/>
      <c r="O2127" s="16" t="inlineStr"/>
    </row>
    <row r="2128" ht="72" customHeight="1">
      <c r="A2128" s="16" t="inlineStr">
        <is>
          <t>TC-CP-0124</t>
        </is>
      </c>
      <c r="B2128" s="16" t="inlineStr">
        <is>
          <t>Changes-to-Push View</t>
        </is>
      </c>
      <c r="C2128" s="16" t="inlineStr">
        <is>
          <t>Edit Flow</t>
        </is>
      </c>
      <c r="D2128" s="16" t="inlineStr">
        <is>
          <t>Functional</t>
        </is>
      </c>
      <c r="E2128" s="16" t="inlineStr">
        <is>
          <t>Edit -&gt; Changes-to-Push: Env: rename env</t>
        </is>
      </c>
      <c r="F2128" s="16" t="inlineStr">
        <is>
          <t>Linked workspace; clean state.</t>
        </is>
      </c>
      <c r="G2128" s="16" t="inlineStr">
        <is>
          <t>1. Dev -&gt; Development.
2. Strip.</t>
        </is>
      </c>
      <c r="H2128" s="16" t="inlineStr">
        <is>
          <t>edit-to-push</t>
        </is>
      </c>
      <c r="I2128" s="16" t="inlineStr">
        <is>
          <t>Strip shows env rename (added new + removed old, or modified — per impl).</t>
        </is>
      </c>
      <c r="J2128" s="16" t="inlineStr"/>
      <c r="K2128" s="16" t="inlineStr">
        <is>
          <t>Not Run</t>
        </is>
      </c>
      <c r="L2128" s="16" t="inlineStr">
        <is>
          <t>Medium</t>
        </is>
      </c>
      <c r="M2128" s="16" t="inlineStr"/>
      <c r="N2128" s="16" t="inlineStr"/>
      <c r="O2128" s="16" t="inlineStr"/>
    </row>
    <row r="2129" ht="72" customHeight="1">
      <c r="A2129" s="16" t="inlineStr">
        <is>
          <t>TC-CP-0125</t>
        </is>
      </c>
      <c r="B2129" s="16" t="inlineStr">
        <is>
          <t>Changes-to-Push View</t>
        </is>
      </c>
      <c r="C2129" s="16" t="inlineStr">
        <is>
          <t>Edit Flow</t>
        </is>
      </c>
      <c r="D2129" s="16" t="inlineStr">
        <is>
          <t>Functional</t>
        </is>
      </c>
      <c r="E2129" s="16" t="inlineStr">
        <is>
          <t>Edit -&gt; Changes-to-Push: Env: delete env</t>
        </is>
      </c>
      <c r="F2129" s="16" t="inlineStr">
        <is>
          <t>Linked workspace; clean state.</t>
        </is>
      </c>
      <c r="G2129" s="16" t="inlineStr">
        <is>
          <t>1. Delete env.
2. Strip.</t>
        </is>
      </c>
      <c r="H2129" s="16" t="inlineStr">
        <is>
          <t>edit-to-push</t>
        </is>
      </c>
      <c r="I2129" s="16" t="inlineStr">
        <is>
          <t>Strip -1.</t>
        </is>
      </c>
      <c r="J2129" s="16" t="inlineStr"/>
      <c r="K2129" s="16" t="inlineStr">
        <is>
          <t>Not Run</t>
        </is>
      </c>
      <c r="L2129" s="16" t="inlineStr">
        <is>
          <t>Medium</t>
        </is>
      </c>
      <c r="M2129" s="16" t="inlineStr"/>
      <c r="N2129" s="16" t="inlineStr"/>
      <c r="O2129" s="16" t="inlineStr"/>
    </row>
    <row r="2130" ht="72" customHeight="1">
      <c r="A2130" s="16" t="inlineStr">
        <is>
          <t>TC-CP-0126</t>
        </is>
      </c>
      <c r="B2130" s="16" t="inlineStr">
        <is>
          <t>Changes-to-Push View</t>
        </is>
      </c>
      <c r="C2130" s="16" t="inlineStr">
        <is>
          <t>Edit Flow</t>
        </is>
      </c>
      <c r="D2130" s="16" t="inlineStr">
        <is>
          <t>Functional</t>
        </is>
      </c>
      <c r="E2130" s="16" t="inlineStr">
        <is>
          <t>Edit -&gt; Changes-to-Push: Env: add var</t>
        </is>
      </c>
      <c r="F2130" s="16" t="inlineStr">
        <is>
          <t>Linked workspace; clean state.</t>
        </is>
      </c>
      <c r="G2130" s="16" t="inlineStr">
        <is>
          <t>1. Add var.
2. Strip.</t>
        </is>
      </c>
      <c r="H2130" s="16" t="inlineStr">
        <is>
          <t>edit-to-push</t>
        </is>
      </c>
      <c r="I2130" s="16" t="inlineStr">
        <is>
          <t>Strip ~1 (env-level); diff shows var added.</t>
        </is>
      </c>
      <c r="J2130" s="16" t="inlineStr"/>
      <c r="K2130" s="16" t="inlineStr">
        <is>
          <t>Not Run</t>
        </is>
      </c>
      <c r="L2130" s="16" t="inlineStr">
        <is>
          <t>High</t>
        </is>
      </c>
      <c r="M2130" s="16" t="inlineStr"/>
      <c r="N2130" s="16" t="inlineStr"/>
      <c r="O2130" s="16" t="inlineStr"/>
    </row>
    <row r="2131" ht="72" customHeight="1">
      <c r="A2131" s="16" t="inlineStr">
        <is>
          <t>TC-CP-0127</t>
        </is>
      </c>
      <c r="B2131" s="16" t="inlineStr">
        <is>
          <t>Changes-to-Push View</t>
        </is>
      </c>
      <c r="C2131" s="16" t="inlineStr">
        <is>
          <t>Edit Flow</t>
        </is>
      </c>
      <c r="D2131" s="16" t="inlineStr">
        <is>
          <t>Functional</t>
        </is>
      </c>
      <c r="E2131" s="16" t="inlineStr">
        <is>
          <t>Edit -&gt; Changes-to-Push: Env: change var value</t>
        </is>
      </c>
      <c r="F2131" s="16" t="inlineStr">
        <is>
          <t>Linked workspace; clean state.</t>
        </is>
      </c>
      <c r="G2131" s="16" t="inlineStr">
        <is>
          <t>1. Change var value.
2. Strip.</t>
        </is>
      </c>
      <c r="H2131" s="16" t="inlineStr">
        <is>
          <t>edit-to-push</t>
        </is>
      </c>
      <c r="I2131" s="16" t="inlineStr">
        <is>
          <t>Strip ~1; diff shows value change.</t>
        </is>
      </c>
      <c r="J2131" s="16" t="inlineStr"/>
      <c r="K2131" s="16" t="inlineStr">
        <is>
          <t>Not Run</t>
        </is>
      </c>
      <c r="L2131" s="16" t="inlineStr">
        <is>
          <t>High</t>
        </is>
      </c>
      <c r="M2131" s="16" t="inlineStr"/>
      <c r="N2131" s="16" t="inlineStr"/>
      <c r="O2131" s="16" t="inlineStr"/>
    </row>
    <row r="2132" ht="72" customHeight="1">
      <c r="A2132" s="16" t="inlineStr">
        <is>
          <t>TC-CP-0128</t>
        </is>
      </c>
      <c r="B2132" s="16" t="inlineStr">
        <is>
          <t>Changes-to-Push View</t>
        </is>
      </c>
      <c r="C2132" s="16" t="inlineStr">
        <is>
          <t>Edit Flow</t>
        </is>
      </c>
      <c r="D2132" s="16" t="inlineStr">
        <is>
          <t>Functional</t>
        </is>
      </c>
      <c r="E2132" s="16" t="inlineStr">
        <is>
          <t>Edit -&gt; Changes-to-Push: Env: change secret var value</t>
        </is>
      </c>
      <c r="F2132" s="16" t="inlineStr">
        <is>
          <t>Linked workspace; clean state.</t>
        </is>
      </c>
      <c r="G2132" s="16" t="inlineStr">
        <is>
          <t>1. Change secret value.
2. Strip.</t>
        </is>
      </c>
      <c r="H2132" s="16" t="inlineStr">
        <is>
          <t>edit-to-push</t>
        </is>
      </c>
      <c r="I2132" s="16" t="inlineStr">
        <is>
          <t>Strip ~1; diff shows '&lt;secret changed&gt;' (never plaintext).</t>
        </is>
      </c>
      <c r="J2132" s="16" t="inlineStr"/>
      <c r="K2132" s="16" t="inlineStr">
        <is>
          <t>Not Run</t>
        </is>
      </c>
      <c r="L2132" s="16" t="inlineStr">
        <is>
          <t>High</t>
        </is>
      </c>
      <c r="M2132" s="16" t="inlineStr"/>
      <c r="N2132" s="16" t="inlineStr"/>
      <c r="O2132" s="16" t="inlineStr"/>
    </row>
    <row r="2133" ht="72" customHeight="1">
      <c r="A2133" s="16" t="inlineStr">
        <is>
          <t>TC-CP-0129</t>
        </is>
      </c>
      <c r="B2133" s="16" t="inlineStr">
        <is>
          <t>Changes-to-Push View</t>
        </is>
      </c>
      <c r="C2133" s="16" t="inlineStr">
        <is>
          <t>Edit Flow</t>
        </is>
      </c>
      <c r="D2133" s="16" t="inlineStr">
        <is>
          <t>Functional</t>
        </is>
      </c>
      <c r="E2133" s="16" t="inlineStr">
        <is>
          <t>Edit -&gt; Changes-to-Push: Env: toggle secret flag</t>
        </is>
      </c>
      <c r="F2133" s="16" t="inlineStr">
        <is>
          <t>Linked workspace; clean state.</t>
        </is>
      </c>
      <c r="G2133" s="16" t="inlineStr">
        <is>
          <t>1. Flip flag.
2. Strip.</t>
        </is>
      </c>
      <c r="H2133" s="16" t="inlineStr">
        <is>
          <t>edit-to-push</t>
        </is>
      </c>
      <c r="I2133" s="16" t="inlineStr">
        <is>
          <t>Strip ~1; diff records flag change.</t>
        </is>
      </c>
      <c r="J2133" s="16" t="inlineStr"/>
      <c r="K2133" s="16" t="inlineStr">
        <is>
          <t>Not Run</t>
        </is>
      </c>
      <c r="L2133" s="16" t="inlineStr">
        <is>
          <t>Medium</t>
        </is>
      </c>
      <c r="M2133" s="16" t="inlineStr"/>
      <c r="N2133" s="16" t="inlineStr"/>
      <c r="O2133" s="16" t="inlineStr"/>
    </row>
    <row r="2134" ht="72" customHeight="1">
      <c r="A2134" s="16" t="inlineStr">
        <is>
          <t>TC-CP-0130</t>
        </is>
      </c>
      <c r="B2134" s="16" t="inlineStr">
        <is>
          <t>Changes-to-Push View</t>
        </is>
      </c>
      <c r="C2134" s="16" t="inlineStr">
        <is>
          <t>Edit Flow</t>
        </is>
      </c>
      <c r="D2134" s="16" t="inlineStr">
        <is>
          <t>Functional</t>
        </is>
      </c>
      <c r="E2134" s="16" t="inlineStr">
        <is>
          <t>Edit -&gt; Changes-to-Push: Env: change active env</t>
        </is>
      </c>
      <c r="F2134" s="16" t="inlineStr">
        <is>
          <t>Linked workspace; clean state.</t>
        </is>
      </c>
      <c r="G2134" s="16" t="inlineStr">
        <is>
          <t>1. Switch active.
2. Strip.</t>
        </is>
      </c>
      <c r="H2134" s="16" t="inlineStr">
        <is>
          <t>edit-to-push</t>
        </is>
      </c>
      <c r="I2134" s="16" t="inlineStr">
        <is>
          <t>Strip ~1 'Active environment'.</t>
        </is>
      </c>
      <c r="J2134" s="16" t="inlineStr"/>
      <c r="K2134" s="16" t="inlineStr">
        <is>
          <t>Not Run</t>
        </is>
      </c>
      <c r="L2134" s="16" t="inlineStr">
        <is>
          <t>Medium</t>
        </is>
      </c>
      <c r="M2134" s="16" t="inlineStr"/>
      <c r="N2134" s="16" t="inlineStr"/>
      <c r="O2134" s="16" t="inlineStr"/>
    </row>
    <row r="2135" ht="72" customHeight="1">
      <c r="A2135" s="16" t="inlineStr">
        <is>
          <t>TC-CP-0131</t>
        </is>
      </c>
      <c r="B2135" s="16" t="inlineStr">
        <is>
          <t>Changes-to-Push View</t>
        </is>
      </c>
      <c r="C2135" s="16" t="inlineStr">
        <is>
          <t>Edit Flow</t>
        </is>
      </c>
      <c r="D2135" s="16" t="inlineStr">
        <is>
          <t>Functional</t>
        </is>
      </c>
      <c r="E2135" s="16" t="inlineStr">
        <is>
          <t>Edit -&gt; Changes-to-Push: Env: reorder priority</t>
        </is>
      </c>
      <c r="F2135" s="16" t="inlineStr">
        <is>
          <t>Linked workspace; clean state.</t>
        </is>
      </c>
      <c r="G2135" s="16" t="inlineStr">
        <is>
          <t>1. Drag reorder.
2. Strip.</t>
        </is>
      </c>
      <c r="H2135" s="16" t="inlineStr">
        <is>
          <t>edit-to-push</t>
        </is>
      </c>
      <c r="I2135" s="16" t="inlineStr">
        <is>
          <t>Strip ~1 'Environment priority'.</t>
        </is>
      </c>
      <c r="J2135" s="16" t="inlineStr"/>
      <c r="K2135" s="16" t="inlineStr">
        <is>
          <t>Not Run</t>
        </is>
      </c>
      <c r="L2135" s="16" t="inlineStr">
        <is>
          <t>Medium</t>
        </is>
      </c>
      <c r="M2135" s="16" t="inlineStr"/>
      <c r="N2135" s="16" t="inlineStr"/>
      <c r="O2135" s="16" t="inlineStr"/>
    </row>
    <row r="2136" ht="72" customHeight="1">
      <c r="A2136" s="16" t="inlineStr">
        <is>
          <t>TC-CP-0132</t>
        </is>
      </c>
      <c r="B2136" s="16" t="inlineStr">
        <is>
          <t>Changes-to-Push View</t>
        </is>
      </c>
      <c r="C2136" s="16" t="inlineStr">
        <is>
          <t>Edit Flow</t>
        </is>
      </c>
      <c r="D2136" s="16" t="inlineStr">
        <is>
          <t>Functional</t>
        </is>
      </c>
      <c r="E2136" s="16" t="inlineStr">
        <is>
          <t>Edit -&gt; Changes-to-Push: Plan: create plan</t>
        </is>
      </c>
      <c r="F2136" s="16" t="inlineStr">
        <is>
          <t>Linked workspace; clean state.</t>
        </is>
      </c>
      <c r="G2136" s="16" t="inlineStr">
        <is>
          <t>1. New plan.
2. Strip.</t>
        </is>
      </c>
      <c r="H2136" s="16" t="inlineStr">
        <is>
          <t>edit-to-push</t>
        </is>
      </c>
      <c r="I2136" s="16" t="inlineStr">
        <is>
          <t>Strip +1 plan.</t>
        </is>
      </c>
      <c r="J2136" s="16" t="inlineStr"/>
      <c r="K2136" s="16" t="inlineStr">
        <is>
          <t>Not Run</t>
        </is>
      </c>
      <c r="L2136" s="16" t="inlineStr">
        <is>
          <t>High</t>
        </is>
      </c>
      <c r="M2136" s="16" t="inlineStr"/>
      <c r="N2136" s="16" t="inlineStr"/>
      <c r="O2136" s="16" t="inlineStr"/>
    </row>
    <row r="2137" ht="72" customHeight="1">
      <c r="A2137" s="16" t="inlineStr">
        <is>
          <t>TC-CP-0133</t>
        </is>
      </c>
      <c r="B2137" s="16" t="inlineStr">
        <is>
          <t>Changes-to-Push View</t>
        </is>
      </c>
      <c r="C2137" s="16" t="inlineStr">
        <is>
          <t>Edit Flow</t>
        </is>
      </c>
      <c r="D2137" s="16" t="inlineStr">
        <is>
          <t>Functional</t>
        </is>
      </c>
      <c r="E2137" s="16" t="inlineStr">
        <is>
          <t>Edit -&gt; Changes-to-Push: Plan: add step</t>
        </is>
      </c>
      <c r="F2137" s="16" t="inlineStr">
        <is>
          <t>Linked workspace; clean state.</t>
        </is>
      </c>
      <c r="G2137" s="16" t="inlineStr">
        <is>
          <t>1. Add step.
2. Strip.</t>
        </is>
      </c>
      <c r="H2137" s="16" t="inlineStr">
        <is>
          <t>edit-to-push</t>
        </is>
      </c>
      <c r="I2137" s="16" t="inlineStr">
        <is>
          <t>Strip ~1; diff shows steps array change.</t>
        </is>
      </c>
      <c r="J2137" s="16" t="inlineStr"/>
      <c r="K2137" s="16" t="inlineStr">
        <is>
          <t>Not Run</t>
        </is>
      </c>
      <c r="L2137" s="16" t="inlineStr">
        <is>
          <t>High</t>
        </is>
      </c>
      <c r="M2137" s="16" t="inlineStr"/>
      <c r="N2137" s="16" t="inlineStr"/>
      <c r="O2137" s="16" t="inlineStr"/>
    </row>
    <row r="2138" ht="72" customHeight="1">
      <c r="A2138" s="16" t="inlineStr">
        <is>
          <t>TC-CP-0134</t>
        </is>
      </c>
      <c r="B2138" s="16" t="inlineStr">
        <is>
          <t>Changes-to-Push View</t>
        </is>
      </c>
      <c r="C2138" s="16" t="inlineStr">
        <is>
          <t>Edit Flow</t>
        </is>
      </c>
      <c r="D2138" s="16" t="inlineStr">
        <is>
          <t>Functional</t>
        </is>
      </c>
      <c r="E2138" s="16" t="inlineStr">
        <is>
          <t>Edit -&gt; Changes-to-Push: Plan: reorder steps</t>
        </is>
      </c>
      <c r="F2138" s="16" t="inlineStr">
        <is>
          <t>Linked workspace; clean state.</t>
        </is>
      </c>
      <c r="G2138" s="16" t="inlineStr">
        <is>
          <t>1. Drag step.
2. Strip.</t>
        </is>
      </c>
      <c r="H2138" s="16" t="inlineStr">
        <is>
          <t>edit-to-push</t>
        </is>
      </c>
      <c r="I2138" s="16" t="inlineStr">
        <is>
          <t>Strip ~1.</t>
        </is>
      </c>
      <c r="J2138" s="16" t="inlineStr"/>
      <c r="K2138" s="16" t="inlineStr">
        <is>
          <t>Not Run</t>
        </is>
      </c>
      <c r="L2138" s="16" t="inlineStr">
        <is>
          <t>Medium</t>
        </is>
      </c>
      <c r="M2138" s="16" t="inlineStr"/>
      <c r="N2138" s="16" t="inlineStr"/>
      <c r="O2138" s="16" t="inlineStr"/>
    </row>
    <row r="2139" ht="72" customHeight="1">
      <c r="A2139" s="16" t="inlineStr">
        <is>
          <t>TC-CP-0135</t>
        </is>
      </c>
      <c r="B2139" s="16" t="inlineStr">
        <is>
          <t>Changes-to-Push View</t>
        </is>
      </c>
      <c r="C2139" s="16" t="inlineStr">
        <is>
          <t>Edit Flow</t>
        </is>
      </c>
      <c r="D2139" s="16" t="inlineStr">
        <is>
          <t>Functional</t>
        </is>
      </c>
      <c r="E2139" s="16" t="inlineStr">
        <is>
          <t>Edit -&gt; Changes-to-Push: Plan: disable step</t>
        </is>
      </c>
      <c r="F2139" s="16" t="inlineStr">
        <is>
          <t>Linked workspace; clean state.</t>
        </is>
      </c>
      <c r="G2139" s="16" t="inlineStr">
        <is>
          <t>1. Disable step.
2. Strip.</t>
        </is>
      </c>
      <c r="H2139" s="16" t="inlineStr">
        <is>
          <t>edit-to-push</t>
        </is>
      </c>
      <c r="I2139" s="16" t="inlineStr">
        <is>
          <t>Strip ~1.</t>
        </is>
      </c>
      <c r="J2139" s="16" t="inlineStr"/>
      <c r="K2139" s="16" t="inlineStr">
        <is>
          <t>Not Run</t>
        </is>
      </c>
      <c r="L2139" s="16" t="inlineStr">
        <is>
          <t>Medium</t>
        </is>
      </c>
      <c r="M2139" s="16" t="inlineStr"/>
      <c r="N2139" s="16" t="inlineStr"/>
      <c r="O2139" s="16" t="inlineStr"/>
    </row>
    <row r="2140" ht="72" customHeight="1">
      <c r="A2140" s="16" t="inlineStr">
        <is>
          <t>TC-CP-0136</t>
        </is>
      </c>
      <c r="B2140" s="16" t="inlineStr">
        <is>
          <t>Changes-to-Push View</t>
        </is>
      </c>
      <c r="C2140" s="16" t="inlineStr">
        <is>
          <t>Edit Flow</t>
        </is>
      </c>
      <c r="D2140" s="16" t="inlineStr">
        <is>
          <t>Functional</t>
        </is>
      </c>
      <c r="E2140" s="16" t="inlineStr">
        <is>
          <t>Edit -&gt; Changes-to-Push: Plan: delete plan</t>
        </is>
      </c>
      <c r="F2140" s="16" t="inlineStr">
        <is>
          <t>Linked workspace; clean state.</t>
        </is>
      </c>
      <c r="G2140" s="16" t="inlineStr">
        <is>
          <t>1. Delete.
2. Strip.</t>
        </is>
      </c>
      <c r="H2140" s="16" t="inlineStr">
        <is>
          <t>edit-to-push</t>
        </is>
      </c>
      <c r="I2140" s="16" t="inlineStr">
        <is>
          <t>Strip -1.</t>
        </is>
      </c>
      <c r="J2140" s="16" t="inlineStr"/>
      <c r="K2140" s="16" t="inlineStr">
        <is>
          <t>Not Run</t>
        </is>
      </c>
      <c r="L2140" s="16" t="inlineStr">
        <is>
          <t>Medium</t>
        </is>
      </c>
      <c r="M2140" s="16" t="inlineStr"/>
      <c r="N2140" s="16" t="inlineStr"/>
      <c r="O2140" s="16" t="inlineStr"/>
    </row>
    <row r="2141" ht="72" customHeight="1">
      <c r="A2141" s="16" t="inlineStr">
        <is>
          <t>TC-CP-0137</t>
        </is>
      </c>
      <c r="B2141" s="16" t="inlineStr">
        <is>
          <t>Changes-to-Push View</t>
        </is>
      </c>
      <c r="C2141" s="16" t="inlineStr">
        <is>
          <t>Edit Flow</t>
        </is>
      </c>
      <c r="D2141" s="16" t="inlineStr">
        <is>
          <t>Functional</t>
        </is>
      </c>
      <c r="E2141" s="16" t="inlineStr">
        <is>
          <t>Edit -&gt; Changes-to-Push: Mock: create server</t>
        </is>
      </c>
      <c r="F2141" s="16" t="inlineStr">
        <is>
          <t>Linked workspace; clean state.</t>
        </is>
      </c>
      <c r="G2141" s="16" t="inlineStr">
        <is>
          <t>1. Create.
2. Strip.</t>
        </is>
      </c>
      <c r="H2141" s="16" t="inlineStr">
        <is>
          <t>edit-to-push</t>
        </is>
      </c>
      <c r="I2141" s="16" t="inlineStr">
        <is>
          <t>Strip +1 mock.</t>
        </is>
      </c>
      <c r="J2141" s="16" t="inlineStr"/>
      <c r="K2141" s="16" t="inlineStr">
        <is>
          <t>Not Run</t>
        </is>
      </c>
      <c r="L2141" s="16" t="inlineStr">
        <is>
          <t>High</t>
        </is>
      </c>
      <c r="M2141" s="16" t="inlineStr"/>
      <c r="N2141" s="16" t="inlineStr"/>
      <c r="O2141" s="16" t="inlineStr"/>
    </row>
    <row r="2142" ht="72" customHeight="1">
      <c r="A2142" s="16" t="inlineStr">
        <is>
          <t>TC-CP-0138</t>
        </is>
      </c>
      <c r="B2142" s="16" t="inlineStr">
        <is>
          <t>Changes-to-Push View</t>
        </is>
      </c>
      <c r="C2142" s="16" t="inlineStr">
        <is>
          <t>Edit Flow</t>
        </is>
      </c>
      <c r="D2142" s="16" t="inlineStr">
        <is>
          <t>Functional</t>
        </is>
      </c>
      <c r="E2142" s="16" t="inlineStr">
        <is>
          <t>Edit -&gt; Changes-to-Push: Mock: rename server</t>
        </is>
      </c>
      <c r="F2142" s="16" t="inlineStr">
        <is>
          <t>Linked workspace; clean state.</t>
        </is>
      </c>
      <c r="G2142" s="16" t="inlineStr">
        <is>
          <t>1. Rename.
2. Strip.</t>
        </is>
      </c>
      <c r="H2142" s="16" t="inlineStr">
        <is>
          <t>edit-to-push</t>
        </is>
      </c>
      <c r="I2142" s="16" t="inlineStr">
        <is>
          <t>Strip ~1.</t>
        </is>
      </c>
      <c r="J2142" s="16" t="inlineStr"/>
      <c r="K2142" s="16" t="inlineStr">
        <is>
          <t>Not Run</t>
        </is>
      </c>
      <c r="L2142" s="16" t="inlineStr">
        <is>
          <t>Medium</t>
        </is>
      </c>
      <c r="M2142" s="16" t="inlineStr"/>
      <c r="N2142" s="16" t="inlineStr"/>
      <c r="O2142" s="16" t="inlineStr"/>
    </row>
    <row r="2143" ht="72" customHeight="1">
      <c r="A2143" s="16" t="inlineStr">
        <is>
          <t>TC-CP-0139</t>
        </is>
      </c>
      <c r="B2143" s="16" t="inlineStr">
        <is>
          <t>Changes-to-Push View</t>
        </is>
      </c>
      <c r="C2143" s="16" t="inlineStr">
        <is>
          <t>Edit Flow</t>
        </is>
      </c>
      <c r="D2143" s="16" t="inlineStr">
        <is>
          <t>Functional</t>
        </is>
      </c>
      <c r="E2143" s="16" t="inlineStr">
        <is>
          <t>Edit -&gt; Changes-to-Push: Mock: add endpoint</t>
        </is>
      </c>
      <c r="F2143" s="16" t="inlineStr">
        <is>
          <t>Linked workspace; clean state.</t>
        </is>
      </c>
      <c r="G2143" s="16" t="inlineStr">
        <is>
          <t>1. Add endpoint.
2. Strip.</t>
        </is>
      </c>
      <c r="H2143" s="16" t="inlineStr">
        <is>
          <t>edit-to-push</t>
        </is>
      </c>
      <c r="I2143" s="16" t="inlineStr">
        <is>
          <t>Strip ~1.</t>
        </is>
      </c>
      <c r="J2143" s="16" t="inlineStr"/>
      <c r="K2143" s="16" t="inlineStr">
        <is>
          <t>Not Run</t>
        </is>
      </c>
      <c r="L2143" s="16" t="inlineStr">
        <is>
          <t>High</t>
        </is>
      </c>
      <c r="M2143" s="16" t="inlineStr"/>
      <c r="N2143" s="16" t="inlineStr"/>
      <c r="O2143" s="16" t="inlineStr"/>
    </row>
    <row r="2144" ht="72" customHeight="1">
      <c r="A2144" s="16" t="inlineStr">
        <is>
          <t>TC-CP-0140</t>
        </is>
      </c>
      <c r="B2144" s="16" t="inlineStr">
        <is>
          <t>Changes-to-Push View</t>
        </is>
      </c>
      <c r="C2144" s="16" t="inlineStr">
        <is>
          <t>Edit Flow</t>
        </is>
      </c>
      <c r="D2144" s="16" t="inlineStr">
        <is>
          <t>Functional</t>
        </is>
      </c>
      <c r="E2144" s="16" t="inlineStr">
        <is>
          <t>Edit -&gt; Changes-to-Push: Mock: change endpoint path</t>
        </is>
      </c>
      <c r="F2144" s="16" t="inlineStr">
        <is>
          <t>Linked workspace; clean state.</t>
        </is>
      </c>
      <c r="G2144" s="16" t="inlineStr">
        <is>
          <t>1. Change path.
2. Strip.</t>
        </is>
      </c>
      <c r="H2144" s="16" t="inlineStr">
        <is>
          <t>edit-to-push</t>
        </is>
      </c>
      <c r="I2144" s="16" t="inlineStr">
        <is>
          <t>Strip ~1; diff shows path.</t>
        </is>
      </c>
      <c r="J2144" s="16" t="inlineStr"/>
      <c r="K2144" s="16" t="inlineStr">
        <is>
          <t>Not Run</t>
        </is>
      </c>
      <c r="L2144" s="16" t="inlineStr">
        <is>
          <t>Medium</t>
        </is>
      </c>
      <c r="M2144" s="16" t="inlineStr"/>
      <c r="N2144" s="16" t="inlineStr"/>
      <c r="O2144" s="16" t="inlineStr"/>
    </row>
    <row r="2145" ht="72" customHeight="1">
      <c r="A2145" s="16" t="inlineStr">
        <is>
          <t>TC-CP-0141</t>
        </is>
      </c>
      <c r="B2145" s="16" t="inlineStr">
        <is>
          <t>Changes-to-Push View</t>
        </is>
      </c>
      <c r="C2145" s="16" t="inlineStr">
        <is>
          <t>Edit Flow</t>
        </is>
      </c>
      <c r="D2145" s="16" t="inlineStr">
        <is>
          <t>Functional</t>
        </is>
      </c>
      <c r="E2145" s="16" t="inlineStr">
        <is>
          <t>Edit -&gt; Changes-to-Push: Mock: add response</t>
        </is>
      </c>
      <c r="F2145" s="16" t="inlineStr">
        <is>
          <t>Linked workspace; clean state.</t>
        </is>
      </c>
      <c r="G2145" s="16" t="inlineStr">
        <is>
          <t>1. Add response.
2. Strip.</t>
        </is>
      </c>
      <c r="H2145" s="16" t="inlineStr">
        <is>
          <t>edit-to-push</t>
        </is>
      </c>
      <c r="I2145" s="16" t="inlineStr">
        <is>
          <t>Strip ~1.</t>
        </is>
      </c>
      <c r="J2145" s="16" t="inlineStr"/>
      <c r="K2145" s="16" t="inlineStr">
        <is>
          <t>Not Run</t>
        </is>
      </c>
      <c r="L2145" s="16" t="inlineStr">
        <is>
          <t>Medium</t>
        </is>
      </c>
      <c r="M2145" s="16" t="inlineStr"/>
      <c r="N2145" s="16" t="inlineStr"/>
      <c r="O2145" s="16" t="inlineStr"/>
    </row>
    <row r="2146" ht="72" customHeight="1">
      <c r="A2146" s="16" t="inlineStr">
        <is>
          <t>TC-CP-0142</t>
        </is>
      </c>
      <c r="B2146" s="16" t="inlineStr">
        <is>
          <t>Changes-to-Push View</t>
        </is>
      </c>
      <c r="C2146" s="16" t="inlineStr">
        <is>
          <t>Edit Flow</t>
        </is>
      </c>
      <c r="D2146" s="16" t="inlineStr">
        <is>
          <t>Functional</t>
        </is>
      </c>
      <c r="E2146" s="16" t="inlineStr">
        <is>
          <t>Edit -&gt; Changes-to-Push: Mock: change response body</t>
        </is>
      </c>
      <c r="F2146" s="16" t="inlineStr">
        <is>
          <t>Linked workspace; clean state.</t>
        </is>
      </c>
      <c r="G2146" s="16" t="inlineStr">
        <is>
          <t>1. Edit body.
2. Strip.</t>
        </is>
      </c>
      <c r="H2146" s="16" t="inlineStr">
        <is>
          <t>edit-to-push</t>
        </is>
      </c>
      <c r="I2146" s="16" t="inlineStr">
        <is>
          <t>Strip ~1; diff shows body change.</t>
        </is>
      </c>
      <c r="J2146" s="16" t="inlineStr"/>
      <c r="K2146" s="16" t="inlineStr">
        <is>
          <t>Not Run</t>
        </is>
      </c>
      <c r="L2146" s="16" t="inlineStr">
        <is>
          <t>Medium</t>
        </is>
      </c>
      <c r="M2146" s="16" t="inlineStr"/>
      <c r="N2146" s="16" t="inlineStr"/>
      <c r="O2146" s="16" t="inlineStr"/>
    </row>
    <row r="2147" ht="72" customHeight="1">
      <c r="A2147" s="16" t="inlineStr">
        <is>
          <t>TC-CP-0143</t>
        </is>
      </c>
      <c r="B2147" s="16" t="inlineStr">
        <is>
          <t>Changes-to-Push View</t>
        </is>
      </c>
      <c r="C2147" s="16" t="inlineStr">
        <is>
          <t>Edit Flow</t>
        </is>
      </c>
      <c r="D2147" s="16" t="inlineStr">
        <is>
          <t>Functional</t>
        </is>
      </c>
      <c r="E2147" s="16" t="inlineStr">
        <is>
          <t>Edit -&gt; Changes-to-Push: Mock: delete server</t>
        </is>
      </c>
      <c r="F2147" s="16" t="inlineStr">
        <is>
          <t>Linked workspace; clean state.</t>
        </is>
      </c>
      <c r="G2147" s="16" t="inlineStr">
        <is>
          <t>1. Delete.
2. Strip.</t>
        </is>
      </c>
      <c r="H2147" s="16" t="inlineStr">
        <is>
          <t>edit-to-push</t>
        </is>
      </c>
      <c r="I2147" s="16" t="inlineStr">
        <is>
          <t>Strip -1.</t>
        </is>
      </c>
      <c r="J2147" s="16" t="inlineStr"/>
      <c r="K2147" s="16" t="inlineStr">
        <is>
          <t>Not Run</t>
        </is>
      </c>
      <c r="L2147" s="16" t="inlineStr">
        <is>
          <t>Medium</t>
        </is>
      </c>
      <c r="M2147" s="16" t="inlineStr"/>
      <c r="N2147" s="16" t="inlineStr"/>
      <c r="O2147" s="16" t="inlineStr"/>
    </row>
    <row r="2148" ht="72" customHeight="1">
      <c r="A2148" s="16" t="inlineStr">
        <is>
          <t>TC-CP-0144</t>
        </is>
      </c>
      <c r="B2148" s="16" t="inlineStr">
        <is>
          <t>Changes-to-Push View</t>
        </is>
      </c>
      <c r="C2148" s="16" t="inlineStr">
        <is>
          <t>Edit Flow</t>
        </is>
      </c>
      <c r="D2148" s="16" t="inlineStr">
        <is>
          <t>Functional</t>
        </is>
      </c>
      <c r="E2148" s="16" t="inlineStr">
        <is>
          <t>Edit -&gt; Changes-to-Push: Linked WS: link a workspace</t>
        </is>
      </c>
      <c r="F2148" s="16" t="inlineStr">
        <is>
          <t>Linked workspace; clean state.</t>
        </is>
      </c>
      <c r="G2148" s="16" t="inlineStr">
        <is>
          <t>1. Link.
2. Strip.</t>
        </is>
      </c>
      <c r="H2148" s="16" t="inlineStr">
        <is>
          <t>edit-to-push</t>
        </is>
      </c>
      <c r="I2148" s="16" t="inlineStr">
        <is>
          <t>Strip +1 linked WS.</t>
        </is>
      </c>
      <c r="J2148" s="16" t="inlineStr"/>
      <c r="K2148" s="16" t="inlineStr">
        <is>
          <t>Not Run</t>
        </is>
      </c>
      <c r="L2148" s="16" t="inlineStr">
        <is>
          <t>High</t>
        </is>
      </c>
      <c r="M2148" s="16" t="inlineStr"/>
      <c r="N2148" s="16" t="inlineStr"/>
      <c r="O2148" s="16" t="inlineStr"/>
    </row>
    <row r="2149" ht="72" customHeight="1">
      <c r="A2149" s="16" t="inlineStr">
        <is>
          <t>TC-CP-0145</t>
        </is>
      </c>
      <c r="B2149" s="16" t="inlineStr">
        <is>
          <t>Changes-to-Push View</t>
        </is>
      </c>
      <c r="C2149" s="16" t="inlineStr">
        <is>
          <t>Edit Flow</t>
        </is>
      </c>
      <c r="D2149" s="16" t="inlineStr">
        <is>
          <t>Functional</t>
        </is>
      </c>
      <c r="E2149" s="16" t="inlineStr">
        <is>
          <t>Edit -&gt; Changes-to-Push: Linked WS: unlink</t>
        </is>
      </c>
      <c r="F2149" s="16" t="inlineStr">
        <is>
          <t>Linked workspace; clean state.</t>
        </is>
      </c>
      <c r="G2149" s="16" t="inlineStr">
        <is>
          <t>1. Unlink.
2. Strip.</t>
        </is>
      </c>
      <c r="H2149" s="16" t="inlineStr">
        <is>
          <t>edit-to-push</t>
        </is>
      </c>
      <c r="I2149" s="16" t="inlineStr">
        <is>
          <t>Strip -1.</t>
        </is>
      </c>
      <c r="J2149" s="16" t="inlineStr"/>
      <c r="K2149" s="16" t="inlineStr">
        <is>
          <t>Not Run</t>
        </is>
      </c>
      <c r="L2149" s="16" t="inlineStr">
        <is>
          <t>Medium</t>
        </is>
      </c>
      <c r="M2149" s="16" t="inlineStr"/>
      <c r="N2149" s="16" t="inlineStr"/>
      <c r="O2149" s="16" t="inlineStr"/>
    </row>
    <row r="2150" ht="72" customHeight="1">
      <c r="A2150" s="16" t="inlineStr">
        <is>
          <t>TC-CP-0146</t>
        </is>
      </c>
      <c r="B2150" s="16" t="inlineStr">
        <is>
          <t>Changes-to-Push View</t>
        </is>
      </c>
      <c r="C2150" s="16" t="inlineStr">
        <is>
          <t>Edit Flow</t>
        </is>
      </c>
      <c r="D2150" s="16" t="inlineStr">
        <is>
          <t>Functional</t>
        </is>
      </c>
      <c r="E2150" s="16" t="inlineStr">
        <is>
          <t>Edit -&gt; Changes-to-Push: Linked WS: add override on request</t>
        </is>
      </c>
      <c r="F2150" s="16" t="inlineStr">
        <is>
          <t>Linked workspace; clean state.</t>
        </is>
      </c>
      <c r="G2150" s="16" t="inlineStr">
        <is>
          <t>1. Override URL.
2. Strip.</t>
        </is>
      </c>
      <c r="H2150" s="16" t="inlineStr">
        <is>
          <t>edit-to-push</t>
        </is>
      </c>
      <c r="I2150" s="16" t="inlineStr">
        <is>
          <t>Strip +1 'linked request override (&lt;key&gt;)'.</t>
        </is>
      </c>
      <c r="J2150" s="16" t="inlineStr"/>
      <c r="K2150" s="16" t="inlineStr">
        <is>
          <t>Not Run</t>
        </is>
      </c>
      <c r="L2150" s="16" t="inlineStr">
        <is>
          <t>Medium</t>
        </is>
      </c>
      <c r="M2150" s="16" t="inlineStr"/>
      <c r="N2150" s="16" t="inlineStr"/>
      <c r="O2150" s="16" t="inlineStr"/>
    </row>
    <row r="2151" ht="72" customHeight="1">
      <c r="A2151" s="16" t="inlineStr">
        <is>
          <t>TC-CP-0147</t>
        </is>
      </c>
      <c r="B2151" s="16" t="inlineStr">
        <is>
          <t>Changes-to-Push View</t>
        </is>
      </c>
      <c r="C2151" s="16" t="inlineStr">
        <is>
          <t>Edit Flow</t>
        </is>
      </c>
      <c r="D2151" s="16" t="inlineStr">
        <is>
          <t>Functional</t>
        </is>
      </c>
      <c r="E2151" s="16" t="inlineStr">
        <is>
          <t>Edit -&gt; Changes-to-Push: Linked WS: add override on env var</t>
        </is>
      </c>
      <c r="F2151" s="16" t="inlineStr">
        <is>
          <t>Linked workspace; clean state.</t>
        </is>
      </c>
      <c r="G2151" s="16" t="inlineStr">
        <is>
          <t>1. Override var value.
2. Strip.</t>
        </is>
      </c>
      <c r="H2151" s="16" t="inlineStr">
        <is>
          <t>edit-to-push</t>
        </is>
      </c>
      <c r="I2151" s="16" t="inlineStr">
        <is>
          <t>Strip +1 'linked env var override (&lt;key&gt;)'.</t>
        </is>
      </c>
      <c r="J2151" s="16" t="inlineStr"/>
      <c r="K2151" s="16" t="inlineStr">
        <is>
          <t>Not Run</t>
        </is>
      </c>
      <c r="L2151" s="16" t="inlineStr">
        <is>
          <t>Medium</t>
        </is>
      </c>
      <c r="M2151" s="16" t="inlineStr"/>
      <c r="N2151" s="16" t="inlineStr"/>
      <c r="O2151" s="16" t="inlineStr"/>
    </row>
    <row r="2152" ht="72" customHeight="1">
      <c r="A2152" s="16" t="inlineStr">
        <is>
          <t>TC-CP-0148</t>
        </is>
      </c>
      <c r="B2152" s="16" t="inlineStr">
        <is>
          <t>Changes-to-Push View</t>
        </is>
      </c>
      <c r="C2152" s="16" t="inlineStr">
        <is>
          <t>Edit Flow</t>
        </is>
      </c>
      <c r="D2152" s="16" t="inlineStr">
        <is>
          <t>Functional</t>
        </is>
      </c>
      <c r="E2152" s="16" t="inlineStr">
        <is>
          <t>Edit -&gt; Changes-to-Push: Linked WS: delete override</t>
        </is>
      </c>
      <c r="F2152" s="16" t="inlineStr">
        <is>
          <t>Linked workspace; clean state.</t>
        </is>
      </c>
      <c r="G2152" s="16" t="inlineStr">
        <is>
          <t>1. Delete.
2. Strip.</t>
        </is>
      </c>
      <c r="H2152" s="16" t="inlineStr">
        <is>
          <t>edit-to-push</t>
        </is>
      </c>
      <c r="I2152" s="16" t="inlineStr">
        <is>
          <t>Strip -1.</t>
        </is>
      </c>
      <c r="J2152" s="16" t="inlineStr"/>
      <c r="K2152" s="16" t="inlineStr">
        <is>
          <t>Not Run</t>
        </is>
      </c>
      <c r="L2152" s="16" t="inlineStr">
        <is>
          <t>Low</t>
        </is>
      </c>
      <c r="M2152" s="16" t="inlineStr"/>
      <c r="N2152" s="16" t="inlineStr"/>
      <c r="O2152" s="16" t="inlineStr"/>
    </row>
    <row r="2153" ht="72" customHeight="1">
      <c r="A2153" s="16" t="inlineStr">
        <is>
          <t>TC-CP-0149</t>
        </is>
      </c>
      <c r="B2153" s="16" t="inlineStr">
        <is>
          <t>Changes-to-Push View</t>
        </is>
      </c>
      <c r="C2153" s="16" t="inlineStr">
        <is>
          <t>Edit Flow</t>
        </is>
      </c>
      <c r="D2153" s="16" t="inlineStr">
        <is>
          <t>Functional</t>
        </is>
      </c>
      <c r="E2153" s="16" t="inlineStr">
        <is>
          <t>Edit -&gt; Changes-to-Push: Schema: add</t>
        </is>
      </c>
      <c r="F2153" s="16" t="inlineStr">
        <is>
          <t>Linked workspace; clean state.</t>
        </is>
      </c>
      <c r="G2153" s="16" t="inlineStr">
        <is>
          <t>1. New schema.
2. Strip.</t>
        </is>
      </c>
      <c r="H2153" s="16" t="inlineStr">
        <is>
          <t>edit-to-push</t>
        </is>
      </c>
      <c r="I2153" s="16" t="inlineStr">
        <is>
          <t>Strip +1 global schema.</t>
        </is>
      </c>
      <c r="J2153" s="16" t="inlineStr"/>
      <c r="K2153" s="16" t="inlineStr">
        <is>
          <t>Not Run</t>
        </is>
      </c>
      <c r="L2153" s="16" t="inlineStr">
        <is>
          <t>Medium</t>
        </is>
      </c>
      <c r="M2153" s="16" t="inlineStr"/>
      <c r="N2153" s="16" t="inlineStr"/>
      <c r="O2153" s="16" t="inlineStr"/>
    </row>
    <row r="2154" ht="72" customHeight="1">
      <c r="A2154" s="16" t="inlineStr">
        <is>
          <t>TC-CP-0150</t>
        </is>
      </c>
      <c r="B2154" s="16" t="inlineStr">
        <is>
          <t>Changes-to-Push View</t>
        </is>
      </c>
      <c r="C2154" s="16" t="inlineStr">
        <is>
          <t>Edit Flow</t>
        </is>
      </c>
      <c r="D2154" s="16" t="inlineStr">
        <is>
          <t>Functional</t>
        </is>
      </c>
      <c r="E2154" s="16" t="inlineStr">
        <is>
          <t>Edit -&gt; Changes-to-Push: Schema: edit content</t>
        </is>
      </c>
      <c r="F2154" s="16" t="inlineStr">
        <is>
          <t>Linked workspace; clean state.</t>
        </is>
      </c>
      <c r="G2154" s="16" t="inlineStr">
        <is>
          <t>1. Edit.
2. Strip.</t>
        </is>
      </c>
      <c r="H2154" s="16" t="inlineStr">
        <is>
          <t>edit-to-push</t>
        </is>
      </c>
      <c r="I2154" s="16" t="inlineStr">
        <is>
          <t>Strip ~1.</t>
        </is>
      </c>
      <c r="J2154" s="16" t="inlineStr"/>
      <c r="K2154" s="16" t="inlineStr">
        <is>
          <t>Not Run</t>
        </is>
      </c>
      <c r="L2154" s="16" t="inlineStr">
        <is>
          <t>Medium</t>
        </is>
      </c>
      <c r="M2154" s="16" t="inlineStr"/>
      <c r="N2154" s="16" t="inlineStr"/>
      <c r="O2154" s="16" t="inlineStr"/>
    </row>
    <row r="2155" ht="72" customHeight="1">
      <c r="A2155" s="16" t="inlineStr">
        <is>
          <t>TC-CP-0151</t>
        </is>
      </c>
      <c r="B2155" s="16" t="inlineStr">
        <is>
          <t>Changes-to-Push View</t>
        </is>
      </c>
      <c r="C2155" s="16" t="inlineStr">
        <is>
          <t>Edit Flow</t>
        </is>
      </c>
      <c r="D2155" s="16" t="inlineStr">
        <is>
          <t>Functional</t>
        </is>
      </c>
      <c r="E2155" s="16" t="inlineStr">
        <is>
          <t>Edit -&gt; Changes-to-Push: Schema: rename</t>
        </is>
      </c>
      <c r="F2155" s="16" t="inlineStr">
        <is>
          <t>Linked workspace; clean state.</t>
        </is>
      </c>
      <c r="G2155" s="16" t="inlineStr">
        <is>
          <t>1. Rename.
2. Strip.</t>
        </is>
      </c>
      <c r="H2155" s="16" t="inlineStr">
        <is>
          <t>edit-to-push</t>
        </is>
      </c>
      <c r="I2155" s="16" t="inlineStr">
        <is>
          <t>Strip ~1.</t>
        </is>
      </c>
      <c r="J2155" s="16" t="inlineStr"/>
      <c r="K2155" s="16" t="inlineStr">
        <is>
          <t>Not Run</t>
        </is>
      </c>
      <c r="L2155" s="16" t="inlineStr">
        <is>
          <t>Low</t>
        </is>
      </c>
      <c r="M2155" s="16" t="inlineStr"/>
      <c r="N2155" s="16" t="inlineStr"/>
      <c r="O2155" s="16" t="inlineStr"/>
    </row>
    <row r="2156" ht="72" customHeight="1">
      <c r="A2156" s="16" t="inlineStr">
        <is>
          <t>TC-CP-0152</t>
        </is>
      </c>
      <c r="B2156" s="16" t="inlineStr">
        <is>
          <t>Changes-to-Push View</t>
        </is>
      </c>
      <c r="C2156" s="16" t="inlineStr">
        <is>
          <t>Edit Flow</t>
        </is>
      </c>
      <c r="D2156" s="16" t="inlineStr">
        <is>
          <t>Functional</t>
        </is>
      </c>
      <c r="E2156" s="16" t="inlineStr">
        <is>
          <t>Edit -&gt; Changes-to-Push: Schema: delete</t>
        </is>
      </c>
      <c r="F2156" s="16" t="inlineStr">
        <is>
          <t>Linked workspace; clean state.</t>
        </is>
      </c>
      <c r="G2156" s="16" t="inlineStr">
        <is>
          <t>1. Delete.
2. Strip.</t>
        </is>
      </c>
      <c r="H2156" s="16" t="inlineStr">
        <is>
          <t>edit-to-push</t>
        </is>
      </c>
      <c r="I2156" s="16" t="inlineStr">
        <is>
          <t>Strip -1.</t>
        </is>
      </c>
      <c r="J2156" s="16" t="inlineStr"/>
      <c r="K2156" s="16" t="inlineStr">
        <is>
          <t>Not Run</t>
        </is>
      </c>
      <c r="L2156" s="16" t="inlineStr">
        <is>
          <t>Medium</t>
        </is>
      </c>
      <c r="M2156" s="16" t="inlineStr"/>
      <c r="N2156" s="16" t="inlineStr"/>
      <c r="O2156" s="16" t="inlineStr"/>
    </row>
    <row r="2157" ht="72" customHeight="1">
      <c r="A2157" s="16" t="inlineStr">
        <is>
          <t>TC-CP-0153</t>
        </is>
      </c>
      <c r="B2157" s="16" t="inlineStr">
        <is>
          <t>Changes-to-Push View</t>
        </is>
      </c>
      <c r="C2157" s="16" t="inlineStr">
        <is>
          <t>Edit Flow</t>
        </is>
      </c>
      <c r="D2157" s="16" t="inlineStr">
        <is>
          <t>Functional</t>
        </is>
      </c>
      <c r="E2157" s="16" t="inlineStr">
        <is>
          <t>Edit -&gt; Changes-to-Push: GraphQL doc: add</t>
        </is>
      </c>
      <c r="F2157" s="16" t="inlineStr">
        <is>
          <t>Linked workspace; clean state.</t>
        </is>
      </c>
      <c r="G2157" s="16" t="inlineStr">
        <is>
          <t>1. Add.
2. Strip.</t>
        </is>
      </c>
      <c r="H2157" s="16" t="inlineStr">
        <is>
          <t>edit-to-push</t>
        </is>
      </c>
      <c r="I2157" s="16" t="inlineStr">
        <is>
          <t>Strip +1 global graphql.</t>
        </is>
      </c>
      <c r="J2157" s="16" t="inlineStr"/>
      <c r="K2157" s="16" t="inlineStr">
        <is>
          <t>Not Run</t>
        </is>
      </c>
      <c r="L2157" s="16" t="inlineStr">
        <is>
          <t>Low</t>
        </is>
      </c>
      <c r="M2157" s="16" t="inlineStr"/>
      <c r="N2157" s="16" t="inlineStr"/>
      <c r="O2157" s="16" t="inlineStr"/>
    </row>
    <row r="2158" ht="72" customHeight="1">
      <c r="A2158" s="16" t="inlineStr">
        <is>
          <t>TC-CP-0154</t>
        </is>
      </c>
      <c r="B2158" s="16" t="inlineStr">
        <is>
          <t>Changes-to-Push View</t>
        </is>
      </c>
      <c r="C2158" s="16" t="inlineStr">
        <is>
          <t>Edit Flow</t>
        </is>
      </c>
      <c r="D2158" s="16" t="inlineStr">
        <is>
          <t>Functional</t>
        </is>
      </c>
      <c r="E2158" s="16" t="inlineStr">
        <is>
          <t>Edit -&gt; Changes-to-Push: GraphQL doc: edit</t>
        </is>
      </c>
      <c r="F2158" s="16" t="inlineStr">
        <is>
          <t>Linked workspace; clean state.</t>
        </is>
      </c>
      <c r="G2158" s="16" t="inlineStr">
        <is>
          <t>1. Edit.
2. Strip.</t>
        </is>
      </c>
      <c r="H2158" s="16" t="inlineStr">
        <is>
          <t>edit-to-push</t>
        </is>
      </c>
      <c r="I2158" s="16" t="inlineStr">
        <is>
          <t>Strip ~1.</t>
        </is>
      </c>
      <c r="J2158" s="16" t="inlineStr"/>
      <c r="K2158" s="16" t="inlineStr">
        <is>
          <t>Not Run</t>
        </is>
      </c>
      <c r="L2158" s="16" t="inlineStr">
        <is>
          <t>Low</t>
        </is>
      </c>
      <c r="M2158" s="16" t="inlineStr"/>
      <c r="N2158" s="16" t="inlineStr"/>
      <c r="O2158" s="16" t="inlineStr"/>
    </row>
    <row r="2159" ht="72" customHeight="1">
      <c r="A2159" s="16" t="inlineStr">
        <is>
          <t>TC-CP-0155</t>
        </is>
      </c>
      <c r="B2159" s="16" t="inlineStr">
        <is>
          <t>Changes-to-Push View</t>
        </is>
      </c>
      <c r="C2159" s="16" t="inlineStr">
        <is>
          <t>Edit Flow</t>
        </is>
      </c>
      <c r="D2159" s="16" t="inlineStr">
        <is>
          <t>Functional</t>
        </is>
      </c>
      <c r="E2159" s="16" t="inlineStr">
        <is>
          <t>Edit -&gt; Changes-to-Push: GraphQL doc: delete</t>
        </is>
      </c>
      <c r="F2159" s="16" t="inlineStr">
        <is>
          <t>Linked workspace; clean state.</t>
        </is>
      </c>
      <c r="G2159" s="16" t="inlineStr">
        <is>
          <t>1. Delete.
2. Strip.</t>
        </is>
      </c>
      <c r="H2159" s="16" t="inlineStr">
        <is>
          <t>edit-to-push</t>
        </is>
      </c>
      <c r="I2159" s="16" t="inlineStr">
        <is>
          <t>Strip -1.</t>
        </is>
      </c>
      <c r="J2159" s="16" t="inlineStr"/>
      <c r="K2159" s="16" t="inlineStr">
        <is>
          <t>Not Run</t>
        </is>
      </c>
      <c r="L2159" s="16" t="inlineStr">
        <is>
          <t>Low</t>
        </is>
      </c>
      <c r="M2159" s="16" t="inlineStr"/>
      <c r="N2159" s="16" t="inlineStr"/>
      <c r="O2159" s="16" t="inlineStr"/>
    </row>
    <row r="2160" ht="72" customHeight="1">
      <c r="A2160" s="16" t="inlineStr">
        <is>
          <t>TC-CP-0156</t>
        </is>
      </c>
      <c r="B2160" s="16" t="inlineStr">
        <is>
          <t>Changes-to-Push View</t>
        </is>
      </c>
      <c r="C2160" s="16" t="inlineStr">
        <is>
          <t>Edit Flow</t>
        </is>
      </c>
      <c r="D2160" s="16" t="inlineStr">
        <is>
          <t>Functional</t>
        </is>
      </c>
      <c r="E2160" s="16" t="inlineStr">
        <is>
          <t>Edit -&gt; Changes-to-Push: Secret keys: add slot</t>
        </is>
      </c>
      <c r="F2160" s="16" t="inlineStr">
        <is>
          <t>Linked workspace; clean state.</t>
        </is>
      </c>
      <c r="G2160" s="16" t="inlineStr">
        <is>
          <t>1. Add.
2. Strip.</t>
        </is>
      </c>
      <c r="H2160" s="16" t="inlineStr">
        <is>
          <t>edit-to-push</t>
        </is>
      </c>
      <c r="I2160" s="16" t="inlineStr">
        <is>
          <t>Strip +1.</t>
        </is>
      </c>
      <c r="J2160" s="16" t="inlineStr"/>
      <c r="K2160" s="16" t="inlineStr">
        <is>
          <t>Not Run</t>
        </is>
      </c>
      <c r="L2160" s="16" t="inlineStr">
        <is>
          <t>Medium</t>
        </is>
      </c>
      <c r="M2160" s="16" t="inlineStr"/>
      <c r="N2160" s="16" t="inlineStr"/>
      <c r="O2160" s="16" t="inlineStr"/>
    </row>
    <row r="2161" ht="72" customHeight="1">
      <c r="A2161" s="16" t="inlineStr">
        <is>
          <t>TC-CP-0157</t>
        </is>
      </c>
      <c r="B2161" s="16" t="inlineStr">
        <is>
          <t>Changes-to-Push View</t>
        </is>
      </c>
      <c r="C2161" s="16" t="inlineStr">
        <is>
          <t>Edit Flow</t>
        </is>
      </c>
      <c r="D2161" s="16" t="inlineStr">
        <is>
          <t>Functional</t>
        </is>
      </c>
      <c r="E2161" s="16" t="inlineStr">
        <is>
          <t>Edit -&gt; Changes-to-Push: Secret keys: rename label</t>
        </is>
      </c>
      <c r="F2161" s="16" t="inlineStr">
        <is>
          <t>Linked workspace; clean state.</t>
        </is>
      </c>
      <c r="G2161" s="16" t="inlineStr">
        <is>
          <t>1. Rename.
2. Strip.</t>
        </is>
      </c>
      <c r="H2161" s="16" t="inlineStr">
        <is>
          <t>edit-to-push</t>
        </is>
      </c>
      <c r="I2161" s="16" t="inlineStr">
        <is>
          <t>Strip ~1.</t>
        </is>
      </c>
      <c r="J2161" s="16" t="inlineStr"/>
      <c r="K2161" s="16" t="inlineStr">
        <is>
          <t>Not Run</t>
        </is>
      </c>
      <c r="L2161" s="16" t="inlineStr">
        <is>
          <t>Low</t>
        </is>
      </c>
      <c r="M2161" s="16" t="inlineStr"/>
      <c r="N2161" s="16" t="inlineStr"/>
      <c r="O2161" s="16" t="inlineStr"/>
    </row>
    <row r="2162" ht="72" customHeight="1">
      <c r="A2162" s="16" t="inlineStr">
        <is>
          <t>TC-CP-0158</t>
        </is>
      </c>
      <c r="B2162" s="16" t="inlineStr">
        <is>
          <t>Changes-to-Push View</t>
        </is>
      </c>
      <c r="C2162" s="16" t="inlineStr">
        <is>
          <t>Edit Flow</t>
        </is>
      </c>
      <c r="D2162" s="16" t="inlineStr">
        <is>
          <t>Functional</t>
        </is>
      </c>
      <c r="E2162" s="16" t="inlineStr">
        <is>
          <t>Edit -&gt; Changes-to-Push: Secret keys: delete slot</t>
        </is>
      </c>
      <c r="F2162" s="16" t="inlineStr">
        <is>
          <t>Linked workspace; clean state.</t>
        </is>
      </c>
      <c r="G2162" s="16" t="inlineStr">
        <is>
          <t>1. Delete.
2. Strip.</t>
        </is>
      </c>
      <c r="H2162" s="16" t="inlineStr">
        <is>
          <t>edit-to-push</t>
        </is>
      </c>
      <c r="I2162" s="16" t="inlineStr">
        <is>
          <t>Strip -1.</t>
        </is>
      </c>
      <c r="J2162" s="16" t="inlineStr"/>
      <c r="K2162" s="16" t="inlineStr">
        <is>
          <t>Not Run</t>
        </is>
      </c>
      <c r="L2162" s="16" t="inlineStr">
        <is>
          <t>Medium</t>
        </is>
      </c>
      <c r="M2162" s="16" t="inlineStr"/>
      <c r="N2162" s="16" t="inlineStr"/>
      <c r="O2162" s="16" t="inlineStr"/>
    </row>
    <row r="2163" ht="72" customHeight="1">
      <c r="A2163" s="16" t="inlineStr">
        <is>
          <t>TC-CP-0159</t>
        </is>
      </c>
      <c r="B2163" s="16" t="inlineStr">
        <is>
          <t>Changes-to-Push View</t>
        </is>
      </c>
      <c r="C2163" s="16" t="inlineStr">
        <is>
          <t>Edit Flow</t>
        </is>
      </c>
      <c r="D2163" s="16" t="inlineStr">
        <is>
          <t>Functional</t>
        </is>
      </c>
      <c r="E2163" s="16" t="inlineStr">
        <is>
          <t>Edit -&gt; Changes-to-Push: Workspace passphrase: set new</t>
        </is>
      </c>
      <c r="F2163" s="16" t="inlineStr">
        <is>
          <t>Linked workspace; clean state.</t>
        </is>
      </c>
      <c r="G2163" s="16" t="inlineStr">
        <is>
          <t>1. Set.
2. Strip.</t>
        </is>
      </c>
      <c r="H2163" s="16" t="inlineStr">
        <is>
          <t>edit-to-push</t>
        </is>
      </c>
      <c r="I2163" s="16" t="inlineStr">
        <is>
          <t>Strip ~1 'Workspace passphrase'.</t>
        </is>
      </c>
      <c r="J2163" s="16" t="inlineStr"/>
      <c r="K2163" s="16" t="inlineStr">
        <is>
          <t>Not Run</t>
        </is>
      </c>
      <c r="L2163" s="16" t="inlineStr">
        <is>
          <t>High</t>
        </is>
      </c>
      <c r="M2163" s="16" t="inlineStr"/>
      <c r="N2163" s="16" t="inlineStr"/>
      <c r="O2163" s="16" t="inlineStr"/>
    </row>
    <row r="2164" ht="72" customHeight="1">
      <c r="A2164" s="16" t="inlineStr">
        <is>
          <t>TC-CP-0160</t>
        </is>
      </c>
      <c r="B2164" s="16" t="inlineStr">
        <is>
          <t>Changes-to-Push View</t>
        </is>
      </c>
      <c r="C2164" s="16" t="inlineStr">
        <is>
          <t>Edit Flow</t>
        </is>
      </c>
      <c r="D2164" s="16" t="inlineStr">
        <is>
          <t>Functional</t>
        </is>
      </c>
      <c r="E2164" s="16" t="inlineStr">
        <is>
          <t>Edit -&gt; Changes-to-Push: Release: publish version</t>
        </is>
      </c>
      <c r="F2164" s="16" t="inlineStr">
        <is>
          <t>Linked workspace; clean state.</t>
        </is>
      </c>
      <c r="G2164" s="16" t="inlineStr">
        <is>
          <t>1. Publish.
2. Strip.</t>
        </is>
      </c>
      <c r="H2164" s="16" t="inlineStr">
        <is>
          <t>edit-to-push</t>
        </is>
      </c>
      <c r="I2164" s="16" t="inlineStr">
        <is>
          <t>Strip ~1 'Release ledger'.</t>
        </is>
      </c>
      <c r="J2164" s="16" t="inlineStr"/>
      <c r="K2164" s="16" t="inlineStr">
        <is>
          <t>Not Run</t>
        </is>
      </c>
      <c r="L2164" s="16" t="inlineStr">
        <is>
          <t>Medium</t>
        </is>
      </c>
      <c r="M2164" s="16" t="inlineStr"/>
      <c r="N2164" s="16" t="inlineStr"/>
      <c r="O2164" s="16" t="inlineStr"/>
    </row>
    <row r="2165" ht="72" customHeight="1">
      <c r="A2165" s="16" t="inlineStr">
        <is>
          <t>TC-CP-0161</t>
        </is>
      </c>
      <c r="B2165" s="16" t="inlineStr">
        <is>
          <t>Changes-to-Push View</t>
        </is>
      </c>
      <c r="C2165" s="16" t="inlineStr">
        <is>
          <t>Edit Flow</t>
        </is>
      </c>
      <c r="D2165" s="16" t="inlineStr">
        <is>
          <t>Functional</t>
        </is>
      </c>
      <c r="E2165" s="16" t="inlineStr">
        <is>
          <t>Edit -&gt; Changes-to-Push: Combined: 5 different bucket changes</t>
        </is>
      </c>
      <c r="F2165" s="16" t="inlineStr">
        <is>
          <t>Linked workspace; clean state.</t>
        </is>
      </c>
      <c r="G2165" s="16" t="inlineStr">
        <is>
          <t>1. Edit request + env + mock + schema + plan in one session.
2. Strip.</t>
        </is>
      </c>
      <c r="H2165" s="16" t="inlineStr">
        <is>
          <t>edit-to-push</t>
        </is>
      </c>
      <c r="I2165" s="16" t="inlineStr">
        <is>
          <t>Strip count = 5 across buckets; modal lists each correctly.</t>
        </is>
      </c>
      <c r="J2165" s="16" t="inlineStr"/>
      <c r="K2165" s="16" t="inlineStr">
        <is>
          <t>Not Run</t>
        </is>
      </c>
      <c r="L2165" s="16" t="inlineStr">
        <is>
          <t>High</t>
        </is>
      </c>
      <c r="M2165" s="16" t="inlineStr"/>
      <c r="N2165" s="16" t="inlineStr"/>
      <c r="O2165" s="16" t="inlineStr"/>
    </row>
    <row r="2166" ht="72" customHeight="1">
      <c r="A2166" s="16" t="inlineStr">
        <is>
          <t>TC-CP-0162</t>
        </is>
      </c>
      <c r="B2166" s="16" t="inlineStr">
        <is>
          <t>Changes-to-Push View</t>
        </is>
      </c>
      <c r="C2166" s="16" t="inlineStr">
        <is>
          <t>Edit Flow</t>
        </is>
      </c>
      <c r="D2166" s="16" t="inlineStr">
        <is>
          <t>Functional</t>
        </is>
      </c>
      <c r="E2166" s="16" t="inlineStr">
        <is>
          <t>Edit -&gt; Changes-to-Push: Combined: undo one of N</t>
        </is>
      </c>
      <c r="F2166" s="16" t="inlineStr">
        <is>
          <t>Linked workspace; clean state.</t>
        </is>
      </c>
      <c r="G2166" s="16" t="inlineStr">
        <is>
          <t>1. Make 3 edits.
2. Revert edit 2 manually.
3. Strip.</t>
        </is>
      </c>
      <c r="H2166" s="16" t="inlineStr">
        <is>
          <t>edit-to-push</t>
        </is>
      </c>
      <c r="I2166" s="16" t="inlineStr">
        <is>
          <t>Strip drops the reverted one; remaining 2 still listed.</t>
        </is>
      </c>
      <c r="J2166" s="16" t="inlineStr"/>
      <c r="K2166" s="16" t="inlineStr">
        <is>
          <t>Not Run</t>
        </is>
      </c>
      <c r="L2166" s="16" t="inlineStr">
        <is>
          <t>Medium</t>
        </is>
      </c>
      <c r="M2166" s="16" t="inlineStr"/>
      <c r="N2166" s="16" t="inlineStr"/>
      <c r="O2166" s="16" t="inlineStr"/>
    </row>
    <row r="2167" ht="72" customHeight="1">
      <c r="A2167" s="16" t="inlineStr">
        <is>
          <t>TC-CP-0163</t>
        </is>
      </c>
      <c r="B2167" s="16" t="inlineStr">
        <is>
          <t>Changes-to-Push View</t>
        </is>
      </c>
      <c r="C2167" s="16" t="inlineStr">
        <is>
          <t>Edit Flow</t>
        </is>
      </c>
      <c r="D2167" s="16" t="inlineStr">
        <is>
          <t>Functional</t>
        </is>
      </c>
      <c r="E2167" s="16" t="inlineStr">
        <is>
          <t>Edit -&gt; Changes-to-Push: After push, strip resets to empty</t>
        </is>
      </c>
      <c r="F2167" s="16" t="inlineStr">
        <is>
          <t>Linked workspace; clean state.</t>
        </is>
      </c>
      <c r="G2167" s="16" t="inlineStr">
        <is>
          <t>1. Push.
2. Strip.</t>
        </is>
      </c>
      <c r="H2167" s="16" t="inlineStr">
        <is>
          <t>edit-to-push</t>
        </is>
      </c>
      <c r="I2167" s="16" t="inlineStr">
        <is>
          <t>Strip empty; 'No unpushed changes'.</t>
        </is>
      </c>
      <c r="J2167" s="16" t="inlineStr"/>
      <c r="K2167" s="16" t="inlineStr">
        <is>
          <t>Not Run</t>
        </is>
      </c>
      <c r="L2167" s="16" t="inlineStr">
        <is>
          <t>High</t>
        </is>
      </c>
      <c r="M2167" s="16" t="inlineStr"/>
      <c r="N2167" s="16" t="inlineStr"/>
      <c r="O2167" s="16" t="inlineStr"/>
    </row>
    <row r="2168" ht="72" customHeight="1">
      <c r="A2168" s="16" t="inlineStr">
        <is>
          <t>TC-CP-0164</t>
        </is>
      </c>
      <c r="B2168" s="16" t="inlineStr">
        <is>
          <t>Changes-to-Push View</t>
        </is>
      </c>
      <c r="C2168" s="16" t="inlineStr">
        <is>
          <t>Edit Flow</t>
        </is>
      </c>
      <c r="D2168" s="16" t="inlineStr">
        <is>
          <t>Functional</t>
        </is>
      </c>
      <c r="E2168" s="16" t="inlineStr">
        <is>
          <t>Edit -&gt; Changes-to-Push: Strip remains across reload</t>
        </is>
      </c>
      <c r="F2168" s="16" t="inlineStr">
        <is>
          <t>Linked workspace; clean state.</t>
        </is>
      </c>
      <c r="G2168" s="16" t="inlineStr">
        <is>
          <t>1. Edits made.
2. Reload app.
3. Strip.</t>
        </is>
      </c>
      <c r="H2168" s="16" t="inlineStr">
        <is>
          <t>edit-to-push</t>
        </is>
      </c>
      <c r="I2168" s="16" t="inlineStr">
        <is>
          <t>Strip restored from baseline diff.</t>
        </is>
      </c>
      <c r="J2168" s="16" t="inlineStr"/>
      <c r="K2168" s="16" t="inlineStr">
        <is>
          <t>Not Run</t>
        </is>
      </c>
      <c r="L2168" s="16" t="inlineStr">
        <is>
          <t>High</t>
        </is>
      </c>
      <c r="M2168" s="16" t="inlineStr"/>
      <c r="N2168" s="16" t="inlineStr"/>
      <c r="O2168" s="16" t="inlineStr"/>
    </row>
    <row r="2169" ht="72" customHeight="1">
      <c r="A2169" s="16" t="inlineStr">
        <is>
          <t>TC-RP-0115</t>
        </is>
      </c>
      <c r="B2169" s="16" t="inlineStr">
        <is>
          <t>Response Panel</t>
        </is>
      </c>
      <c r="C2169" s="16" t="inlineStr">
        <is>
          <t>Viewer Matrix</t>
        </is>
      </c>
      <c r="D2169" s="16" t="inlineStr">
        <is>
          <t>Functional</t>
        </is>
      </c>
      <c r="E2169" s="16" t="inlineStr">
        <is>
          <t>Response body application/json at 0 B (empty) in Pretty viewer</t>
        </is>
      </c>
      <c r="F2169" s="16" t="inlineStr">
        <is>
          <t>-</t>
        </is>
      </c>
      <c r="G2169" s="16" t="inlineStr">
        <is>
          <t>1. Send request returning application/json body of size 0 B (empty).
2. Switch viewer to Pretty.
3. Inspect rendering and responsiveness.</t>
        </is>
      </c>
      <c r="H2169" s="16" t="inlineStr">
        <is>
          <t>ct=application/json size=0 B (empty) view=Pretty</t>
        </is>
      </c>
      <c r="I2169" s="16" t="inlineStr">
        <is>
          <t>Pretty renders appropriately for application/json at 0 B (empty). For sizes &gt;= 1 MB, preview cap may kick in with download CTA. UI remains responsive; no freeze.</t>
        </is>
      </c>
      <c r="J2169" s="16" t="inlineStr"/>
      <c r="K2169" s="16" t="inlineStr">
        <is>
          <t>Not Run</t>
        </is>
      </c>
      <c r="L2169" s="16" t="inlineStr">
        <is>
          <t>Medium</t>
        </is>
      </c>
      <c r="M2169" s="16" t="inlineStr"/>
      <c r="N2169" s="16" t="inlineStr"/>
      <c r="O2169" s="16" t="inlineStr"/>
    </row>
    <row r="2170" ht="72" customHeight="1">
      <c r="A2170" s="16" t="inlineStr">
        <is>
          <t>TC-RP-0116</t>
        </is>
      </c>
      <c r="B2170" s="16" t="inlineStr">
        <is>
          <t>Response Panel</t>
        </is>
      </c>
      <c r="C2170" s="16" t="inlineStr">
        <is>
          <t>Viewer Matrix</t>
        </is>
      </c>
      <c r="D2170" s="16" t="inlineStr">
        <is>
          <t>Functional</t>
        </is>
      </c>
      <c r="E2170" s="16" t="inlineStr">
        <is>
          <t>Response body application/json at 0 B (empty) in Raw viewer</t>
        </is>
      </c>
      <c r="F2170" s="16" t="inlineStr">
        <is>
          <t>-</t>
        </is>
      </c>
      <c r="G2170" s="16" t="inlineStr">
        <is>
          <t>1. Send request returning application/json body of size 0 B (empty).
2. Switch viewer to Raw.
3. Inspect rendering and responsiveness.</t>
        </is>
      </c>
      <c r="H2170" s="16" t="inlineStr">
        <is>
          <t>ct=application/json size=0 B (empty) view=Raw</t>
        </is>
      </c>
      <c r="I2170" s="16" t="inlineStr">
        <is>
          <t>Raw renders appropriately for application/json at 0 B (empty). For sizes &gt;= 1 MB, preview cap may kick in with download CTA. UI remains responsive; no freeze.</t>
        </is>
      </c>
      <c r="J2170" s="16" t="inlineStr"/>
      <c r="K2170" s="16" t="inlineStr">
        <is>
          <t>Not Run</t>
        </is>
      </c>
      <c r="L2170" s="16" t="inlineStr">
        <is>
          <t>Medium</t>
        </is>
      </c>
      <c r="M2170" s="16" t="inlineStr"/>
      <c r="N2170" s="16" t="inlineStr"/>
      <c r="O2170" s="16" t="inlineStr"/>
    </row>
    <row r="2171" ht="72" customHeight="1">
      <c r="A2171" s="16" t="inlineStr">
        <is>
          <t>TC-RP-0117</t>
        </is>
      </c>
      <c r="B2171" s="16" t="inlineStr">
        <is>
          <t>Response Panel</t>
        </is>
      </c>
      <c r="C2171" s="16" t="inlineStr">
        <is>
          <t>Viewer Matrix</t>
        </is>
      </c>
      <c r="D2171" s="16" t="inlineStr">
        <is>
          <t>Functional</t>
        </is>
      </c>
      <c r="E2171" s="16" t="inlineStr">
        <is>
          <t>Response body application/json at 0 B (empty) in Preview viewer</t>
        </is>
      </c>
      <c r="F2171" s="16" t="inlineStr">
        <is>
          <t>-</t>
        </is>
      </c>
      <c r="G2171" s="16" t="inlineStr">
        <is>
          <t>1. Send request returning application/json body of size 0 B (empty).
2. Switch viewer to Preview.
3. Inspect rendering and responsiveness.</t>
        </is>
      </c>
      <c r="H2171" s="16" t="inlineStr">
        <is>
          <t>ct=application/json size=0 B (empty) view=Preview</t>
        </is>
      </c>
      <c r="I2171" s="16" t="inlineStr">
        <is>
          <t>Preview renders appropriately for application/json at 0 B (empty). For sizes &gt;= 1 MB, preview cap may kick in with download CTA. UI remains responsive; no freeze.</t>
        </is>
      </c>
      <c r="J2171" s="16" t="inlineStr"/>
      <c r="K2171" s="16" t="inlineStr">
        <is>
          <t>Not Run</t>
        </is>
      </c>
      <c r="L2171" s="16" t="inlineStr">
        <is>
          <t>Medium</t>
        </is>
      </c>
      <c r="M2171" s="16" t="inlineStr"/>
      <c r="N2171" s="16" t="inlineStr"/>
      <c r="O2171" s="16" t="inlineStr"/>
    </row>
    <row r="2172" ht="72" customHeight="1">
      <c r="A2172" s="16" t="inlineStr">
        <is>
          <t>TC-RP-0118</t>
        </is>
      </c>
      <c r="B2172" s="16" t="inlineStr">
        <is>
          <t>Response Panel</t>
        </is>
      </c>
      <c r="C2172" s="16" t="inlineStr">
        <is>
          <t>Viewer Matrix</t>
        </is>
      </c>
      <c r="D2172" s="16" t="inlineStr">
        <is>
          <t>Functional</t>
        </is>
      </c>
      <c r="E2172" s="16" t="inlineStr">
        <is>
          <t>Response body application/xml at 0 B (empty) in Pretty viewer</t>
        </is>
      </c>
      <c r="F2172" s="16" t="inlineStr">
        <is>
          <t>-</t>
        </is>
      </c>
      <c r="G2172" s="16" t="inlineStr">
        <is>
          <t>1. Send request returning application/xml body of size 0 B (empty).
2. Switch viewer to Pretty.
3. Inspect rendering and responsiveness.</t>
        </is>
      </c>
      <c r="H2172" s="16" t="inlineStr">
        <is>
          <t>ct=application/xml size=0 B (empty) view=Pretty</t>
        </is>
      </c>
      <c r="I2172" s="16" t="inlineStr">
        <is>
          <t>Pretty renders appropriately for application/xml at 0 B (empty). For sizes &gt;= 1 MB, preview cap may kick in with download CTA. UI remains responsive; no freeze.</t>
        </is>
      </c>
      <c r="J2172" s="16" t="inlineStr"/>
      <c r="K2172" s="16" t="inlineStr">
        <is>
          <t>Not Run</t>
        </is>
      </c>
      <c r="L2172" s="16" t="inlineStr">
        <is>
          <t>Medium</t>
        </is>
      </c>
      <c r="M2172" s="16" t="inlineStr"/>
      <c r="N2172" s="16" t="inlineStr"/>
      <c r="O2172" s="16" t="inlineStr"/>
    </row>
    <row r="2173" ht="72" customHeight="1">
      <c r="A2173" s="16" t="inlineStr">
        <is>
          <t>TC-RP-0119</t>
        </is>
      </c>
      <c r="B2173" s="16" t="inlineStr">
        <is>
          <t>Response Panel</t>
        </is>
      </c>
      <c r="C2173" s="16" t="inlineStr">
        <is>
          <t>Viewer Matrix</t>
        </is>
      </c>
      <c r="D2173" s="16" t="inlineStr">
        <is>
          <t>Functional</t>
        </is>
      </c>
      <c r="E2173" s="16" t="inlineStr">
        <is>
          <t>Response body application/xml at 0 B (empty) in Raw viewer</t>
        </is>
      </c>
      <c r="F2173" s="16" t="inlineStr">
        <is>
          <t>-</t>
        </is>
      </c>
      <c r="G2173" s="16" t="inlineStr">
        <is>
          <t>1. Send request returning application/xml body of size 0 B (empty).
2. Switch viewer to Raw.
3. Inspect rendering and responsiveness.</t>
        </is>
      </c>
      <c r="H2173" s="16" t="inlineStr">
        <is>
          <t>ct=application/xml size=0 B (empty) view=Raw</t>
        </is>
      </c>
      <c r="I2173" s="16" t="inlineStr">
        <is>
          <t>Raw renders appropriately for application/xml at 0 B (empty). For sizes &gt;= 1 MB, preview cap may kick in with download CTA. UI remains responsive; no freeze.</t>
        </is>
      </c>
      <c r="J2173" s="16" t="inlineStr"/>
      <c r="K2173" s="16" t="inlineStr">
        <is>
          <t>Not Run</t>
        </is>
      </c>
      <c r="L2173" s="16" t="inlineStr">
        <is>
          <t>Medium</t>
        </is>
      </c>
      <c r="M2173" s="16" t="inlineStr"/>
      <c r="N2173" s="16" t="inlineStr"/>
      <c r="O2173" s="16" t="inlineStr"/>
    </row>
    <row r="2174" ht="72" customHeight="1">
      <c r="A2174" s="16" t="inlineStr">
        <is>
          <t>TC-RP-0120</t>
        </is>
      </c>
      <c r="B2174" s="16" t="inlineStr">
        <is>
          <t>Response Panel</t>
        </is>
      </c>
      <c r="C2174" s="16" t="inlineStr">
        <is>
          <t>Viewer Matrix</t>
        </is>
      </c>
      <c r="D2174" s="16" t="inlineStr">
        <is>
          <t>Functional</t>
        </is>
      </c>
      <c r="E2174" s="16" t="inlineStr">
        <is>
          <t>Response body application/xml at 0 B (empty) in Preview viewer</t>
        </is>
      </c>
      <c r="F2174" s="16" t="inlineStr">
        <is>
          <t>-</t>
        </is>
      </c>
      <c r="G2174" s="16" t="inlineStr">
        <is>
          <t>1. Send request returning application/xml body of size 0 B (empty).
2. Switch viewer to Preview.
3. Inspect rendering and responsiveness.</t>
        </is>
      </c>
      <c r="H2174" s="16" t="inlineStr">
        <is>
          <t>ct=application/xml size=0 B (empty) view=Preview</t>
        </is>
      </c>
      <c r="I2174" s="16" t="inlineStr">
        <is>
          <t>Preview renders appropriately for application/xml at 0 B (empty). For sizes &gt;= 1 MB, preview cap may kick in with download CTA. UI remains responsive; no freeze.</t>
        </is>
      </c>
      <c r="J2174" s="16" t="inlineStr"/>
      <c r="K2174" s="16" t="inlineStr">
        <is>
          <t>Not Run</t>
        </is>
      </c>
      <c r="L2174" s="16" t="inlineStr">
        <is>
          <t>Medium</t>
        </is>
      </c>
      <c r="M2174" s="16" t="inlineStr"/>
      <c r="N2174" s="16" t="inlineStr"/>
      <c r="O2174" s="16" t="inlineStr"/>
    </row>
    <row r="2175" ht="72" customHeight="1">
      <c r="A2175" s="16" t="inlineStr">
        <is>
          <t>TC-RP-0121</t>
        </is>
      </c>
      <c r="B2175" s="16" t="inlineStr">
        <is>
          <t>Response Panel</t>
        </is>
      </c>
      <c r="C2175" s="16" t="inlineStr">
        <is>
          <t>Viewer Matrix</t>
        </is>
      </c>
      <c r="D2175" s="16" t="inlineStr">
        <is>
          <t>Functional</t>
        </is>
      </c>
      <c r="E2175" s="16" t="inlineStr">
        <is>
          <t>Response body text/html at 0 B (empty) in Pretty viewer</t>
        </is>
      </c>
      <c r="F2175" s="16" t="inlineStr">
        <is>
          <t>-</t>
        </is>
      </c>
      <c r="G2175" s="16" t="inlineStr">
        <is>
          <t>1. Send request returning text/html body of size 0 B (empty).
2. Switch viewer to Pretty.
3. Inspect rendering and responsiveness.</t>
        </is>
      </c>
      <c r="H2175" s="16" t="inlineStr">
        <is>
          <t>ct=text/html size=0 B (empty) view=Pretty</t>
        </is>
      </c>
      <c r="I2175" s="16" t="inlineStr">
        <is>
          <t>Pretty renders appropriately for text/html at 0 B (empty). For sizes &gt;= 1 MB, preview cap may kick in with download CTA. UI remains responsive; no freeze.</t>
        </is>
      </c>
      <c r="J2175" s="16" t="inlineStr"/>
      <c r="K2175" s="16" t="inlineStr">
        <is>
          <t>Not Run</t>
        </is>
      </c>
      <c r="L2175" s="16" t="inlineStr">
        <is>
          <t>Medium</t>
        </is>
      </c>
      <c r="M2175" s="16" t="inlineStr"/>
      <c r="N2175" s="16" t="inlineStr"/>
      <c r="O2175" s="16" t="inlineStr"/>
    </row>
    <row r="2176" ht="72" customHeight="1">
      <c r="A2176" s="16" t="inlineStr">
        <is>
          <t>TC-RP-0122</t>
        </is>
      </c>
      <c r="B2176" s="16" t="inlineStr">
        <is>
          <t>Response Panel</t>
        </is>
      </c>
      <c r="C2176" s="16" t="inlineStr">
        <is>
          <t>Viewer Matrix</t>
        </is>
      </c>
      <c r="D2176" s="16" t="inlineStr">
        <is>
          <t>Functional</t>
        </is>
      </c>
      <c r="E2176" s="16" t="inlineStr">
        <is>
          <t>Response body text/html at 0 B (empty) in Raw viewer</t>
        </is>
      </c>
      <c r="F2176" s="16" t="inlineStr">
        <is>
          <t>-</t>
        </is>
      </c>
      <c r="G2176" s="16" t="inlineStr">
        <is>
          <t>1. Send request returning text/html body of size 0 B (empty).
2. Switch viewer to Raw.
3. Inspect rendering and responsiveness.</t>
        </is>
      </c>
      <c r="H2176" s="16" t="inlineStr">
        <is>
          <t>ct=text/html size=0 B (empty) view=Raw</t>
        </is>
      </c>
      <c r="I2176" s="16" t="inlineStr">
        <is>
          <t>Raw renders appropriately for text/html at 0 B (empty). For sizes &gt;= 1 MB, preview cap may kick in with download CTA. UI remains responsive; no freeze.</t>
        </is>
      </c>
      <c r="J2176" s="16" t="inlineStr"/>
      <c r="K2176" s="16" t="inlineStr">
        <is>
          <t>Not Run</t>
        </is>
      </c>
      <c r="L2176" s="16" t="inlineStr">
        <is>
          <t>Medium</t>
        </is>
      </c>
      <c r="M2176" s="16" t="inlineStr"/>
      <c r="N2176" s="16" t="inlineStr"/>
      <c r="O2176" s="16" t="inlineStr"/>
    </row>
    <row r="2177" ht="72" customHeight="1">
      <c r="A2177" s="16" t="inlineStr">
        <is>
          <t>TC-RP-0123</t>
        </is>
      </c>
      <c r="B2177" s="16" t="inlineStr">
        <is>
          <t>Response Panel</t>
        </is>
      </c>
      <c r="C2177" s="16" t="inlineStr">
        <is>
          <t>Viewer Matrix</t>
        </is>
      </c>
      <c r="D2177" s="16" t="inlineStr">
        <is>
          <t>Functional</t>
        </is>
      </c>
      <c r="E2177" s="16" t="inlineStr">
        <is>
          <t>Response body text/html at 0 B (empty) in Preview viewer</t>
        </is>
      </c>
      <c r="F2177" s="16" t="inlineStr">
        <is>
          <t>-</t>
        </is>
      </c>
      <c r="G2177" s="16" t="inlineStr">
        <is>
          <t>1. Send request returning text/html body of size 0 B (empty).
2. Switch viewer to Preview.
3. Inspect rendering and responsiveness.</t>
        </is>
      </c>
      <c r="H2177" s="16" t="inlineStr">
        <is>
          <t>ct=text/html size=0 B (empty) view=Preview</t>
        </is>
      </c>
      <c r="I2177" s="16" t="inlineStr">
        <is>
          <t>Preview renders appropriately for text/html at 0 B (empty). For sizes &gt;= 1 MB, preview cap may kick in with download CTA. UI remains responsive; no freeze.</t>
        </is>
      </c>
      <c r="J2177" s="16" t="inlineStr"/>
      <c r="K2177" s="16" t="inlineStr">
        <is>
          <t>Not Run</t>
        </is>
      </c>
      <c r="L2177" s="16" t="inlineStr">
        <is>
          <t>Medium</t>
        </is>
      </c>
      <c r="M2177" s="16" t="inlineStr"/>
      <c r="N2177" s="16" t="inlineStr"/>
      <c r="O2177" s="16" t="inlineStr"/>
    </row>
    <row r="2178" ht="72" customHeight="1">
      <c r="A2178" s="16" t="inlineStr">
        <is>
          <t>TC-RP-0124</t>
        </is>
      </c>
      <c r="B2178" s="16" t="inlineStr">
        <is>
          <t>Response Panel</t>
        </is>
      </c>
      <c r="C2178" s="16" t="inlineStr">
        <is>
          <t>Viewer Matrix</t>
        </is>
      </c>
      <c r="D2178" s="16" t="inlineStr">
        <is>
          <t>Functional</t>
        </is>
      </c>
      <c r="E2178" s="16" t="inlineStr">
        <is>
          <t>Response body text/plain at 0 B (empty) in Pretty viewer</t>
        </is>
      </c>
      <c r="F2178" s="16" t="inlineStr">
        <is>
          <t>-</t>
        </is>
      </c>
      <c r="G2178" s="16" t="inlineStr">
        <is>
          <t>1. Send request returning text/plain body of size 0 B (empty).
2. Switch viewer to Pretty.
3. Inspect rendering and responsiveness.</t>
        </is>
      </c>
      <c r="H2178" s="16" t="inlineStr">
        <is>
          <t>ct=text/plain size=0 B (empty) view=Pretty</t>
        </is>
      </c>
      <c r="I2178" s="16" t="inlineStr">
        <is>
          <t>Pretty renders appropriately for text/plain at 0 B (empty). For sizes &gt;= 1 MB, preview cap may kick in with download CTA. UI remains responsive; no freeze.</t>
        </is>
      </c>
      <c r="J2178" s="16" t="inlineStr"/>
      <c r="K2178" s="16" t="inlineStr">
        <is>
          <t>Not Run</t>
        </is>
      </c>
      <c r="L2178" s="16" t="inlineStr">
        <is>
          <t>Medium</t>
        </is>
      </c>
      <c r="M2178" s="16" t="inlineStr"/>
      <c r="N2178" s="16" t="inlineStr"/>
      <c r="O2178" s="16" t="inlineStr"/>
    </row>
    <row r="2179" ht="72" customHeight="1">
      <c r="A2179" s="16" t="inlineStr">
        <is>
          <t>TC-RP-0125</t>
        </is>
      </c>
      <c r="B2179" s="16" t="inlineStr">
        <is>
          <t>Response Panel</t>
        </is>
      </c>
      <c r="C2179" s="16" t="inlineStr">
        <is>
          <t>Viewer Matrix</t>
        </is>
      </c>
      <c r="D2179" s="16" t="inlineStr">
        <is>
          <t>Functional</t>
        </is>
      </c>
      <c r="E2179" s="16" t="inlineStr">
        <is>
          <t>Response body text/plain at 0 B (empty) in Raw viewer</t>
        </is>
      </c>
      <c r="F2179" s="16" t="inlineStr">
        <is>
          <t>-</t>
        </is>
      </c>
      <c r="G2179" s="16" t="inlineStr">
        <is>
          <t>1. Send request returning text/plain body of size 0 B (empty).
2. Switch viewer to Raw.
3. Inspect rendering and responsiveness.</t>
        </is>
      </c>
      <c r="H2179" s="16" t="inlineStr">
        <is>
          <t>ct=text/plain size=0 B (empty) view=Raw</t>
        </is>
      </c>
      <c r="I2179" s="16" t="inlineStr">
        <is>
          <t>Raw renders appropriately for text/plain at 0 B (empty). For sizes &gt;= 1 MB, preview cap may kick in with download CTA. UI remains responsive; no freeze.</t>
        </is>
      </c>
      <c r="J2179" s="16" t="inlineStr"/>
      <c r="K2179" s="16" t="inlineStr">
        <is>
          <t>Not Run</t>
        </is>
      </c>
      <c r="L2179" s="16" t="inlineStr">
        <is>
          <t>Medium</t>
        </is>
      </c>
      <c r="M2179" s="16" t="inlineStr"/>
      <c r="N2179" s="16" t="inlineStr"/>
      <c r="O2179" s="16" t="inlineStr"/>
    </row>
    <row r="2180" ht="72" customHeight="1">
      <c r="A2180" s="16" t="inlineStr">
        <is>
          <t>TC-RP-0126</t>
        </is>
      </c>
      <c r="B2180" s="16" t="inlineStr">
        <is>
          <t>Response Panel</t>
        </is>
      </c>
      <c r="C2180" s="16" t="inlineStr">
        <is>
          <t>Viewer Matrix</t>
        </is>
      </c>
      <c r="D2180" s="16" t="inlineStr">
        <is>
          <t>Functional</t>
        </is>
      </c>
      <c r="E2180" s="16" t="inlineStr">
        <is>
          <t>Response body text/plain at 0 B (empty) in Preview viewer</t>
        </is>
      </c>
      <c r="F2180" s="16" t="inlineStr">
        <is>
          <t>-</t>
        </is>
      </c>
      <c r="G2180" s="16" t="inlineStr">
        <is>
          <t>1. Send request returning text/plain body of size 0 B (empty).
2. Switch viewer to Preview.
3. Inspect rendering and responsiveness.</t>
        </is>
      </c>
      <c r="H2180" s="16" t="inlineStr">
        <is>
          <t>ct=text/plain size=0 B (empty) view=Preview</t>
        </is>
      </c>
      <c r="I2180" s="16" t="inlineStr">
        <is>
          <t>Preview renders appropriately for text/plain at 0 B (empty). For sizes &gt;= 1 MB, preview cap may kick in with download CTA. UI remains responsive; no freeze.</t>
        </is>
      </c>
      <c r="J2180" s="16" t="inlineStr"/>
      <c r="K2180" s="16" t="inlineStr">
        <is>
          <t>Not Run</t>
        </is>
      </c>
      <c r="L2180" s="16" t="inlineStr">
        <is>
          <t>Medium</t>
        </is>
      </c>
      <c r="M2180" s="16" t="inlineStr"/>
      <c r="N2180" s="16" t="inlineStr"/>
      <c r="O2180" s="16" t="inlineStr"/>
    </row>
    <row r="2181" ht="72" customHeight="1">
      <c r="A2181" s="16" t="inlineStr">
        <is>
          <t>TC-RP-0127</t>
        </is>
      </c>
      <c r="B2181" s="16" t="inlineStr">
        <is>
          <t>Response Panel</t>
        </is>
      </c>
      <c r="C2181" s="16" t="inlineStr">
        <is>
          <t>Viewer Matrix</t>
        </is>
      </c>
      <c r="D2181" s="16" t="inlineStr">
        <is>
          <t>Functional</t>
        </is>
      </c>
      <c r="E2181" s="16" t="inlineStr">
        <is>
          <t>Response body application/octet-stream at 0 B (empty) in Pretty viewer</t>
        </is>
      </c>
      <c r="F2181" s="16" t="inlineStr">
        <is>
          <t>-</t>
        </is>
      </c>
      <c r="G2181" s="16" t="inlineStr">
        <is>
          <t>1. Send request returning application/octet-stream body of size 0 B (empty).
2. Switch viewer to Pretty.
3. Inspect rendering and responsiveness.</t>
        </is>
      </c>
      <c r="H2181" s="16" t="inlineStr">
        <is>
          <t>ct=application/octet-stream size=0 B (empty) view=Pretty</t>
        </is>
      </c>
      <c r="I2181" s="16" t="inlineStr">
        <is>
          <t>Pretty renders appropriately for application/octet-stream at 0 B (empty). For sizes &gt;= 1 MB, preview cap may kick in with download CTA. UI remains responsive; no freeze.</t>
        </is>
      </c>
      <c r="J2181" s="16" t="inlineStr"/>
      <c r="K2181" s="16" t="inlineStr">
        <is>
          <t>Not Run</t>
        </is>
      </c>
      <c r="L2181" s="16" t="inlineStr">
        <is>
          <t>Medium</t>
        </is>
      </c>
      <c r="M2181" s="16" t="inlineStr"/>
      <c r="N2181" s="16" t="inlineStr"/>
      <c r="O2181" s="16" t="inlineStr"/>
    </row>
    <row r="2182" ht="72" customHeight="1">
      <c r="A2182" s="16" t="inlineStr">
        <is>
          <t>TC-RP-0128</t>
        </is>
      </c>
      <c r="B2182" s="16" t="inlineStr">
        <is>
          <t>Response Panel</t>
        </is>
      </c>
      <c r="C2182" s="16" t="inlineStr">
        <is>
          <t>Viewer Matrix</t>
        </is>
      </c>
      <c r="D2182" s="16" t="inlineStr">
        <is>
          <t>Functional</t>
        </is>
      </c>
      <c r="E2182" s="16" t="inlineStr">
        <is>
          <t>Response body application/octet-stream at 0 B (empty) in Raw viewer</t>
        </is>
      </c>
      <c r="F2182" s="16" t="inlineStr">
        <is>
          <t>-</t>
        </is>
      </c>
      <c r="G2182" s="16" t="inlineStr">
        <is>
          <t>1. Send request returning application/octet-stream body of size 0 B (empty).
2. Switch viewer to Raw.
3. Inspect rendering and responsiveness.</t>
        </is>
      </c>
      <c r="H2182" s="16" t="inlineStr">
        <is>
          <t>ct=application/octet-stream size=0 B (empty) view=Raw</t>
        </is>
      </c>
      <c r="I2182" s="16" t="inlineStr">
        <is>
          <t>Raw renders appropriately for application/octet-stream at 0 B (empty). For sizes &gt;= 1 MB, preview cap may kick in with download CTA. UI remains responsive; no freeze.</t>
        </is>
      </c>
      <c r="J2182" s="16" t="inlineStr"/>
      <c r="K2182" s="16" t="inlineStr">
        <is>
          <t>Not Run</t>
        </is>
      </c>
      <c r="L2182" s="16" t="inlineStr">
        <is>
          <t>Medium</t>
        </is>
      </c>
      <c r="M2182" s="16" t="inlineStr"/>
      <c r="N2182" s="16" t="inlineStr"/>
      <c r="O2182" s="16" t="inlineStr"/>
    </row>
    <row r="2183" ht="72" customHeight="1">
      <c r="A2183" s="16" t="inlineStr">
        <is>
          <t>TC-RP-0129</t>
        </is>
      </c>
      <c r="B2183" s="16" t="inlineStr">
        <is>
          <t>Response Panel</t>
        </is>
      </c>
      <c r="C2183" s="16" t="inlineStr">
        <is>
          <t>Viewer Matrix</t>
        </is>
      </c>
      <c r="D2183" s="16" t="inlineStr">
        <is>
          <t>Functional</t>
        </is>
      </c>
      <c r="E2183" s="16" t="inlineStr">
        <is>
          <t>Response body application/octet-stream at 0 B (empty) in Preview viewer</t>
        </is>
      </c>
      <c r="F2183" s="16" t="inlineStr">
        <is>
          <t>-</t>
        </is>
      </c>
      <c r="G2183" s="16" t="inlineStr">
        <is>
          <t>1. Send request returning application/octet-stream body of size 0 B (empty).
2. Switch viewer to Preview.
3. Inspect rendering and responsiveness.</t>
        </is>
      </c>
      <c r="H2183" s="16" t="inlineStr">
        <is>
          <t>ct=application/octet-stream size=0 B (empty) view=Preview</t>
        </is>
      </c>
      <c r="I2183" s="16" t="inlineStr">
        <is>
          <t>Preview renders appropriately for application/octet-stream at 0 B (empty). For sizes &gt;= 1 MB, preview cap may kick in with download CTA. UI remains responsive; no freeze.</t>
        </is>
      </c>
      <c r="J2183" s="16" t="inlineStr"/>
      <c r="K2183" s="16" t="inlineStr">
        <is>
          <t>Not Run</t>
        </is>
      </c>
      <c r="L2183" s="16" t="inlineStr">
        <is>
          <t>Medium</t>
        </is>
      </c>
      <c r="M2183" s="16" t="inlineStr"/>
      <c r="N2183" s="16" t="inlineStr"/>
      <c r="O2183" s="16" t="inlineStr"/>
    </row>
    <row r="2184" ht="72" customHeight="1">
      <c r="A2184" s="16" t="inlineStr">
        <is>
          <t>TC-RP-0130</t>
        </is>
      </c>
      <c r="B2184" s="16" t="inlineStr">
        <is>
          <t>Response Panel</t>
        </is>
      </c>
      <c r="C2184" s="16" t="inlineStr">
        <is>
          <t>Viewer Matrix</t>
        </is>
      </c>
      <c r="D2184" s="16" t="inlineStr">
        <is>
          <t>Functional</t>
        </is>
      </c>
      <c r="E2184" s="16" t="inlineStr">
        <is>
          <t>Response body text/csv at 0 B (empty) in Pretty viewer</t>
        </is>
      </c>
      <c r="F2184" s="16" t="inlineStr">
        <is>
          <t>-</t>
        </is>
      </c>
      <c r="G2184" s="16" t="inlineStr">
        <is>
          <t>1. Send request returning text/csv body of size 0 B (empty).
2. Switch viewer to Pretty.
3. Inspect rendering and responsiveness.</t>
        </is>
      </c>
      <c r="H2184" s="16" t="inlineStr">
        <is>
          <t>ct=text/csv size=0 B (empty) view=Pretty</t>
        </is>
      </c>
      <c r="I2184" s="16" t="inlineStr">
        <is>
          <t>Pretty renders appropriately for text/csv at 0 B (empty). For sizes &gt;= 1 MB, preview cap may kick in with download CTA. UI remains responsive; no freeze.</t>
        </is>
      </c>
      <c r="J2184" s="16" t="inlineStr"/>
      <c r="K2184" s="16" t="inlineStr">
        <is>
          <t>Not Run</t>
        </is>
      </c>
      <c r="L2184" s="16" t="inlineStr">
        <is>
          <t>Medium</t>
        </is>
      </c>
      <c r="M2184" s="16" t="inlineStr"/>
      <c r="N2184" s="16" t="inlineStr"/>
      <c r="O2184" s="16" t="inlineStr"/>
    </row>
    <row r="2185" ht="72" customHeight="1">
      <c r="A2185" s="16" t="inlineStr">
        <is>
          <t>TC-RP-0131</t>
        </is>
      </c>
      <c r="B2185" s="16" t="inlineStr">
        <is>
          <t>Response Panel</t>
        </is>
      </c>
      <c r="C2185" s="16" t="inlineStr">
        <is>
          <t>Viewer Matrix</t>
        </is>
      </c>
      <c r="D2185" s="16" t="inlineStr">
        <is>
          <t>Functional</t>
        </is>
      </c>
      <c r="E2185" s="16" t="inlineStr">
        <is>
          <t>Response body text/csv at 0 B (empty) in Raw viewer</t>
        </is>
      </c>
      <c r="F2185" s="16" t="inlineStr">
        <is>
          <t>-</t>
        </is>
      </c>
      <c r="G2185" s="16" t="inlineStr">
        <is>
          <t>1. Send request returning text/csv body of size 0 B (empty).
2. Switch viewer to Raw.
3. Inspect rendering and responsiveness.</t>
        </is>
      </c>
      <c r="H2185" s="16" t="inlineStr">
        <is>
          <t>ct=text/csv size=0 B (empty) view=Raw</t>
        </is>
      </c>
      <c r="I2185" s="16" t="inlineStr">
        <is>
          <t>Raw renders appropriately for text/csv at 0 B (empty). For sizes &gt;= 1 MB, preview cap may kick in with download CTA. UI remains responsive; no freeze.</t>
        </is>
      </c>
      <c r="J2185" s="16" t="inlineStr"/>
      <c r="K2185" s="16" t="inlineStr">
        <is>
          <t>Not Run</t>
        </is>
      </c>
      <c r="L2185" s="16" t="inlineStr">
        <is>
          <t>Medium</t>
        </is>
      </c>
      <c r="M2185" s="16" t="inlineStr"/>
      <c r="N2185" s="16" t="inlineStr"/>
      <c r="O2185" s="16" t="inlineStr"/>
    </row>
    <row r="2186" ht="72" customHeight="1">
      <c r="A2186" s="16" t="inlineStr">
        <is>
          <t>TC-RP-0132</t>
        </is>
      </c>
      <c r="B2186" s="16" t="inlineStr">
        <is>
          <t>Response Panel</t>
        </is>
      </c>
      <c r="C2186" s="16" t="inlineStr">
        <is>
          <t>Viewer Matrix</t>
        </is>
      </c>
      <c r="D2186" s="16" t="inlineStr">
        <is>
          <t>Functional</t>
        </is>
      </c>
      <c r="E2186" s="16" t="inlineStr">
        <is>
          <t>Response body text/csv at 0 B (empty) in Preview viewer</t>
        </is>
      </c>
      <c r="F2186" s="16" t="inlineStr">
        <is>
          <t>-</t>
        </is>
      </c>
      <c r="G2186" s="16" t="inlineStr">
        <is>
          <t>1. Send request returning text/csv body of size 0 B (empty).
2. Switch viewer to Preview.
3. Inspect rendering and responsiveness.</t>
        </is>
      </c>
      <c r="H2186" s="16" t="inlineStr">
        <is>
          <t>ct=text/csv size=0 B (empty) view=Preview</t>
        </is>
      </c>
      <c r="I2186" s="16" t="inlineStr">
        <is>
          <t>Preview renders appropriately for text/csv at 0 B (empty). For sizes &gt;= 1 MB, preview cap may kick in with download CTA. UI remains responsive; no freeze.</t>
        </is>
      </c>
      <c r="J2186" s="16" t="inlineStr"/>
      <c r="K2186" s="16" t="inlineStr">
        <is>
          <t>Not Run</t>
        </is>
      </c>
      <c r="L2186" s="16" t="inlineStr">
        <is>
          <t>Medium</t>
        </is>
      </c>
      <c r="M2186" s="16" t="inlineStr"/>
      <c r="N2186" s="16" t="inlineStr"/>
      <c r="O2186" s="16" t="inlineStr"/>
    </row>
    <row r="2187" ht="72" customHeight="1">
      <c r="A2187" s="16" t="inlineStr">
        <is>
          <t>TC-RP-0133</t>
        </is>
      </c>
      <c r="B2187" s="16" t="inlineStr">
        <is>
          <t>Response Panel</t>
        </is>
      </c>
      <c r="C2187" s="16" t="inlineStr">
        <is>
          <t>Viewer Matrix</t>
        </is>
      </c>
      <c r="D2187" s="16" t="inlineStr">
        <is>
          <t>Functional</t>
        </is>
      </c>
      <c r="E2187" s="16" t="inlineStr">
        <is>
          <t>Response body image/png at 0 B (empty) in Pretty viewer</t>
        </is>
      </c>
      <c r="F2187" s="16" t="inlineStr">
        <is>
          <t>-</t>
        </is>
      </c>
      <c r="G2187" s="16" t="inlineStr">
        <is>
          <t>1. Send request returning image/png body of size 0 B (empty).
2. Switch viewer to Pretty.
3. Inspect rendering and responsiveness.</t>
        </is>
      </c>
      <c r="H2187" s="16" t="inlineStr">
        <is>
          <t>ct=image/png size=0 B (empty) view=Pretty</t>
        </is>
      </c>
      <c r="I2187" s="16" t="inlineStr">
        <is>
          <t>Pretty renders appropriately for image/png at 0 B (empty). For sizes &gt;= 1 MB, preview cap may kick in with download CTA. UI remains responsive; no freeze.</t>
        </is>
      </c>
      <c r="J2187" s="16" t="inlineStr"/>
      <c r="K2187" s="16" t="inlineStr">
        <is>
          <t>Not Run</t>
        </is>
      </c>
      <c r="L2187" s="16" t="inlineStr">
        <is>
          <t>Medium</t>
        </is>
      </c>
      <c r="M2187" s="16" t="inlineStr"/>
      <c r="N2187" s="16" t="inlineStr"/>
      <c r="O2187" s="16" t="inlineStr"/>
    </row>
    <row r="2188" ht="72" customHeight="1">
      <c r="A2188" s="16" t="inlineStr">
        <is>
          <t>TC-RP-0134</t>
        </is>
      </c>
      <c r="B2188" s="16" t="inlineStr">
        <is>
          <t>Response Panel</t>
        </is>
      </c>
      <c r="C2188" s="16" t="inlineStr">
        <is>
          <t>Viewer Matrix</t>
        </is>
      </c>
      <c r="D2188" s="16" t="inlineStr">
        <is>
          <t>Functional</t>
        </is>
      </c>
      <c r="E2188" s="16" t="inlineStr">
        <is>
          <t>Response body image/png at 0 B (empty) in Raw viewer</t>
        </is>
      </c>
      <c r="F2188" s="16" t="inlineStr">
        <is>
          <t>-</t>
        </is>
      </c>
      <c r="G2188" s="16" t="inlineStr">
        <is>
          <t>1. Send request returning image/png body of size 0 B (empty).
2. Switch viewer to Raw.
3. Inspect rendering and responsiveness.</t>
        </is>
      </c>
      <c r="H2188" s="16" t="inlineStr">
        <is>
          <t>ct=image/png size=0 B (empty) view=Raw</t>
        </is>
      </c>
      <c r="I2188" s="16" t="inlineStr">
        <is>
          <t>Raw renders appropriately for image/png at 0 B (empty). For sizes &gt;= 1 MB, preview cap may kick in with download CTA. UI remains responsive; no freeze.</t>
        </is>
      </c>
      <c r="J2188" s="16" t="inlineStr"/>
      <c r="K2188" s="16" t="inlineStr">
        <is>
          <t>Not Run</t>
        </is>
      </c>
      <c r="L2188" s="16" t="inlineStr">
        <is>
          <t>Medium</t>
        </is>
      </c>
      <c r="M2188" s="16" t="inlineStr"/>
      <c r="N2188" s="16" t="inlineStr"/>
      <c r="O2188" s="16" t="inlineStr"/>
    </row>
    <row r="2189" ht="72" customHeight="1">
      <c r="A2189" s="16" t="inlineStr">
        <is>
          <t>TC-RP-0135</t>
        </is>
      </c>
      <c r="B2189" s="16" t="inlineStr">
        <is>
          <t>Response Panel</t>
        </is>
      </c>
      <c r="C2189" s="16" t="inlineStr">
        <is>
          <t>Viewer Matrix</t>
        </is>
      </c>
      <c r="D2189" s="16" t="inlineStr">
        <is>
          <t>Functional</t>
        </is>
      </c>
      <c r="E2189" s="16" t="inlineStr">
        <is>
          <t>Response body image/png at 0 B (empty) in Preview viewer</t>
        </is>
      </c>
      <c r="F2189" s="16" t="inlineStr">
        <is>
          <t>-</t>
        </is>
      </c>
      <c r="G2189" s="16" t="inlineStr">
        <is>
          <t>1. Send request returning image/png body of size 0 B (empty).
2. Switch viewer to Preview.
3. Inspect rendering and responsiveness.</t>
        </is>
      </c>
      <c r="H2189" s="16" t="inlineStr">
        <is>
          <t>ct=image/png size=0 B (empty) view=Preview</t>
        </is>
      </c>
      <c r="I2189" s="16" t="inlineStr">
        <is>
          <t>Preview renders appropriately for image/png at 0 B (empty). For sizes &gt;= 1 MB, preview cap may kick in with download CTA. UI remains responsive; no freeze.</t>
        </is>
      </c>
      <c r="J2189" s="16" t="inlineStr"/>
      <c r="K2189" s="16" t="inlineStr">
        <is>
          <t>Not Run</t>
        </is>
      </c>
      <c r="L2189" s="16" t="inlineStr">
        <is>
          <t>Medium</t>
        </is>
      </c>
      <c r="M2189" s="16" t="inlineStr"/>
      <c r="N2189" s="16" t="inlineStr"/>
      <c r="O2189" s="16" t="inlineStr"/>
    </row>
    <row r="2190" ht="72" customHeight="1">
      <c r="A2190" s="16" t="inlineStr">
        <is>
          <t>TC-RP-0136</t>
        </is>
      </c>
      <c r="B2190" s="16" t="inlineStr">
        <is>
          <t>Response Panel</t>
        </is>
      </c>
      <c r="C2190" s="16" t="inlineStr">
        <is>
          <t>Viewer Matrix</t>
        </is>
      </c>
      <c r="D2190" s="16" t="inlineStr">
        <is>
          <t>Functional</t>
        </is>
      </c>
      <c r="E2190" s="16" t="inlineStr">
        <is>
          <t>Response body image/jpeg at 0 B (empty) in Pretty viewer</t>
        </is>
      </c>
      <c r="F2190" s="16" t="inlineStr">
        <is>
          <t>-</t>
        </is>
      </c>
      <c r="G2190" s="16" t="inlineStr">
        <is>
          <t>1. Send request returning image/jpeg body of size 0 B (empty).
2. Switch viewer to Pretty.
3. Inspect rendering and responsiveness.</t>
        </is>
      </c>
      <c r="H2190" s="16" t="inlineStr">
        <is>
          <t>ct=image/jpeg size=0 B (empty) view=Pretty</t>
        </is>
      </c>
      <c r="I2190" s="16" t="inlineStr">
        <is>
          <t>Pretty renders appropriately for image/jpeg at 0 B (empty). For sizes &gt;= 1 MB, preview cap may kick in with download CTA. UI remains responsive; no freeze.</t>
        </is>
      </c>
      <c r="J2190" s="16" t="inlineStr"/>
      <c r="K2190" s="16" t="inlineStr">
        <is>
          <t>Not Run</t>
        </is>
      </c>
      <c r="L2190" s="16" t="inlineStr">
        <is>
          <t>Medium</t>
        </is>
      </c>
      <c r="M2190" s="16" t="inlineStr"/>
      <c r="N2190" s="16" t="inlineStr"/>
      <c r="O2190" s="16" t="inlineStr"/>
    </row>
    <row r="2191" ht="72" customHeight="1">
      <c r="A2191" s="16" t="inlineStr">
        <is>
          <t>TC-RP-0137</t>
        </is>
      </c>
      <c r="B2191" s="16" t="inlineStr">
        <is>
          <t>Response Panel</t>
        </is>
      </c>
      <c r="C2191" s="16" t="inlineStr">
        <is>
          <t>Viewer Matrix</t>
        </is>
      </c>
      <c r="D2191" s="16" t="inlineStr">
        <is>
          <t>Functional</t>
        </is>
      </c>
      <c r="E2191" s="16" t="inlineStr">
        <is>
          <t>Response body image/jpeg at 0 B (empty) in Raw viewer</t>
        </is>
      </c>
      <c r="F2191" s="16" t="inlineStr">
        <is>
          <t>-</t>
        </is>
      </c>
      <c r="G2191" s="16" t="inlineStr">
        <is>
          <t>1. Send request returning image/jpeg body of size 0 B (empty).
2. Switch viewer to Raw.
3. Inspect rendering and responsiveness.</t>
        </is>
      </c>
      <c r="H2191" s="16" t="inlineStr">
        <is>
          <t>ct=image/jpeg size=0 B (empty) view=Raw</t>
        </is>
      </c>
      <c r="I2191" s="16" t="inlineStr">
        <is>
          <t>Raw renders appropriately for image/jpeg at 0 B (empty). For sizes &gt;= 1 MB, preview cap may kick in with download CTA. UI remains responsive; no freeze.</t>
        </is>
      </c>
      <c r="J2191" s="16" t="inlineStr"/>
      <c r="K2191" s="16" t="inlineStr">
        <is>
          <t>Not Run</t>
        </is>
      </c>
      <c r="L2191" s="16" t="inlineStr">
        <is>
          <t>Medium</t>
        </is>
      </c>
      <c r="M2191" s="16" t="inlineStr"/>
      <c r="N2191" s="16" t="inlineStr"/>
      <c r="O2191" s="16" t="inlineStr"/>
    </row>
    <row r="2192" ht="72" customHeight="1">
      <c r="A2192" s="16" t="inlineStr">
        <is>
          <t>TC-RP-0138</t>
        </is>
      </c>
      <c r="B2192" s="16" t="inlineStr">
        <is>
          <t>Response Panel</t>
        </is>
      </c>
      <c r="C2192" s="16" t="inlineStr">
        <is>
          <t>Viewer Matrix</t>
        </is>
      </c>
      <c r="D2192" s="16" t="inlineStr">
        <is>
          <t>Functional</t>
        </is>
      </c>
      <c r="E2192" s="16" t="inlineStr">
        <is>
          <t>Response body image/jpeg at 0 B (empty) in Preview viewer</t>
        </is>
      </c>
      <c r="F2192" s="16" t="inlineStr">
        <is>
          <t>-</t>
        </is>
      </c>
      <c r="G2192" s="16" t="inlineStr">
        <is>
          <t>1. Send request returning image/jpeg body of size 0 B (empty).
2. Switch viewer to Preview.
3. Inspect rendering and responsiveness.</t>
        </is>
      </c>
      <c r="H2192" s="16" t="inlineStr">
        <is>
          <t>ct=image/jpeg size=0 B (empty) view=Preview</t>
        </is>
      </c>
      <c r="I2192" s="16" t="inlineStr">
        <is>
          <t>Preview renders appropriately for image/jpeg at 0 B (empty). For sizes &gt;= 1 MB, preview cap may kick in with download CTA. UI remains responsive; no freeze.</t>
        </is>
      </c>
      <c r="J2192" s="16" t="inlineStr"/>
      <c r="K2192" s="16" t="inlineStr">
        <is>
          <t>Not Run</t>
        </is>
      </c>
      <c r="L2192" s="16" t="inlineStr">
        <is>
          <t>Medium</t>
        </is>
      </c>
      <c r="M2192" s="16" t="inlineStr"/>
      <c r="N2192" s="16" t="inlineStr"/>
      <c r="O2192" s="16" t="inlineStr"/>
    </row>
    <row r="2193" ht="72" customHeight="1">
      <c r="A2193" s="16" t="inlineStr">
        <is>
          <t>TC-RP-0139</t>
        </is>
      </c>
      <c r="B2193" s="16" t="inlineStr">
        <is>
          <t>Response Panel</t>
        </is>
      </c>
      <c r="C2193" s="16" t="inlineStr">
        <is>
          <t>Viewer Matrix</t>
        </is>
      </c>
      <c r="D2193" s="16" t="inlineStr">
        <is>
          <t>Functional</t>
        </is>
      </c>
      <c r="E2193" s="16" t="inlineStr">
        <is>
          <t>Response body application/pdf at 0 B (empty) in Pretty viewer</t>
        </is>
      </c>
      <c r="F2193" s="16" t="inlineStr">
        <is>
          <t>-</t>
        </is>
      </c>
      <c r="G2193" s="16" t="inlineStr">
        <is>
          <t>1. Send request returning application/pdf body of size 0 B (empty).
2. Switch viewer to Pretty.
3. Inspect rendering and responsiveness.</t>
        </is>
      </c>
      <c r="H2193" s="16" t="inlineStr">
        <is>
          <t>ct=application/pdf size=0 B (empty) view=Pretty</t>
        </is>
      </c>
      <c r="I2193" s="16" t="inlineStr">
        <is>
          <t>Pretty renders appropriately for application/pdf at 0 B (empty). For sizes &gt;= 1 MB, preview cap may kick in with download CTA. UI remains responsive; no freeze.</t>
        </is>
      </c>
      <c r="J2193" s="16" t="inlineStr"/>
      <c r="K2193" s="16" t="inlineStr">
        <is>
          <t>Not Run</t>
        </is>
      </c>
      <c r="L2193" s="16" t="inlineStr">
        <is>
          <t>Medium</t>
        </is>
      </c>
      <c r="M2193" s="16" t="inlineStr"/>
      <c r="N2193" s="16" t="inlineStr"/>
      <c r="O2193" s="16" t="inlineStr"/>
    </row>
    <row r="2194" ht="72" customHeight="1">
      <c r="A2194" s="16" t="inlineStr">
        <is>
          <t>TC-RP-0140</t>
        </is>
      </c>
      <c r="B2194" s="16" t="inlineStr">
        <is>
          <t>Response Panel</t>
        </is>
      </c>
      <c r="C2194" s="16" t="inlineStr">
        <is>
          <t>Viewer Matrix</t>
        </is>
      </c>
      <c r="D2194" s="16" t="inlineStr">
        <is>
          <t>Functional</t>
        </is>
      </c>
      <c r="E2194" s="16" t="inlineStr">
        <is>
          <t>Response body application/pdf at 0 B (empty) in Raw viewer</t>
        </is>
      </c>
      <c r="F2194" s="16" t="inlineStr">
        <is>
          <t>-</t>
        </is>
      </c>
      <c r="G2194" s="16" t="inlineStr">
        <is>
          <t>1. Send request returning application/pdf body of size 0 B (empty).
2. Switch viewer to Raw.
3. Inspect rendering and responsiveness.</t>
        </is>
      </c>
      <c r="H2194" s="16" t="inlineStr">
        <is>
          <t>ct=application/pdf size=0 B (empty) view=Raw</t>
        </is>
      </c>
      <c r="I2194" s="16" t="inlineStr">
        <is>
          <t>Raw renders appropriately for application/pdf at 0 B (empty). For sizes &gt;= 1 MB, preview cap may kick in with download CTA. UI remains responsive; no freeze.</t>
        </is>
      </c>
      <c r="J2194" s="16" t="inlineStr"/>
      <c r="K2194" s="16" t="inlineStr">
        <is>
          <t>Not Run</t>
        </is>
      </c>
      <c r="L2194" s="16" t="inlineStr">
        <is>
          <t>Medium</t>
        </is>
      </c>
      <c r="M2194" s="16" t="inlineStr"/>
      <c r="N2194" s="16" t="inlineStr"/>
      <c r="O2194" s="16" t="inlineStr"/>
    </row>
    <row r="2195" ht="72" customHeight="1">
      <c r="A2195" s="16" t="inlineStr">
        <is>
          <t>TC-RP-0141</t>
        </is>
      </c>
      <c r="B2195" s="16" t="inlineStr">
        <is>
          <t>Response Panel</t>
        </is>
      </c>
      <c r="C2195" s="16" t="inlineStr">
        <is>
          <t>Viewer Matrix</t>
        </is>
      </c>
      <c r="D2195" s="16" t="inlineStr">
        <is>
          <t>Functional</t>
        </is>
      </c>
      <c r="E2195" s="16" t="inlineStr">
        <is>
          <t>Response body application/pdf at 0 B (empty) in Preview viewer</t>
        </is>
      </c>
      <c r="F2195" s="16" t="inlineStr">
        <is>
          <t>-</t>
        </is>
      </c>
      <c r="G2195" s="16" t="inlineStr">
        <is>
          <t>1. Send request returning application/pdf body of size 0 B (empty).
2. Switch viewer to Preview.
3. Inspect rendering and responsiveness.</t>
        </is>
      </c>
      <c r="H2195" s="16" t="inlineStr">
        <is>
          <t>ct=application/pdf size=0 B (empty) view=Preview</t>
        </is>
      </c>
      <c r="I2195" s="16" t="inlineStr">
        <is>
          <t>Preview renders appropriately for application/pdf at 0 B (empty). For sizes &gt;= 1 MB, preview cap may kick in with download CTA. UI remains responsive; no freeze.</t>
        </is>
      </c>
      <c r="J2195" s="16" t="inlineStr"/>
      <c r="K2195" s="16" t="inlineStr">
        <is>
          <t>Not Run</t>
        </is>
      </c>
      <c r="L2195" s="16" t="inlineStr">
        <is>
          <t>Medium</t>
        </is>
      </c>
      <c r="M2195" s="16" t="inlineStr"/>
      <c r="N2195" s="16" t="inlineStr"/>
      <c r="O2195" s="16" t="inlineStr"/>
    </row>
    <row r="2196" ht="72" customHeight="1">
      <c r="A2196" s="16" t="inlineStr">
        <is>
          <t>TC-RP-0142</t>
        </is>
      </c>
      <c r="B2196" s="16" t="inlineStr">
        <is>
          <t>Response Panel</t>
        </is>
      </c>
      <c r="C2196" s="16" t="inlineStr">
        <is>
          <t>Viewer Matrix</t>
        </is>
      </c>
      <c r="D2196" s="16" t="inlineStr">
        <is>
          <t>Functional</t>
        </is>
      </c>
      <c r="E2196" s="16" t="inlineStr">
        <is>
          <t>Response body text/event-stream at 0 B (empty) in Pretty viewer</t>
        </is>
      </c>
      <c r="F2196" s="16" t="inlineStr">
        <is>
          <t>-</t>
        </is>
      </c>
      <c r="G2196" s="16" t="inlineStr">
        <is>
          <t>1. Send request returning text/event-stream body of size 0 B (empty).
2. Switch viewer to Pretty.
3. Inspect rendering and responsiveness.</t>
        </is>
      </c>
      <c r="H2196" s="16" t="inlineStr">
        <is>
          <t>ct=text/event-stream size=0 B (empty) view=Pretty</t>
        </is>
      </c>
      <c r="I2196" s="16" t="inlineStr">
        <is>
          <t>Pretty renders appropriately for text/event-stream at 0 B (empty). For sizes &gt;= 1 MB, preview cap may kick in with download CTA. UI remains responsive; no freeze.</t>
        </is>
      </c>
      <c r="J2196" s="16" t="inlineStr"/>
      <c r="K2196" s="16" t="inlineStr">
        <is>
          <t>Not Run</t>
        </is>
      </c>
      <c r="L2196" s="16" t="inlineStr">
        <is>
          <t>Medium</t>
        </is>
      </c>
      <c r="M2196" s="16" t="inlineStr"/>
      <c r="N2196" s="16" t="inlineStr"/>
      <c r="O2196" s="16" t="inlineStr"/>
    </row>
    <row r="2197" ht="72" customHeight="1">
      <c r="A2197" s="16" t="inlineStr">
        <is>
          <t>TC-RP-0143</t>
        </is>
      </c>
      <c r="B2197" s="16" t="inlineStr">
        <is>
          <t>Response Panel</t>
        </is>
      </c>
      <c r="C2197" s="16" t="inlineStr">
        <is>
          <t>Viewer Matrix</t>
        </is>
      </c>
      <c r="D2197" s="16" t="inlineStr">
        <is>
          <t>Functional</t>
        </is>
      </c>
      <c r="E2197" s="16" t="inlineStr">
        <is>
          <t>Response body text/event-stream at 0 B (empty) in Raw viewer</t>
        </is>
      </c>
      <c r="F2197" s="16" t="inlineStr">
        <is>
          <t>-</t>
        </is>
      </c>
      <c r="G2197" s="16" t="inlineStr">
        <is>
          <t>1. Send request returning text/event-stream body of size 0 B (empty).
2. Switch viewer to Raw.
3. Inspect rendering and responsiveness.</t>
        </is>
      </c>
      <c r="H2197" s="16" t="inlineStr">
        <is>
          <t>ct=text/event-stream size=0 B (empty) view=Raw</t>
        </is>
      </c>
      <c r="I2197" s="16" t="inlineStr">
        <is>
          <t>Raw renders appropriately for text/event-stream at 0 B (empty). For sizes &gt;= 1 MB, preview cap may kick in with download CTA. UI remains responsive; no freeze.</t>
        </is>
      </c>
      <c r="J2197" s="16" t="inlineStr"/>
      <c r="K2197" s="16" t="inlineStr">
        <is>
          <t>Not Run</t>
        </is>
      </c>
      <c r="L2197" s="16" t="inlineStr">
        <is>
          <t>Medium</t>
        </is>
      </c>
      <c r="M2197" s="16" t="inlineStr"/>
      <c r="N2197" s="16" t="inlineStr"/>
      <c r="O2197" s="16" t="inlineStr"/>
    </row>
    <row r="2198" ht="72" customHeight="1">
      <c r="A2198" s="16" t="inlineStr">
        <is>
          <t>TC-RP-0144</t>
        </is>
      </c>
      <c r="B2198" s="16" t="inlineStr">
        <is>
          <t>Response Panel</t>
        </is>
      </c>
      <c r="C2198" s="16" t="inlineStr">
        <is>
          <t>Viewer Matrix</t>
        </is>
      </c>
      <c r="D2198" s="16" t="inlineStr">
        <is>
          <t>Functional</t>
        </is>
      </c>
      <c r="E2198" s="16" t="inlineStr">
        <is>
          <t>Response body text/event-stream at 0 B (empty) in Preview viewer</t>
        </is>
      </c>
      <c r="F2198" s="16" t="inlineStr">
        <is>
          <t>-</t>
        </is>
      </c>
      <c r="G2198" s="16" t="inlineStr">
        <is>
          <t>1. Send request returning text/event-stream body of size 0 B (empty).
2. Switch viewer to Preview.
3. Inspect rendering and responsiveness.</t>
        </is>
      </c>
      <c r="H2198" s="16" t="inlineStr">
        <is>
          <t>ct=text/event-stream size=0 B (empty) view=Preview</t>
        </is>
      </c>
      <c r="I2198" s="16" t="inlineStr">
        <is>
          <t>Preview renders appropriately for text/event-stream at 0 B (empty). For sizes &gt;= 1 MB, preview cap may kick in with download CTA. UI remains responsive; no freeze.</t>
        </is>
      </c>
      <c r="J2198" s="16" t="inlineStr"/>
      <c r="K2198" s="16" t="inlineStr">
        <is>
          <t>Not Run</t>
        </is>
      </c>
      <c r="L2198" s="16" t="inlineStr">
        <is>
          <t>Medium</t>
        </is>
      </c>
      <c r="M2198" s="16" t="inlineStr"/>
      <c r="N2198" s="16" t="inlineStr"/>
      <c r="O2198" s="16" t="inlineStr"/>
    </row>
    <row r="2199" ht="72" customHeight="1">
      <c r="A2199" s="16" t="inlineStr">
        <is>
          <t>TC-RP-0145</t>
        </is>
      </c>
      <c r="B2199" s="16" t="inlineStr">
        <is>
          <t>Response Panel</t>
        </is>
      </c>
      <c r="C2199" s="16" t="inlineStr">
        <is>
          <t>Viewer Matrix</t>
        </is>
      </c>
      <c r="D2199" s="16" t="inlineStr">
        <is>
          <t>Functional</t>
        </is>
      </c>
      <c r="E2199" s="16" t="inlineStr">
        <is>
          <t>Response body application/x-yaml at 0 B (empty) in Pretty viewer</t>
        </is>
      </c>
      <c r="F2199" s="16" t="inlineStr">
        <is>
          <t>-</t>
        </is>
      </c>
      <c r="G2199" s="16" t="inlineStr">
        <is>
          <t>1. Send request returning application/x-yaml body of size 0 B (empty).
2. Switch viewer to Pretty.
3. Inspect rendering and responsiveness.</t>
        </is>
      </c>
      <c r="H2199" s="16" t="inlineStr">
        <is>
          <t>ct=application/x-yaml size=0 B (empty) view=Pretty</t>
        </is>
      </c>
      <c r="I2199" s="16" t="inlineStr">
        <is>
          <t>Pretty renders appropriately for application/x-yaml at 0 B (empty). For sizes &gt;= 1 MB, preview cap may kick in with download CTA. UI remains responsive; no freeze.</t>
        </is>
      </c>
      <c r="J2199" s="16" t="inlineStr"/>
      <c r="K2199" s="16" t="inlineStr">
        <is>
          <t>Not Run</t>
        </is>
      </c>
      <c r="L2199" s="16" t="inlineStr">
        <is>
          <t>Medium</t>
        </is>
      </c>
      <c r="M2199" s="16" t="inlineStr"/>
      <c r="N2199" s="16" t="inlineStr"/>
      <c r="O2199" s="16" t="inlineStr"/>
    </row>
    <row r="2200" ht="72" customHeight="1">
      <c r="A2200" s="16" t="inlineStr">
        <is>
          <t>TC-RP-0146</t>
        </is>
      </c>
      <c r="B2200" s="16" t="inlineStr">
        <is>
          <t>Response Panel</t>
        </is>
      </c>
      <c r="C2200" s="16" t="inlineStr">
        <is>
          <t>Viewer Matrix</t>
        </is>
      </c>
      <c r="D2200" s="16" t="inlineStr">
        <is>
          <t>Functional</t>
        </is>
      </c>
      <c r="E2200" s="16" t="inlineStr">
        <is>
          <t>Response body application/x-yaml at 0 B (empty) in Raw viewer</t>
        </is>
      </c>
      <c r="F2200" s="16" t="inlineStr">
        <is>
          <t>-</t>
        </is>
      </c>
      <c r="G2200" s="16" t="inlineStr">
        <is>
          <t>1. Send request returning application/x-yaml body of size 0 B (empty).
2. Switch viewer to Raw.
3. Inspect rendering and responsiveness.</t>
        </is>
      </c>
      <c r="H2200" s="16" t="inlineStr">
        <is>
          <t>ct=application/x-yaml size=0 B (empty) view=Raw</t>
        </is>
      </c>
      <c r="I2200" s="16" t="inlineStr">
        <is>
          <t>Raw renders appropriately for application/x-yaml at 0 B (empty). For sizes &gt;= 1 MB, preview cap may kick in with download CTA. UI remains responsive; no freeze.</t>
        </is>
      </c>
      <c r="J2200" s="16" t="inlineStr"/>
      <c r="K2200" s="16" t="inlineStr">
        <is>
          <t>Not Run</t>
        </is>
      </c>
      <c r="L2200" s="16" t="inlineStr">
        <is>
          <t>Medium</t>
        </is>
      </c>
      <c r="M2200" s="16" t="inlineStr"/>
      <c r="N2200" s="16" t="inlineStr"/>
      <c r="O2200" s="16" t="inlineStr"/>
    </row>
    <row r="2201" ht="72" customHeight="1">
      <c r="A2201" s="16" t="inlineStr">
        <is>
          <t>TC-RP-0147</t>
        </is>
      </c>
      <c r="B2201" s="16" t="inlineStr">
        <is>
          <t>Response Panel</t>
        </is>
      </c>
      <c r="C2201" s="16" t="inlineStr">
        <is>
          <t>Viewer Matrix</t>
        </is>
      </c>
      <c r="D2201" s="16" t="inlineStr">
        <is>
          <t>Functional</t>
        </is>
      </c>
      <c r="E2201" s="16" t="inlineStr">
        <is>
          <t>Response body application/x-yaml at 0 B (empty) in Preview viewer</t>
        </is>
      </c>
      <c r="F2201" s="16" t="inlineStr">
        <is>
          <t>-</t>
        </is>
      </c>
      <c r="G2201" s="16" t="inlineStr">
        <is>
          <t>1. Send request returning application/x-yaml body of size 0 B (empty).
2. Switch viewer to Preview.
3. Inspect rendering and responsiveness.</t>
        </is>
      </c>
      <c r="H2201" s="16" t="inlineStr">
        <is>
          <t>ct=application/x-yaml size=0 B (empty) view=Preview</t>
        </is>
      </c>
      <c r="I2201" s="16" t="inlineStr">
        <is>
          <t>Preview renders appropriately for application/x-yaml at 0 B (empty). For sizes &gt;= 1 MB, preview cap may kick in with download CTA. UI remains responsive; no freeze.</t>
        </is>
      </c>
      <c r="J2201" s="16" t="inlineStr"/>
      <c r="K2201" s="16" t="inlineStr">
        <is>
          <t>Not Run</t>
        </is>
      </c>
      <c r="L2201" s="16" t="inlineStr">
        <is>
          <t>Medium</t>
        </is>
      </c>
      <c r="M2201" s="16" t="inlineStr"/>
      <c r="N2201" s="16" t="inlineStr"/>
      <c r="O2201" s="16" t="inlineStr"/>
    </row>
    <row r="2202" ht="72" customHeight="1">
      <c r="A2202" s="16" t="inlineStr">
        <is>
          <t>TC-RP-0148</t>
        </is>
      </c>
      <c r="B2202" s="16" t="inlineStr">
        <is>
          <t>Response Panel</t>
        </is>
      </c>
      <c r="C2202" s="16" t="inlineStr">
        <is>
          <t>Viewer Matrix</t>
        </is>
      </c>
      <c r="D2202" s="16" t="inlineStr">
        <is>
          <t>Functional</t>
        </is>
      </c>
      <c r="E2202" s="16" t="inlineStr">
        <is>
          <t>Response body application/json at 1 KB in Pretty viewer</t>
        </is>
      </c>
      <c r="F2202" s="16" t="inlineStr">
        <is>
          <t>-</t>
        </is>
      </c>
      <c r="G2202" s="16" t="inlineStr">
        <is>
          <t>1. Send request returning application/json body of size 1 KB.
2. Switch viewer to Pretty.
3. Inspect rendering and responsiveness.</t>
        </is>
      </c>
      <c r="H2202" s="16" t="inlineStr">
        <is>
          <t>ct=application/json size=1 KB view=Pretty</t>
        </is>
      </c>
      <c r="I2202" s="16" t="inlineStr">
        <is>
          <t>Pretty renders appropriately for application/json at 1 KB. For sizes &gt;= 1 MB, preview cap may kick in with download CTA. UI remains responsive; no freeze.</t>
        </is>
      </c>
      <c r="J2202" s="16" t="inlineStr"/>
      <c r="K2202" s="16" t="inlineStr">
        <is>
          <t>Not Run</t>
        </is>
      </c>
      <c r="L2202" s="16" t="inlineStr">
        <is>
          <t>High</t>
        </is>
      </c>
      <c r="M2202" s="16" t="inlineStr"/>
      <c r="N2202" s="16" t="inlineStr"/>
      <c r="O2202" s="16" t="inlineStr"/>
    </row>
    <row r="2203" ht="72" customHeight="1">
      <c r="A2203" s="16" t="inlineStr">
        <is>
          <t>TC-RP-0149</t>
        </is>
      </c>
      <c r="B2203" s="16" t="inlineStr">
        <is>
          <t>Response Panel</t>
        </is>
      </c>
      <c r="C2203" s="16" t="inlineStr">
        <is>
          <t>Viewer Matrix</t>
        </is>
      </c>
      <c r="D2203" s="16" t="inlineStr">
        <is>
          <t>Functional</t>
        </is>
      </c>
      <c r="E2203" s="16" t="inlineStr">
        <is>
          <t>Response body application/json at 1 KB in Raw viewer</t>
        </is>
      </c>
      <c r="F2203" s="16" t="inlineStr">
        <is>
          <t>-</t>
        </is>
      </c>
      <c r="G2203" s="16" t="inlineStr">
        <is>
          <t>1. Send request returning application/json body of size 1 KB.
2. Switch viewer to Raw.
3. Inspect rendering and responsiveness.</t>
        </is>
      </c>
      <c r="H2203" s="16" t="inlineStr">
        <is>
          <t>ct=application/json size=1 KB view=Raw</t>
        </is>
      </c>
      <c r="I2203" s="16" t="inlineStr">
        <is>
          <t>Raw renders appropriately for application/json at 1 KB. For sizes &gt;= 1 MB, preview cap may kick in with download CTA. UI remains responsive; no freeze.</t>
        </is>
      </c>
      <c r="J2203" s="16" t="inlineStr"/>
      <c r="K2203" s="16" t="inlineStr">
        <is>
          <t>Not Run</t>
        </is>
      </c>
      <c r="L2203" s="16" t="inlineStr">
        <is>
          <t>High</t>
        </is>
      </c>
      <c r="M2203" s="16" t="inlineStr"/>
      <c r="N2203" s="16" t="inlineStr"/>
      <c r="O2203" s="16" t="inlineStr"/>
    </row>
    <row r="2204" ht="72" customHeight="1">
      <c r="A2204" s="16" t="inlineStr">
        <is>
          <t>TC-RP-0150</t>
        </is>
      </c>
      <c r="B2204" s="16" t="inlineStr">
        <is>
          <t>Response Panel</t>
        </is>
      </c>
      <c r="C2204" s="16" t="inlineStr">
        <is>
          <t>Viewer Matrix</t>
        </is>
      </c>
      <c r="D2204" s="16" t="inlineStr">
        <is>
          <t>Functional</t>
        </is>
      </c>
      <c r="E2204" s="16" t="inlineStr">
        <is>
          <t>Response body application/json at 1 KB in Preview viewer</t>
        </is>
      </c>
      <c r="F2204" s="16" t="inlineStr">
        <is>
          <t>-</t>
        </is>
      </c>
      <c r="G2204" s="16" t="inlineStr">
        <is>
          <t>1. Send request returning application/json body of size 1 KB.
2. Switch viewer to Preview.
3. Inspect rendering and responsiveness.</t>
        </is>
      </c>
      <c r="H2204" s="16" t="inlineStr">
        <is>
          <t>ct=application/json size=1 KB view=Preview</t>
        </is>
      </c>
      <c r="I2204" s="16" t="inlineStr">
        <is>
          <t>Preview renders appropriately for application/json at 1 KB. For sizes &gt;= 1 MB, preview cap may kick in with download CTA. UI remains responsive; no freeze.</t>
        </is>
      </c>
      <c r="J2204" s="16" t="inlineStr"/>
      <c r="K2204" s="16" t="inlineStr">
        <is>
          <t>Not Run</t>
        </is>
      </c>
      <c r="L2204" s="16" t="inlineStr">
        <is>
          <t>High</t>
        </is>
      </c>
      <c r="M2204" s="16" t="inlineStr"/>
      <c r="N2204" s="16" t="inlineStr"/>
      <c r="O2204" s="16" t="inlineStr"/>
    </row>
    <row r="2205" ht="72" customHeight="1">
      <c r="A2205" s="16" t="inlineStr">
        <is>
          <t>TC-RP-0151</t>
        </is>
      </c>
      <c r="B2205" s="16" t="inlineStr">
        <is>
          <t>Response Panel</t>
        </is>
      </c>
      <c r="C2205" s="16" t="inlineStr">
        <is>
          <t>Viewer Matrix</t>
        </is>
      </c>
      <c r="D2205" s="16" t="inlineStr">
        <is>
          <t>Functional</t>
        </is>
      </c>
      <c r="E2205" s="16" t="inlineStr">
        <is>
          <t>Response body application/xml at 1 KB in Pretty viewer</t>
        </is>
      </c>
      <c r="F2205" s="16" t="inlineStr">
        <is>
          <t>-</t>
        </is>
      </c>
      <c r="G2205" s="16" t="inlineStr">
        <is>
          <t>1. Send request returning application/xml body of size 1 KB.
2. Switch viewer to Pretty.
3. Inspect rendering and responsiveness.</t>
        </is>
      </c>
      <c r="H2205" s="16" t="inlineStr">
        <is>
          <t>ct=application/xml size=1 KB view=Pretty</t>
        </is>
      </c>
      <c r="I2205" s="16" t="inlineStr">
        <is>
          <t>Pretty renders appropriately for application/xml at 1 KB. For sizes &gt;= 1 MB, preview cap may kick in with download CTA. UI remains responsive; no freeze.</t>
        </is>
      </c>
      <c r="J2205" s="16" t="inlineStr"/>
      <c r="K2205" s="16" t="inlineStr">
        <is>
          <t>Not Run</t>
        </is>
      </c>
      <c r="L2205" s="16" t="inlineStr">
        <is>
          <t>Medium</t>
        </is>
      </c>
      <c r="M2205" s="16" t="inlineStr"/>
      <c r="N2205" s="16" t="inlineStr"/>
      <c r="O2205" s="16" t="inlineStr"/>
    </row>
    <row r="2206" ht="72" customHeight="1">
      <c r="A2206" s="16" t="inlineStr">
        <is>
          <t>TC-RP-0152</t>
        </is>
      </c>
      <c r="B2206" s="16" t="inlineStr">
        <is>
          <t>Response Panel</t>
        </is>
      </c>
      <c r="C2206" s="16" t="inlineStr">
        <is>
          <t>Viewer Matrix</t>
        </is>
      </c>
      <c r="D2206" s="16" t="inlineStr">
        <is>
          <t>Functional</t>
        </is>
      </c>
      <c r="E2206" s="16" t="inlineStr">
        <is>
          <t>Response body application/xml at 1 KB in Raw viewer</t>
        </is>
      </c>
      <c r="F2206" s="16" t="inlineStr">
        <is>
          <t>-</t>
        </is>
      </c>
      <c r="G2206" s="16" t="inlineStr">
        <is>
          <t>1. Send request returning application/xml body of size 1 KB.
2. Switch viewer to Raw.
3. Inspect rendering and responsiveness.</t>
        </is>
      </c>
      <c r="H2206" s="16" t="inlineStr">
        <is>
          <t>ct=application/xml size=1 KB view=Raw</t>
        </is>
      </c>
      <c r="I2206" s="16" t="inlineStr">
        <is>
          <t>Raw renders appropriately for application/xml at 1 KB. For sizes &gt;= 1 MB, preview cap may kick in with download CTA. UI remains responsive; no freeze.</t>
        </is>
      </c>
      <c r="J2206" s="16" t="inlineStr"/>
      <c r="K2206" s="16" t="inlineStr">
        <is>
          <t>Not Run</t>
        </is>
      </c>
      <c r="L2206" s="16" t="inlineStr">
        <is>
          <t>Medium</t>
        </is>
      </c>
      <c r="M2206" s="16" t="inlineStr"/>
      <c r="N2206" s="16" t="inlineStr"/>
      <c r="O2206" s="16" t="inlineStr"/>
    </row>
    <row r="2207" ht="72" customHeight="1">
      <c r="A2207" s="16" t="inlineStr">
        <is>
          <t>TC-RP-0153</t>
        </is>
      </c>
      <c r="B2207" s="16" t="inlineStr">
        <is>
          <t>Response Panel</t>
        </is>
      </c>
      <c r="C2207" s="16" t="inlineStr">
        <is>
          <t>Viewer Matrix</t>
        </is>
      </c>
      <c r="D2207" s="16" t="inlineStr">
        <is>
          <t>Functional</t>
        </is>
      </c>
      <c r="E2207" s="16" t="inlineStr">
        <is>
          <t>Response body application/xml at 1 KB in Preview viewer</t>
        </is>
      </c>
      <c r="F2207" s="16" t="inlineStr">
        <is>
          <t>-</t>
        </is>
      </c>
      <c r="G2207" s="16" t="inlineStr">
        <is>
          <t>1. Send request returning application/xml body of size 1 KB.
2. Switch viewer to Preview.
3. Inspect rendering and responsiveness.</t>
        </is>
      </c>
      <c r="H2207" s="16" t="inlineStr">
        <is>
          <t>ct=application/xml size=1 KB view=Preview</t>
        </is>
      </c>
      <c r="I2207" s="16" t="inlineStr">
        <is>
          <t>Preview renders appropriately for application/xml at 1 KB. For sizes &gt;= 1 MB, preview cap may kick in with download CTA. UI remains responsive; no freeze.</t>
        </is>
      </c>
      <c r="J2207" s="16" t="inlineStr"/>
      <c r="K2207" s="16" t="inlineStr">
        <is>
          <t>Not Run</t>
        </is>
      </c>
      <c r="L2207" s="16" t="inlineStr">
        <is>
          <t>Medium</t>
        </is>
      </c>
      <c r="M2207" s="16" t="inlineStr"/>
      <c r="N2207" s="16" t="inlineStr"/>
      <c r="O2207" s="16" t="inlineStr"/>
    </row>
    <row r="2208" ht="72" customHeight="1">
      <c r="A2208" s="16" t="inlineStr">
        <is>
          <t>TC-RP-0154</t>
        </is>
      </c>
      <c r="B2208" s="16" t="inlineStr">
        <is>
          <t>Response Panel</t>
        </is>
      </c>
      <c r="C2208" s="16" t="inlineStr">
        <is>
          <t>Viewer Matrix</t>
        </is>
      </c>
      <c r="D2208" s="16" t="inlineStr">
        <is>
          <t>Functional</t>
        </is>
      </c>
      <c r="E2208" s="16" t="inlineStr">
        <is>
          <t>Response body text/html at 1 KB in Pretty viewer</t>
        </is>
      </c>
      <c r="F2208" s="16" t="inlineStr">
        <is>
          <t>-</t>
        </is>
      </c>
      <c r="G2208" s="16" t="inlineStr">
        <is>
          <t>1. Send request returning text/html body of size 1 KB.
2. Switch viewer to Pretty.
3. Inspect rendering and responsiveness.</t>
        </is>
      </c>
      <c r="H2208" s="16" t="inlineStr">
        <is>
          <t>ct=text/html size=1 KB view=Pretty</t>
        </is>
      </c>
      <c r="I2208" s="16" t="inlineStr">
        <is>
          <t>Pretty renders appropriately for text/html at 1 KB. For sizes &gt;= 1 MB, preview cap may kick in with download CTA. UI remains responsive; no freeze.</t>
        </is>
      </c>
      <c r="J2208" s="16" t="inlineStr"/>
      <c r="K2208" s="16" t="inlineStr">
        <is>
          <t>Not Run</t>
        </is>
      </c>
      <c r="L2208" s="16" t="inlineStr">
        <is>
          <t>Medium</t>
        </is>
      </c>
      <c r="M2208" s="16" t="inlineStr"/>
      <c r="N2208" s="16" t="inlineStr"/>
      <c r="O2208" s="16" t="inlineStr"/>
    </row>
    <row r="2209" ht="72" customHeight="1">
      <c r="A2209" s="16" t="inlineStr">
        <is>
          <t>TC-RP-0155</t>
        </is>
      </c>
      <c r="B2209" s="16" t="inlineStr">
        <is>
          <t>Response Panel</t>
        </is>
      </c>
      <c r="C2209" s="16" t="inlineStr">
        <is>
          <t>Viewer Matrix</t>
        </is>
      </c>
      <c r="D2209" s="16" t="inlineStr">
        <is>
          <t>Functional</t>
        </is>
      </c>
      <c r="E2209" s="16" t="inlineStr">
        <is>
          <t>Response body text/html at 1 KB in Raw viewer</t>
        </is>
      </c>
      <c r="F2209" s="16" t="inlineStr">
        <is>
          <t>-</t>
        </is>
      </c>
      <c r="G2209" s="16" t="inlineStr">
        <is>
          <t>1. Send request returning text/html body of size 1 KB.
2. Switch viewer to Raw.
3. Inspect rendering and responsiveness.</t>
        </is>
      </c>
      <c r="H2209" s="16" t="inlineStr">
        <is>
          <t>ct=text/html size=1 KB view=Raw</t>
        </is>
      </c>
      <c r="I2209" s="16" t="inlineStr">
        <is>
          <t>Raw renders appropriately for text/html at 1 KB. For sizes &gt;= 1 MB, preview cap may kick in with download CTA. UI remains responsive; no freeze.</t>
        </is>
      </c>
      <c r="J2209" s="16" t="inlineStr"/>
      <c r="K2209" s="16" t="inlineStr">
        <is>
          <t>Not Run</t>
        </is>
      </c>
      <c r="L2209" s="16" t="inlineStr">
        <is>
          <t>Medium</t>
        </is>
      </c>
      <c r="M2209" s="16" t="inlineStr"/>
      <c r="N2209" s="16" t="inlineStr"/>
      <c r="O2209" s="16" t="inlineStr"/>
    </row>
    <row r="2210" ht="72" customHeight="1">
      <c r="A2210" s="16" t="inlineStr">
        <is>
          <t>TC-RP-0156</t>
        </is>
      </c>
      <c r="B2210" s="16" t="inlineStr">
        <is>
          <t>Response Panel</t>
        </is>
      </c>
      <c r="C2210" s="16" t="inlineStr">
        <is>
          <t>Viewer Matrix</t>
        </is>
      </c>
      <c r="D2210" s="16" t="inlineStr">
        <is>
          <t>Functional</t>
        </is>
      </c>
      <c r="E2210" s="16" t="inlineStr">
        <is>
          <t>Response body text/html at 1 KB in Preview viewer</t>
        </is>
      </c>
      <c r="F2210" s="16" t="inlineStr">
        <is>
          <t>-</t>
        </is>
      </c>
      <c r="G2210" s="16" t="inlineStr">
        <is>
          <t>1. Send request returning text/html body of size 1 KB.
2. Switch viewer to Preview.
3. Inspect rendering and responsiveness.</t>
        </is>
      </c>
      <c r="H2210" s="16" t="inlineStr">
        <is>
          <t>ct=text/html size=1 KB view=Preview</t>
        </is>
      </c>
      <c r="I2210" s="16" t="inlineStr">
        <is>
          <t>Preview renders appropriately for text/html at 1 KB. For sizes &gt;= 1 MB, preview cap may kick in with download CTA. UI remains responsive; no freeze.</t>
        </is>
      </c>
      <c r="J2210" s="16" t="inlineStr"/>
      <c r="K2210" s="16" t="inlineStr">
        <is>
          <t>Not Run</t>
        </is>
      </c>
      <c r="L2210" s="16" t="inlineStr">
        <is>
          <t>Medium</t>
        </is>
      </c>
      <c r="M2210" s="16" t="inlineStr"/>
      <c r="N2210" s="16" t="inlineStr"/>
      <c r="O2210" s="16" t="inlineStr"/>
    </row>
    <row r="2211" ht="72" customHeight="1">
      <c r="A2211" s="16" t="inlineStr">
        <is>
          <t>TC-RP-0157</t>
        </is>
      </c>
      <c r="B2211" s="16" t="inlineStr">
        <is>
          <t>Response Panel</t>
        </is>
      </c>
      <c r="C2211" s="16" t="inlineStr">
        <is>
          <t>Viewer Matrix</t>
        </is>
      </c>
      <c r="D2211" s="16" t="inlineStr">
        <is>
          <t>Functional</t>
        </is>
      </c>
      <c r="E2211" s="16" t="inlineStr">
        <is>
          <t>Response body text/plain at 1 KB in Pretty viewer</t>
        </is>
      </c>
      <c r="F2211" s="16" t="inlineStr">
        <is>
          <t>-</t>
        </is>
      </c>
      <c r="G2211" s="16" t="inlineStr">
        <is>
          <t>1. Send request returning text/plain body of size 1 KB.
2. Switch viewer to Pretty.
3. Inspect rendering and responsiveness.</t>
        </is>
      </c>
      <c r="H2211" s="16" t="inlineStr">
        <is>
          <t>ct=text/plain size=1 KB view=Pretty</t>
        </is>
      </c>
      <c r="I2211" s="16" t="inlineStr">
        <is>
          <t>Pretty renders appropriately for text/plain at 1 KB. For sizes &gt;= 1 MB, preview cap may kick in with download CTA. UI remains responsive; no freeze.</t>
        </is>
      </c>
      <c r="J2211" s="16" t="inlineStr"/>
      <c r="K2211" s="16" t="inlineStr">
        <is>
          <t>Not Run</t>
        </is>
      </c>
      <c r="L2211" s="16" t="inlineStr">
        <is>
          <t>Medium</t>
        </is>
      </c>
      <c r="M2211" s="16" t="inlineStr"/>
      <c r="N2211" s="16" t="inlineStr"/>
      <c r="O2211" s="16" t="inlineStr"/>
    </row>
    <row r="2212" ht="72" customHeight="1">
      <c r="A2212" s="16" t="inlineStr">
        <is>
          <t>TC-RP-0158</t>
        </is>
      </c>
      <c r="B2212" s="16" t="inlineStr">
        <is>
          <t>Response Panel</t>
        </is>
      </c>
      <c r="C2212" s="16" t="inlineStr">
        <is>
          <t>Viewer Matrix</t>
        </is>
      </c>
      <c r="D2212" s="16" t="inlineStr">
        <is>
          <t>Functional</t>
        </is>
      </c>
      <c r="E2212" s="16" t="inlineStr">
        <is>
          <t>Response body text/plain at 1 KB in Raw viewer</t>
        </is>
      </c>
      <c r="F2212" s="16" t="inlineStr">
        <is>
          <t>-</t>
        </is>
      </c>
      <c r="G2212" s="16" t="inlineStr">
        <is>
          <t>1. Send request returning text/plain body of size 1 KB.
2. Switch viewer to Raw.
3. Inspect rendering and responsiveness.</t>
        </is>
      </c>
      <c r="H2212" s="16" t="inlineStr">
        <is>
          <t>ct=text/plain size=1 KB view=Raw</t>
        </is>
      </c>
      <c r="I2212" s="16" t="inlineStr">
        <is>
          <t>Raw renders appropriately for text/plain at 1 KB. For sizes &gt;= 1 MB, preview cap may kick in with download CTA. UI remains responsive; no freeze.</t>
        </is>
      </c>
      <c r="J2212" s="16" t="inlineStr"/>
      <c r="K2212" s="16" t="inlineStr">
        <is>
          <t>Not Run</t>
        </is>
      </c>
      <c r="L2212" s="16" t="inlineStr">
        <is>
          <t>Medium</t>
        </is>
      </c>
      <c r="M2212" s="16" t="inlineStr"/>
      <c r="N2212" s="16" t="inlineStr"/>
      <c r="O2212" s="16" t="inlineStr"/>
    </row>
    <row r="2213" ht="72" customHeight="1">
      <c r="A2213" s="16" t="inlineStr">
        <is>
          <t>TC-RP-0159</t>
        </is>
      </c>
      <c r="B2213" s="16" t="inlineStr">
        <is>
          <t>Response Panel</t>
        </is>
      </c>
      <c r="C2213" s="16" t="inlineStr">
        <is>
          <t>Viewer Matrix</t>
        </is>
      </c>
      <c r="D2213" s="16" t="inlineStr">
        <is>
          <t>Functional</t>
        </is>
      </c>
      <c r="E2213" s="16" t="inlineStr">
        <is>
          <t>Response body text/plain at 1 KB in Preview viewer</t>
        </is>
      </c>
      <c r="F2213" s="16" t="inlineStr">
        <is>
          <t>-</t>
        </is>
      </c>
      <c r="G2213" s="16" t="inlineStr">
        <is>
          <t>1. Send request returning text/plain body of size 1 KB.
2. Switch viewer to Preview.
3. Inspect rendering and responsiveness.</t>
        </is>
      </c>
      <c r="H2213" s="16" t="inlineStr">
        <is>
          <t>ct=text/plain size=1 KB view=Preview</t>
        </is>
      </c>
      <c r="I2213" s="16" t="inlineStr">
        <is>
          <t>Preview renders appropriately for text/plain at 1 KB. For sizes &gt;= 1 MB, preview cap may kick in with download CTA. UI remains responsive; no freeze.</t>
        </is>
      </c>
      <c r="J2213" s="16" t="inlineStr"/>
      <c r="K2213" s="16" t="inlineStr">
        <is>
          <t>Not Run</t>
        </is>
      </c>
      <c r="L2213" s="16" t="inlineStr">
        <is>
          <t>Medium</t>
        </is>
      </c>
      <c r="M2213" s="16" t="inlineStr"/>
      <c r="N2213" s="16" t="inlineStr"/>
      <c r="O2213" s="16" t="inlineStr"/>
    </row>
    <row r="2214" ht="72" customHeight="1">
      <c r="A2214" s="16" t="inlineStr">
        <is>
          <t>TC-RP-0160</t>
        </is>
      </c>
      <c r="B2214" s="16" t="inlineStr">
        <is>
          <t>Response Panel</t>
        </is>
      </c>
      <c r="C2214" s="16" t="inlineStr">
        <is>
          <t>Viewer Matrix</t>
        </is>
      </c>
      <c r="D2214" s="16" t="inlineStr">
        <is>
          <t>Functional</t>
        </is>
      </c>
      <c r="E2214" s="16" t="inlineStr">
        <is>
          <t>Response body application/octet-stream at 1 KB in Pretty viewer</t>
        </is>
      </c>
      <c r="F2214" s="16" t="inlineStr">
        <is>
          <t>-</t>
        </is>
      </c>
      <c r="G2214" s="16" t="inlineStr">
        <is>
          <t>1. Send request returning application/octet-stream body of size 1 KB.
2. Switch viewer to Pretty.
3. Inspect rendering and responsiveness.</t>
        </is>
      </c>
      <c r="H2214" s="16" t="inlineStr">
        <is>
          <t>ct=application/octet-stream size=1 KB view=Pretty</t>
        </is>
      </c>
      <c r="I2214" s="16" t="inlineStr">
        <is>
          <t>Pretty renders appropriately for application/octet-stream at 1 KB. For sizes &gt;= 1 MB, preview cap may kick in with download CTA. UI remains responsive; no freeze.</t>
        </is>
      </c>
      <c r="J2214" s="16" t="inlineStr"/>
      <c r="K2214" s="16" t="inlineStr">
        <is>
          <t>Not Run</t>
        </is>
      </c>
      <c r="L2214" s="16" t="inlineStr">
        <is>
          <t>Medium</t>
        </is>
      </c>
      <c r="M2214" s="16" t="inlineStr"/>
      <c r="N2214" s="16" t="inlineStr"/>
      <c r="O2214" s="16" t="inlineStr"/>
    </row>
    <row r="2215" ht="72" customHeight="1">
      <c r="A2215" s="16" t="inlineStr">
        <is>
          <t>TC-RP-0161</t>
        </is>
      </c>
      <c r="B2215" s="16" t="inlineStr">
        <is>
          <t>Response Panel</t>
        </is>
      </c>
      <c r="C2215" s="16" t="inlineStr">
        <is>
          <t>Viewer Matrix</t>
        </is>
      </c>
      <c r="D2215" s="16" t="inlineStr">
        <is>
          <t>Functional</t>
        </is>
      </c>
      <c r="E2215" s="16" t="inlineStr">
        <is>
          <t>Response body application/octet-stream at 1 KB in Raw viewer</t>
        </is>
      </c>
      <c r="F2215" s="16" t="inlineStr">
        <is>
          <t>-</t>
        </is>
      </c>
      <c r="G2215" s="16" t="inlineStr">
        <is>
          <t>1. Send request returning application/octet-stream body of size 1 KB.
2. Switch viewer to Raw.
3. Inspect rendering and responsiveness.</t>
        </is>
      </c>
      <c r="H2215" s="16" t="inlineStr">
        <is>
          <t>ct=application/octet-stream size=1 KB view=Raw</t>
        </is>
      </c>
      <c r="I2215" s="16" t="inlineStr">
        <is>
          <t>Raw renders appropriately for application/octet-stream at 1 KB. For sizes &gt;= 1 MB, preview cap may kick in with download CTA. UI remains responsive; no freeze.</t>
        </is>
      </c>
      <c r="J2215" s="16" t="inlineStr"/>
      <c r="K2215" s="16" t="inlineStr">
        <is>
          <t>Not Run</t>
        </is>
      </c>
      <c r="L2215" s="16" t="inlineStr">
        <is>
          <t>Medium</t>
        </is>
      </c>
      <c r="M2215" s="16" t="inlineStr"/>
      <c r="N2215" s="16" t="inlineStr"/>
      <c r="O2215" s="16" t="inlineStr"/>
    </row>
    <row r="2216" ht="72" customHeight="1">
      <c r="A2216" s="16" t="inlineStr">
        <is>
          <t>TC-RP-0162</t>
        </is>
      </c>
      <c r="B2216" s="16" t="inlineStr">
        <is>
          <t>Response Panel</t>
        </is>
      </c>
      <c r="C2216" s="16" t="inlineStr">
        <is>
          <t>Viewer Matrix</t>
        </is>
      </c>
      <c r="D2216" s="16" t="inlineStr">
        <is>
          <t>Functional</t>
        </is>
      </c>
      <c r="E2216" s="16" t="inlineStr">
        <is>
          <t>Response body application/octet-stream at 1 KB in Preview viewer</t>
        </is>
      </c>
      <c r="F2216" s="16" t="inlineStr">
        <is>
          <t>-</t>
        </is>
      </c>
      <c r="G2216" s="16" t="inlineStr">
        <is>
          <t>1. Send request returning application/octet-stream body of size 1 KB.
2. Switch viewer to Preview.
3. Inspect rendering and responsiveness.</t>
        </is>
      </c>
      <c r="H2216" s="16" t="inlineStr">
        <is>
          <t>ct=application/octet-stream size=1 KB view=Preview</t>
        </is>
      </c>
      <c r="I2216" s="16" t="inlineStr">
        <is>
          <t>Preview renders appropriately for application/octet-stream at 1 KB. For sizes &gt;= 1 MB, preview cap may kick in with download CTA. UI remains responsive; no freeze.</t>
        </is>
      </c>
      <c r="J2216" s="16" t="inlineStr"/>
      <c r="K2216" s="16" t="inlineStr">
        <is>
          <t>Not Run</t>
        </is>
      </c>
      <c r="L2216" s="16" t="inlineStr">
        <is>
          <t>Medium</t>
        </is>
      </c>
      <c r="M2216" s="16" t="inlineStr"/>
      <c r="N2216" s="16" t="inlineStr"/>
      <c r="O2216" s="16" t="inlineStr"/>
    </row>
    <row r="2217" ht="72" customHeight="1">
      <c r="A2217" s="16" t="inlineStr">
        <is>
          <t>TC-RP-0163</t>
        </is>
      </c>
      <c r="B2217" s="16" t="inlineStr">
        <is>
          <t>Response Panel</t>
        </is>
      </c>
      <c r="C2217" s="16" t="inlineStr">
        <is>
          <t>Viewer Matrix</t>
        </is>
      </c>
      <c r="D2217" s="16" t="inlineStr">
        <is>
          <t>Functional</t>
        </is>
      </c>
      <c r="E2217" s="16" t="inlineStr">
        <is>
          <t>Response body text/csv at 1 KB in Pretty viewer</t>
        </is>
      </c>
      <c r="F2217" s="16" t="inlineStr">
        <is>
          <t>-</t>
        </is>
      </c>
      <c r="G2217" s="16" t="inlineStr">
        <is>
          <t>1. Send request returning text/csv body of size 1 KB.
2. Switch viewer to Pretty.
3. Inspect rendering and responsiveness.</t>
        </is>
      </c>
      <c r="H2217" s="16" t="inlineStr">
        <is>
          <t>ct=text/csv size=1 KB view=Pretty</t>
        </is>
      </c>
      <c r="I2217" s="16" t="inlineStr">
        <is>
          <t>Pretty renders appropriately for text/csv at 1 KB. For sizes &gt;= 1 MB, preview cap may kick in with download CTA. UI remains responsive; no freeze.</t>
        </is>
      </c>
      <c r="J2217" s="16" t="inlineStr"/>
      <c r="K2217" s="16" t="inlineStr">
        <is>
          <t>Not Run</t>
        </is>
      </c>
      <c r="L2217" s="16" t="inlineStr">
        <is>
          <t>Medium</t>
        </is>
      </c>
      <c r="M2217" s="16" t="inlineStr"/>
      <c r="N2217" s="16" t="inlineStr"/>
      <c r="O2217" s="16" t="inlineStr"/>
    </row>
    <row r="2218" ht="72" customHeight="1">
      <c r="A2218" s="16" t="inlineStr">
        <is>
          <t>TC-RP-0164</t>
        </is>
      </c>
      <c r="B2218" s="16" t="inlineStr">
        <is>
          <t>Response Panel</t>
        </is>
      </c>
      <c r="C2218" s="16" t="inlineStr">
        <is>
          <t>Viewer Matrix</t>
        </is>
      </c>
      <c r="D2218" s="16" t="inlineStr">
        <is>
          <t>Functional</t>
        </is>
      </c>
      <c r="E2218" s="16" t="inlineStr">
        <is>
          <t>Response body text/csv at 1 KB in Raw viewer</t>
        </is>
      </c>
      <c r="F2218" s="16" t="inlineStr">
        <is>
          <t>-</t>
        </is>
      </c>
      <c r="G2218" s="16" t="inlineStr">
        <is>
          <t>1. Send request returning text/csv body of size 1 KB.
2. Switch viewer to Raw.
3. Inspect rendering and responsiveness.</t>
        </is>
      </c>
      <c r="H2218" s="16" t="inlineStr">
        <is>
          <t>ct=text/csv size=1 KB view=Raw</t>
        </is>
      </c>
      <c r="I2218" s="16" t="inlineStr">
        <is>
          <t>Raw renders appropriately for text/csv at 1 KB. For sizes &gt;= 1 MB, preview cap may kick in with download CTA. UI remains responsive; no freeze.</t>
        </is>
      </c>
      <c r="J2218" s="16" t="inlineStr"/>
      <c r="K2218" s="16" t="inlineStr">
        <is>
          <t>Not Run</t>
        </is>
      </c>
      <c r="L2218" s="16" t="inlineStr">
        <is>
          <t>Medium</t>
        </is>
      </c>
      <c r="M2218" s="16" t="inlineStr"/>
      <c r="N2218" s="16" t="inlineStr"/>
      <c r="O2218" s="16" t="inlineStr"/>
    </row>
    <row r="2219" ht="72" customHeight="1">
      <c r="A2219" s="16" t="inlineStr">
        <is>
          <t>TC-RP-0165</t>
        </is>
      </c>
      <c r="B2219" s="16" t="inlineStr">
        <is>
          <t>Response Panel</t>
        </is>
      </c>
      <c r="C2219" s="16" t="inlineStr">
        <is>
          <t>Viewer Matrix</t>
        </is>
      </c>
      <c r="D2219" s="16" t="inlineStr">
        <is>
          <t>Functional</t>
        </is>
      </c>
      <c r="E2219" s="16" t="inlineStr">
        <is>
          <t>Response body text/csv at 1 KB in Preview viewer</t>
        </is>
      </c>
      <c r="F2219" s="16" t="inlineStr">
        <is>
          <t>-</t>
        </is>
      </c>
      <c r="G2219" s="16" t="inlineStr">
        <is>
          <t>1. Send request returning text/csv body of size 1 KB.
2. Switch viewer to Preview.
3. Inspect rendering and responsiveness.</t>
        </is>
      </c>
      <c r="H2219" s="16" t="inlineStr">
        <is>
          <t>ct=text/csv size=1 KB view=Preview</t>
        </is>
      </c>
      <c r="I2219" s="16" t="inlineStr">
        <is>
          <t>Preview renders appropriately for text/csv at 1 KB. For sizes &gt;= 1 MB, preview cap may kick in with download CTA. UI remains responsive; no freeze.</t>
        </is>
      </c>
      <c r="J2219" s="16" t="inlineStr"/>
      <c r="K2219" s="16" t="inlineStr">
        <is>
          <t>Not Run</t>
        </is>
      </c>
      <c r="L2219" s="16" t="inlineStr">
        <is>
          <t>Medium</t>
        </is>
      </c>
      <c r="M2219" s="16" t="inlineStr"/>
      <c r="N2219" s="16" t="inlineStr"/>
      <c r="O2219" s="16" t="inlineStr"/>
    </row>
    <row r="2220" ht="72" customHeight="1">
      <c r="A2220" s="16" t="inlineStr">
        <is>
          <t>TC-RP-0166</t>
        </is>
      </c>
      <c r="B2220" s="16" t="inlineStr">
        <is>
          <t>Response Panel</t>
        </is>
      </c>
      <c r="C2220" s="16" t="inlineStr">
        <is>
          <t>Viewer Matrix</t>
        </is>
      </c>
      <c r="D2220" s="16" t="inlineStr">
        <is>
          <t>Functional</t>
        </is>
      </c>
      <c r="E2220" s="16" t="inlineStr">
        <is>
          <t>Response body image/png at 1 KB in Pretty viewer</t>
        </is>
      </c>
      <c r="F2220" s="16" t="inlineStr">
        <is>
          <t>-</t>
        </is>
      </c>
      <c r="G2220" s="16" t="inlineStr">
        <is>
          <t>1. Send request returning image/png body of size 1 KB.
2. Switch viewer to Pretty.
3. Inspect rendering and responsiveness.</t>
        </is>
      </c>
      <c r="H2220" s="16" t="inlineStr">
        <is>
          <t>ct=image/png size=1 KB view=Pretty</t>
        </is>
      </c>
      <c r="I2220" s="16" t="inlineStr">
        <is>
          <t>Pretty renders appropriately for image/png at 1 KB. For sizes &gt;= 1 MB, preview cap may kick in with download CTA. UI remains responsive; no freeze.</t>
        </is>
      </c>
      <c r="J2220" s="16" t="inlineStr"/>
      <c r="K2220" s="16" t="inlineStr">
        <is>
          <t>Not Run</t>
        </is>
      </c>
      <c r="L2220" s="16" t="inlineStr">
        <is>
          <t>Medium</t>
        </is>
      </c>
      <c r="M2220" s="16" t="inlineStr"/>
      <c r="N2220" s="16" t="inlineStr"/>
      <c r="O2220" s="16" t="inlineStr"/>
    </row>
    <row r="2221" ht="72" customHeight="1">
      <c r="A2221" s="16" t="inlineStr">
        <is>
          <t>TC-RP-0167</t>
        </is>
      </c>
      <c r="B2221" s="16" t="inlineStr">
        <is>
          <t>Response Panel</t>
        </is>
      </c>
      <c r="C2221" s="16" t="inlineStr">
        <is>
          <t>Viewer Matrix</t>
        </is>
      </c>
      <c r="D2221" s="16" t="inlineStr">
        <is>
          <t>Functional</t>
        </is>
      </c>
      <c r="E2221" s="16" t="inlineStr">
        <is>
          <t>Response body image/png at 1 KB in Raw viewer</t>
        </is>
      </c>
      <c r="F2221" s="16" t="inlineStr">
        <is>
          <t>-</t>
        </is>
      </c>
      <c r="G2221" s="16" t="inlineStr">
        <is>
          <t>1. Send request returning image/png body of size 1 KB.
2. Switch viewer to Raw.
3. Inspect rendering and responsiveness.</t>
        </is>
      </c>
      <c r="H2221" s="16" t="inlineStr">
        <is>
          <t>ct=image/png size=1 KB view=Raw</t>
        </is>
      </c>
      <c r="I2221" s="16" t="inlineStr">
        <is>
          <t>Raw renders appropriately for image/png at 1 KB. For sizes &gt;= 1 MB, preview cap may kick in with download CTA. UI remains responsive; no freeze.</t>
        </is>
      </c>
      <c r="J2221" s="16" t="inlineStr"/>
      <c r="K2221" s="16" t="inlineStr">
        <is>
          <t>Not Run</t>
        </is>
      </c>
      <c r="L2221" s="16" t="inlineStr">
        <is>
          <t>Medium</t>
        </is>
      </c>
      <c r="M2221" s="16" t="inlineStr"/>
      <c r="N2221" s="16" t="inlineStr"/>
      <c r="O2221" s="16" t="inlineStr"/>
    </row>
    <row r="2222" ht="72" customHeight="1">
      <c r="A2222" s="16" t="inlineStr">
        <is>
          <t>TC-RP-0168</t>
        </is>
      </c>
      <c r="B2222" s="16" t="inlineStr">
        <is>
          <t>Response Panel</t>
        </is>
      </c>
      <c r="C2222" s="16" t="inlineStr">
        <is>
          <t>Viewer Matrix</t>
        </is>
      </c>
      <c r="D2222" s="16" t="inlineStr">
        <is>
          <t>Functional</t>
        </is>
      </c>
      <c r="E2222" s="16" t="inlineStr">
        <is>
          <t>Response body image/png at 1 KB in Preview viewer</t>
        </is>
      </c>
      <c r="F2222" s="16" t="inlineStr">
        <is>
          <t>-</t>
        </is>
      </c>
      <c r="G2222" s="16" t="inlineStr">
        <is>
          <t>1. Send request returning image/png body of size 1 KB.
2. Switch viewer to Preview.
3. Inspect rendering and responsiveness.</t>
        </is>
      </c>
      <c r="H2222" s="16" t="inlineStr">
        <is>
          <t>ct=image/png size=1 KB view=Preview</t>
        </is>
      </c>
      <c r="I2222" s="16" t="inlineStr">
        <is>
          <t>Preview renders appropriately for image/png at 1 KB. For sizes &gt;= 1 MB, preview cap may kick in with download CTA. UI remains responsive; no freeze.</t>
        </is>
      </c>
      <c r="J2222" s="16" t="inlineStr"/>
      <c r="K2222" s="16" t="inlineStr">
        <is>
          <t>Not Run</t>
        </is>
      </c>
      <c r="L2222" s="16" t="inlineStr">
        <is>
          <t>Medium</t>
        </is>
      </c>
      <c r="M2222" s="16" t="inlineStr"/>
      <c r="N2222" s="16" t="inlineStr"/>
      <c r="O2222" s="16" t="inlineStr"/>
    </row>
    <row r="2223" ht="72" customHeight="1">
      <c r="A2223" s="16" t="inlineStr">
        <is>
          <t>TC-RP-0169</t>
        </is>
      </c>
      <c r="B2223" s="16" t="inlineStr">
        <is>
          <t>Response Panel</t>
        </is>
      </c>
      <c r="C2223" s="16" t="inlineStr">
        <is>
          <t>Viewer Matrix</t>
        </is>
      </c>
      <c r="D2223" s="16" t="inlineStr">
        <is>
          <t>Functional</t>
        </is>
      </c>
      <c r="E2223" s="16" t="inlineStr">
        <is>
          <t>Response body image/jpeg at 1 KB in Pretty viewer</t>
        </is>
      </c>
      <c r="F2223" s="16" t="inlineStr">
        <is>
          <t>-</t>
        </is>
      </c>
      <c r="G2223" s="16" t="inlineStr">
        <is>
          <t>1. Send request returning image/jpeg body of size 1 KB.
2. Switch viewer to Pretty.
3. Inspect rendering and responsiveness.</t>
        </is>
      </c>
      <c r="H2223" s="16" t="inlineStr">
        <is>
          <t>ct=image/jpeg size=1 KB view=Pretty</t>
        </is>
      </c>
      <c r="I2223" s="16" t="inlineStr">
        <is>
          <t>Pretty renders appropriately for image/jpeg at 1 KB. For sizes &gt;= 1 MB, preview cap may kick in with download CTA. UI remains responsive; no freeze.</t>
        </is>
      </c>
      <c r="J2223" s="16" t="inlineStr"/>
      <c r="K2223" s="16" t="inlineStr">
        <is>
          <t>Not Run</t>
        </is>
      </c>
      <c r="L2223" s="16" t="inlineStr">
        <is>
          <t>Medium</t>
        </is>
      </c>
      <c r="M2223" s="16" t="inlineStr"/>
      <c r="N2223" s="16" t="inlineStr"/>
      <c r="O2223" s="16" t="inlineStr"/>
    </row>
    <row r="2224" ht="72" customHeight="1">
      <c r="A2224" s="16" t="inlineStr">
        <is>
          <t>TC-RP-0170</t>
        </is>
      </c>
      <c r="B2224" s="16" t="inlineStr">
        <is>
          <t>Response Panel</t>
        </is>
      </c>
      <c r="C2224" s="16" t="inlineStr">
        <is>
          <t>Viewer Matrix</t>
        </is>
      </c>
      <c r="D2224" s="16" t="inlineStr">
        <is>
          <t>Functional</t>
        </is>
      </c>
      <c r="E2224" s="16" t="inlineStr">
        <is>
          <t>Response body image/jpeg at 1 KB in Raw viewer</t>
        </is>
      </c>
      <c r="F2224" s="16" t="inlineStr">
        <is>
          <t>-</t>
        </is>
      </c>
      <c r="G2224" s="16" t="inlineStr">
        <is>
          <t>1. Send request returning image/jpeg body of size 1 KB.
2. Switch viewer to Raw.
3. Inspect rendering and responsiveness.</t>
        </is>
      </c>
      <c r="H2224" s="16" t="inlineStr">
        <is>
          <t>ct=image/jpeg size=1 KB view=Raw</t>
        </is>
      </c>
      <c r="I2224" s="16" t="inlineStr">
        <is>
          <t>Raw renders appropriately for image/jpeg at 1 KB. For sizes &gt;= 1 MB, preview cap may kick in with download CTA. UI remains responsive; no freeze.</t>
        </is>
      </c>
      <c r="J2224" s="16" t="inlineStr"/>
      <c r="K2224" s="16" t="inlineStr">
        <is>
          <t>Not Run</t>
        </is>
      </c>
      <c r="L2224" s="16" t="inlineStr">
        <is>
          <t>Medium</t>
        </is>
      </c>
      <c r="M2224" s="16" t="inlineStr"/>
      <c r="N2224" s="16" t="inlineStr"/>
      <c r="O2224" s="16" t="inlineStr"/>
    </row>
    <row r="2225" ht="72" customHeight="1">
      <c r="A2225" s="16" t="inlineStr">
        <is>
          <t>TC-RP-0171</t>
        </is>
      </c>
      <c r="B2225" s="16" t="inlineStr">
        <is>
          <t>Response Panel</t>
        </is>
      </c>
      <c r="C2225" s="16" t="inlineStr">
        <is>
          <t>Viewer Matrix</t>
        </is>
      </c>
      <c r="D2225" s="16" t="inlineStr">
        <is>
          <t>Functional</t>
        </is>
      </c>
      <c r="E2225" s="16" t="inlineStr">
        <is>
          <t>Response body image/jpeg at 1 KB in Preview viewer</t>
        </is>
      </c>
      <c r="F2225" s="16" t="inlineStr">
        <is>
          <t>-</t>
        </is>
      </c>
      <c r="G2225" s="16" t="inlineStr">
        <is>
          <t>1. Send request returning image/jpeg body of size 1 KB.
2. Switch viewer to Preview.
3. Inspect rendering and responsiveness.</t>
        </is>
      </c>
      <c r="H2225" s="16" t="inlineStr">
        <is>
          <t>ct=image/jpeg size=1 KB view=Preview</t>
        </is>
      </c>
      <c r="I2225" s="16" t="inlineStr">
        <is>
          <t>Preview renders appropriately for image/jpeg at 1 KB. For sizes &gt;= 1 MB, preview cap may kick in with download CTA. UI remains responsive; no freeze.</t>
        </is>
      </c>
      <c r="J2225" s="16" t="inlineStr"/>
      <c r="K2225" s="16" t="inlineStr">
        <is>
          <t>Not Run</t>
        </is>
      </c>
      <c r="L2225" s="16" t="inlineStr">
        <is>
          <t>Medium</t>
        </is>
      </c>
      <c r="M2225" s="16" t="inlineStr"/>
      <c r="N2225" s="16" t="inlineStr"/>
      <c r="O2225" s="16" t="inlineStr"/>
    </row>
    <row r="2226" ht="72" customHeight="1">
      <c r="A2226" s="16" t="inlineStr">
        <is>
          <t>TC-RP-0172</t>
        </is>
      </c>
      <c r="B2226" s="16" t="inlineStr">
        <is>
          <t>Response Panel</t>
        </is>
      </c>
      <c r="C2226" s="16" t="inlineStr">
        <is>
          <t>Viewer Matrix</t>
        </is>
      </c>
      <c r="D2226" s="16" t="inlineStr">
        <is>
          <t>Functional</t>
        </is>
      </c>
      <c r="E2226" s="16" t="inlineStr">
        <is>
          <t>Response body application/pdf at 1 KB in Pretty viewer</t>
        </is>
      </c>
      <c r="F2226" s="16" t="inlineStr">
        <is>
          <t>-</t>
        </is>
      </c>
      <c r="G2226" s="16" t="inlineStr">
        <is>
          <t>1. Send request returning application/pdf body of size 1 KB.
2. Switch viewer to Pretty.
3. Inspect rendering and responsiveness.</t>
        </is>
      </c>
      <c r="H2226" s="16" t="inlineStr">
        <is>
          <t>ct=application/pdf size=1 KB view=Pretty</t>
        </is>
      </c>
      <c r="I2226" s="16" t="inlineStr">
        <is>
          <t>Pretty renders appropriately for application/pdf at 1 KB. For sizes &gt;= 1 MB, preview cap may kick in with download CTA. UI remains responsive; no freeze.</t>
        </is>
      </c>
      <c r="J2226" s="16" t="inlineStr"/>
      <c r="K2226" s="16" t="inlineStr">
        <is>
          <t>Not Run</t>
        </is>
      </c>
      <c r="L2226" s="16" t="inlineStr">
        <is>
          <t>Medium</t>
        </is>
      </c>
      <c r="M2226" s="16" t="inlineStr"/>
      <c r="N2226" s="16" t="inlineStr"/>
      <c r="O2226" s="16" t="inlineStr"/>
    </row>
    <row r="2227" ht="72" customHeight="1">
      <c r="A2227" s="16" t="inlineStr">
        <is>
          <t>TC-RP-0173</t>
        </is>
      </c>
      <c r="B2227" s="16" t="inlineStr">
        <is>
          <t>Response Panel</t>
        </is>
      </c>
      <c r="C2227" s="16" t="inlineStr">
        <is>
          <t>Viewer Matrix</t>
        </is>
      </c>
      <c r="D2227" s="16" t="inlineStr">
        <is>
          <t>Functional</t>
        </is>
      </c>
      <c r="E2227" s="16" t="inlineStr">
        <is>
          <t>Response body application/pdf at 1 KB in Raw viewer</t>
        </is>
      </c>
      <c r="F2227" s="16" t="inlineStr">
        <is>
          <t>-</t>
        </is>
      </c>
      <c r="G2227" s="16" t="inlineStr">
        <is>
          <t>1. Send request returning application/pdf body of size 1 KB.
2. Switch viewer to Raw.
3. Inspect rendering and responsiveness.</t>
        </is>
      </c>
      <c r="H2227" s="16" t="inlineStr">
        <is>
          <t>ct=application/pdf size=1 KB view=Raw</t>
        </is>
      </c>
      <c r="I2227" s="16" t="inlineStr">
        <is>
          <t>Raw renders appropriately for application/pdf at 1 KB. For sizes &gt;= 1 MB, preview cap may kick in with download CTA. UI remains responsive; no freeze.</t>
        </is>
      </c>
      <c r="J2227" s="16" t="inlineStr"/>
      <c r="K2227" s="16" t="inlineStr">
        <is>
          <t>Not Run</t>
        </is>
      </c>
      <c r="L2227" s="16" t="inlineStr">
        <is>
          <t>Medium</t>
        </is>
      </c>
      <c r="M2227" s="16" t="inlineStr"/>
      <c r="N2227" s="16" t="inlineStr"/>
      <c r="O2227" s="16" t="inlineStr"/>
    </row>
    <row r="2228" ht="72" customHeight="1">
      <c r="A2228" s="16" t="inlineStr">
        <is>
          <t>TC-RP-0174</t>
        </is>
      </c>
      <c r="B2228" s="16" t="inlineStr">
        <is>
          <t>Response Panel</t>
        </is>
      </c>
      <c r="C2228" s="16" t="inlineStr">
        <is>
          <t>Viewer Matrix</t>
        </is>
      </c>
      <c r="D2228" s="16" t="inlineStr">
        <is>
          <t>Functional</t>
        </is>
      </c>
      <c r="E2228" s="16" t="inlineStr">
        <is>
          <t>Response body application/pdf at 1 KB in Preview viewer</t>
        </is>
      </c>
      <c r="F2228" s="16" t="inlineStr">
        <is>
          <t>-</t>
        </is>
      </c>
      <c r="G2228" s="16" t="inlineStr">
        <is>
          <t>1. Send request returning application/pdf body of size 1 KB.
2. Switch viewer to Preview.
3. Inspect rendering and responsiveness.</t>
        </is>
      </c>
      <c r="H2228" s="16" t="inlineStr">
        <is>
          <t>ct=application/pdf size=1 KB view=Preview</t>
        </is>
      </c>
      <c r="I2228" s="16" t="inlineStr">
        <is>
          <t>Preview renders appropriately for application/pdf at 1 KB. For sizes &gt;= 1 MB, preview cap may kick in with download CTA. UI remains responsive; no freeze.</t>
        </is>
      </c>
      <c r="J2228" s="16" t="inlineStr"/>
      <c r="K2228" s="16" t="inlineStr">
        <is>
          <t>Not Run</t>
        </is>
      </c>
      <c r="L2228" s="16" t="inlineStr">
        <is>
          <t>Medium</t>
        </is>
      </c>
      <c r="M2228" s="16" t="inlineStr"/>
      <c r="N2228" s="16" t="inlineStr"/>
      <c r="O2228" s="16" t="inlineStr"/>
    </row>
    <row r="2229" ht="72" customHeight="1">
      <c r="A2229" s="16" t="inlineStr">
        <is>
          <t>TC-RP-0175</t>
        </is>
      </c>
      <c r="B2229" s="16" t="inlineStr">
        <is>
          <t>Response Panel</t>
        </is>
      </c>
      <c r="C2229" s="16" t="inlineStr">
        <is>
          <t>Viewer Matrix</t>
        </is>
      </c>
      <c r="D2229" s="16" t="inlineStr">
        <is>
          <t>Functional</t>
        </is>
      </c>
      <c r="E2229" s="16" t="inlineStr">
        <is>
          <t>Response body text/event-stream at 1 KB in Pretty viewer</t>
        </is>
      </c>
      <c r="F2229" s="16" t="inlineStr">
        <is>
          <t>-</t>
        </is>
      </c>
      <c r="G2229" s="16" t="inlineStr">
        <is>
          <t>1. Send request returning text/event-stream body of size 1 KB.
2. Switch viewer to Pretty.
3. Inspect rendering and responsiveness.</t>
        </is>
      </c>
      <c r="H2229" s="16" t="inlineStr">
        <is>
          <t>ct=text/event-stream size=1 KB view=Pretty</t>
        </is>
      </c>
      <c r="I2229" s="16" t="inlineStr">
        <is>
          <t>Pretty renders appropriately for text/event-stream at 1 KB. For sizes &gt;= 1 MB, preview cap may kick in with download CTA. UI remains responsive; no freeze.</t>
        </is>
      </c>
      <c r="J2229" s="16" t="inlineStr"/>
      <c r="K2229" s="16" t="inlineStr">
        <is>
          <t>Not Run</t>
        </is>
      </c>
      <c r="L2229" s="16" t="inlineStr">
        <is>
          <t>Medium</t>
        </is>
      </c>
      <c r="M2229" s="16" t="inlineStr"/>
      <c r="N2229" s="16" t="inlineStr"/>
      <c r="O2229" s="16" t="inlineStr"/>
    </row>
    <row r="2230" ht="72" customHeight="1">
      <c r="A2230" s="16" t="inlineStr">
        <is>
          <t>TC-RP-0176</t>
        </is>
      </c>
      <c r="B2230" s="16" t="inlineStr">
        <is>
          <t>Response Panel</t>
        </is>
      </c>
      <c r="C2230" s="16" t="inlineStr">
        <is>
          <t>Viewer Matrix</t>
        </is>
      </c>
      <c r="D2230" s="16" t="inlineStr">
        <is>
          <t>Functional</t>
        </is>
      </c>
      <c r="E2230" s="16" t="inlineStr">
        <is>
          <t>Response body text/event-stream at 1 KB in Raw viewer</t>
        </is>
      </c>
      <c r="F2230" s="16" t="inlineStr">
        <is>
          <t>-</t>
        </is>
      </c>
      <c r="G2230" s="16" t="inlineStr">
        <is>
          <t>1. Send request returning text/event-stream body of size 1 KB.
2. Switch viewer to Raw.
3. Inspect rendering and responsiveness.</t>
        </is>
      </c>
      <c r="H2230" s="16" t="inlineStr">
        <is>
          <t>ct=text/event-stream size=1 KB view=Raw</t>
        </is>
      </c>
      <c r="I2230" s="16" t="inlineStr">
        <is>
          <t>Raw renders appropriately for text/event-stream at 1 KB. For sizes &gt;= 1 MB, preview cap may kick in with download CTA. UI remains responsive; no freeze.</t>
        </is>
      </c>
      <c r="J2230" s="16" t="inlineStr"/>
      <c r="K2230" s="16" t="inlineStr">
        <is>
          <t>Not Run</t>
        </is>
      </c>
      <c r="L2230" s="16" t="inlineStr">
        <is>
          <t>Medium</t>
        </is>
      </c>
      <c r="M2230" s="16" t="inlineStr"/>
      <c r="N2230" s="16" t="inlineStr"/>
      <c r="O2230" s="16" t="inlineStr"/>
    </row>
    <row r="2231" ht="72" customHeight="1">
      <c r="A2231" s="16" t="inlineStr">
        <is>
          <t>TC-RP-0177</t>
        </is>
      </c>
      <c r="B2231" s="16" t="inlineStr">
        <is>
          <t>Response Panel</t>
        </is>
      </c>
      <c r="C2231" s="16" t="inlineStr">
        <is>
          <t>Viewer Matrix</t>
        </is>
      </c>
      <c r="D2231" s="16" t="inlineStr">
        <is>
          <t>Functional</t>
        </is>
      </c>
      <c r="E2231" s="16" t="inlineStr">
        <is>
          <t>Response body text/event-stream at 1 KB in Preview viewer</t>
        </is>
      </c>
      <c r="F2231" s="16" t="inlineStr">
        <is>
          <t>-</t>
        </is>
      </c>
      <c r="G2231" s="16" t="inlineStr">
        <is>
          <t>1. Send request returning text/event-stream body of size 1 KB.
2. Switch viewer to Preview.
3. Inspect rendering and responsiveness.</t>
        </is>
      </c>
      <c r="H2231" s="16" t="inlineStr">
        <is>
          <t>ct=text/event-stream size=1 KB view=Preview</t>
        </is>
      </c>
      <c r="I2231" s="16" t="inlineStr">
        <is>
          <t>Preview renders appropriately for text/event-stream at 1 KB. For sizes &gt;= 1 MB, preview cap may kick in with download CTA. UI remains responsive; no freeze.</t>
        </is>
      </c>
      <c r="J2231" s="16" t="inlineStr"/>
      <c r="K2231" s="16" t="inlineStr">
        <is>
          <t>Not Run</t>
        </is>
      </c>
      <c r="L2231" s="16" t="inlineStr">
        <is>
          <t>Medium</t>
        </is>
      </c>
      <c r="M2231" s="16" t="inlineStr"/>
      <c r="N2231" s="16" t="inlineStr"/>
      <c r="O2231" s="16" t="inlineStr"/>
    </row>
    <row r="2232" ht="72" customHeight="1">
      <c r="A2232" s="16" t="inlineStr">
        <is>
          <t>TC-RP-0178</t>
        </is>
      </c>
      <c r="B2232" s="16" t="inlineStr">
        <is>
          <t>Response Panel</t>
        </is>
      </c>
      <c r="C2232" s="16" t="inlineStr">
        <is>
          <t>Viewer Matrix</t>
        </is>
      </c>
      <c r="D2232" s="16" t="inlineStr">
        <is>
          <t>Functional</t>
        </is>
      </c>
      <c r="E2232" s="16" t="inlineStr">
        <is>
          <t>Response body application/x-yaml at 1 KB in Pretty viewer</t>
        </is>
      </c>
      <c r="F2232" s="16" t="inlineStr">
        <is>
          <t>-</t>
        </is>
      </c>
      <c r="G2232" s="16" t="inlineStr">
        <is>
          <t>1. Send request returning application/x-yaml body of size 1 KB.
2. Switch viewer to Pretty.
3. Inspect rendering and responsiveness.</t>
        </is>
      </c>
      <c r="H2232" s="16" t="inlineStr">
        <is>
          <t>ct=application/x-yaml size=1 KB view=Pretty</t>
        </is>
      </c>
      <c r="I2232" s="16" t="inlineStr">
        <is>
          <t>Pretty renders appropriately for application/x-yaml at 1 KB. For sizes &gt;= 1 MB, preview cap may kick in with download CTA. UI remains responsive; no freeze.</t>
        </is>
      </c>
      <c r="J2232" s="16" t="inlineStr"/>
      <c r="K2232" s="16" t="inlineStr">
        <is>
          <t>Not Run</t>
        </is>
      </c>
      <c r="L2232" s="16" t="inlineStr">
        <is>
          <t>Medium</t>
        </is>
      </c>
      <c r="M2232" s="16" t="inlineStr"/>
      <c r="N2232" s="16" t="inlineStr"/>
      <c r="O2232" s="16" t="inlineStr"/>
    </row>
    <row r="2233" ht="72" customHeight="1">
      <c r="A2233" s="16" t="inlineStr">
        <is>
          <t>TC-RP-0179</t>
        </is>
      </c>
      <c r="B2233" s="16" t="inlineStr">
        <is>
          <t>Response Panel</t>
        </is>
      </c>
      <c r="C2233" s="16" t="inlineStr">
        <is>
          <t>Viewer Matrix</t>
        </is>
      </c>
      <c r="D2233" s="16" t="inlineStr">
        <is>
          <t>Functional</t>
        </is>
      </c>
      <c r="E2233" s="16" t="inlineStr">
        <is>
          <t>Response body application/x-yaml at 1 KB in Raw viewer</t>
        </is>
      </c>
      <c r="F2233" s="16" t="inlineStr">
        <is>
          <t>-</t>
        </is>
      </c>
      <c r="G2233" s="16" t="inlineStr">
        <is>
          <t>1. Send request returning application/x-yaml body of size 1 KB.
2. Switch viewer to Raw.
3. Inspect rendering and responsiveness.</t>
        </is>
      </c>
      <c r="H2233" s="16" t="inlineStr">
        <is>
          <t>ct=application/x-yaml size=1 KB view=Raw</t>
        </is>
      </c>
      <c r="I2233" s="16" t="inlineStr">
        <is>
          <t>Raw renders appropriately for application/x-yaml at 1 KB. For sizes &gt;= 1 MB, preview cap may kick in with download CTA. UI remains responsive; no freeze.</t>
        </is>
      </c>
      <c r="J2233" s="16" t="inlineStr"/>
      <c r="K2233" s="16" t="inlineStr">
        <is>
          <t>Not Run</t>
        </is>
      </c>
      <c r="L2233" s="16" t="inlineStr">
        <is>
          <t>Medium</t>
        </is>
      </c>
      <c r="M2233" s="16" t="inlineStr"/>
      <c r="N2233" s="16" t="inlineStr"/>
      <c r="O2233" s="16" t="inlineStr"/>
    </row>
    <row r="2234" ht="72" customHeight="1">
      <c r="A2234" s="16" t="inlineStr">
        <is>
          <t>TC-RP-0180</t>
        </is>
      </c>
      <c r="B2234" s="16" t="inlineStr">
        <is>
          <t>Response Panel</t>
        </is>
      </c>
      <c r="C2234" s="16" t="inlineStr">
        <is>
          <t>Viewer Matrix</t>
        </is>
      </c>
      <c r="D2234" s="16" t="inlineStr">
        <is>
          <t>Functional</t>
        </is>
      </c>
      <c r="E2234" s="16" t="inlineStr">
        <is>
          <t>Response body application/x-yaml at 1 KB in Preview viewer</t>
        </is>
      </c>
      <c r="F2234" s="16" t="inlineStr">
        <is>
          <t>-</t>
        </is>
      </c>
      <c r="G2234" s="16" t="inlineStr">
        <is>
          <t>1. Send request returning application/x-yaml body of size 1 KB.
2. Switch viewer to Preview.
3. Inspect rendering and responsiveness.</t>
        </is>
      </c>
      <c r="H2234" s="16" t="inlineStr">
        <is>
          <t>ct=application/x-yaml size=1 KB view=Preview</t>
        </is>
      </c>
      <c r="I2234" s="16" t="inlineStr">
        <is>
          <t>Preview renders appropriately for application/x-yaml at 1 KB. For sizes &gt;= 1 MB, preview cap may kick in with download CTA. UI remains responsive; no freeze.</t>
        </is>
      </c>
      <c r="J2234" s="16" t="inlineStr"/>
      <c r="K2234" s="16" t="inlineStr">
        <is>
          <t>Not Run</t>
        </is>
      </c>
      <c r="L2234" s="16" t="inlineStr">
        <is>
          <t>Medium</t>
        </is>
      </c>
      <c r="M2234" s="16" t="inlineStr"/>
      <c r="N2234" s="16" t="inlineStr"/>
      <c r="O2234" s="16" t="inlineStr"/>
    </row>
    <row r="2235" ht="72" customHeight="1">
      <c r="A2235" s="16" t="inlineStr">
        <is>
          <t>TC-RP-0181</t>
        </is>
      </c>
      <c r="B2235" s="16" t="inlineStr">
        <is>
          <t>Response Panel</t>
        </is>
      </c>
      <c r="C2235" s="16" t="inlineStr">
        <is>
          <t>Viewer Matrix</t>
        </is>
      </c>
      <c r="D2235" s="16" t="inlineStr">
        <is>
          <t>Functional</t>
        </is>
      </c>
      <c r="E2235" s="16" t="inlineStr">
        <is>
          <t>Response body application/json at 100 KB in Pretty viewer</t>
        </is>
      </c>
      <c r="F2235" s="16" t="inlineStr">
        <is>
          <t>-</t>
        </is>
      </c>
      <c r="G2235" s="16" t="inlineStr">
        <is>
          <t>1. Send request returning application/json body of size 100 KB.
2. Switch viewer to Pretty.
3. Inspect rendering and responsiveness.</t>
        </is>
      </c>
      <c r="H2235" s="16" t="inlineStr">
        <is>
          <t>ct=application/json size=100 KB view=Pretty</t>
        </is>
      </c>
      <c r="I2235" s="16" t="inlineStr">
        <is>
          <t>Pretty renders appropriately for application/json at 100 KB. For sizes &gt;= 1 MB, preview cap may kick in with download CTA. UI remains responsive; no freeze.</t>
        </is>
      </c>
      <c r="J2235" s="16" t="inlineStr"/>
      <c r="K2235" s="16" t="inlineStr">
        <is>
          <t>Not Run</t>
        </is>
      </c>
      <c r="L2235" s="16" t="inlineStr">
        <is>
          <t>High</t>
        </is>
      </c>
      <c r="M2235" s="16" t="inlineStr"/>
      <c r="N2235" s="16" t="inlineStr"/>
      <c r="O2235" s="16" t="inlineStr"/>
    </row>
    <row r="2236" ht="72" customHeight="1">
      <c r="A2236" s="16" t="inlineStr">
        <is>
          <t>TC-RP-0182</t>
        </is>
      </c>
      <c r="B2236" s="16" t="inlineStr">
        <is>
          <t>Response Panel</t>
        </is>
      </c>
      <c r="C2236" s="16" t="inlineStr">
        <is>
          <t>Viewer Matrix</t>
        </is>
      </c>
      <c r="D2236" s="16" t="inlineStr">
        <is>
          <t>Functional</t>
        </is>
      </c>
      <c r="E2236" s="16" t="inlineStr">
        <is>
          <t>Response body application/json at 100 KB in Raw viewer</t>
        </is>
      </c>
      <c r="F2236" s="16" t="inlineStr">
        <is>
          <t>-</t>
        </is>
      </c>
      <c r="G2236" s="16" t="inlineStr">
        <is>
          <t>1. Send request returning application/json body of size 100 KB.
2. Switch viewer to Raw.
3. Inspect rendering and responsiveness.</t>
        </is>
      </c>
      <c r="H2236" s="16" t="inlineStr">
        <is>
          <t>ct=application/json size=100 KB view=Raw</t>
        </is>
      </c>
      <c r="I2236" s="16" t="inlineStr">
        <is>
          <t>Raw renders appropriately for application/json at 100 KB. For sizes &gt;= 1 MB, preview cap may kick in with download CTA. UI remains responsive; no freeze.</t>
        </is>
      </c>
      <c r="J2236" s="16" t="inlineStr"/>
      <c r="K2236" s="16" t="inlineStr">
        <is>
          <t>Not Run</t>
        </is>
      </c>
      <c r="L2236" s="16" t="inlineStr">
        <is>
          <t>High</t>
        </is>
      </c>
      <c r="M2236" s="16" t="inlineStr"/>
      <c r="N2236" s="16" t="inlineStr"/>
      <c r="O2236" s="16" t="inlineStr"/>
    </row>
    <row r="2237" ht="72" customHeight="1">
      <c r="A2237" s="16" t="inlineStr">
        <is>
          <t>TC-RP-0183</t>
        </is>
      </c>
      <c r="B2237" s="16" t="inlineStr">
        <is>
          <t>Response Panel</t>
        </is>
      </c>
      <c r="C2237" s="16" t="inlineStr">
        <is>
          <t>Viewer Matrix</t>
        </is>
      </c>
      <c r="D2237" s="16" t="inlineStr">
        <is>
          <t>Functional</t>
        </is>
      </c>
      <c r="E2237" s="16" t="inlineStr">
        <is>
          <t>Response body application/json at 100 KB in Preview viewer</t>
        </is>
      </c>
      <c r="F2237" s="16" t="inlineStr">
        <is>
          <t>-</t>
        </is>
      </c>
      <c r="G2237" s="16" t="inlineStr">
        <is>
          <t>1. Send request returning application/json body of size 100 KB.
2. Switch viewer to Preview.
3. Inspect rendering and responsiveness.</t>
        </is>
      </c>
      <c r="H2237" s="16" t="inlineStr">
        <is>
          <t>ct=application/json size=100 KB view=Preview</t>
        </is>
      </c>
      <c r="I2237" s="16" t="inlineStr">
        <is>
          <t>Preview renders appropriately for application/json at 100 KB. For sizes &gt;= 1 MB, preview cap may kick in with download CTA. UI remains responsive; no freeze.</t>
        </is>
      </c>
      <c r="J2237" s="16" t="inlineStr"/>
      <c r="K2237" s="16" t="inlineStr">
        <is>
          <t>Not Run</t>
        </is>
      </c>
      <c r="L2237" s="16" t="inlineStr">
        <is>
          <t>High</t>
        </is>
      </c>
      <c r="M2237" s="16" t="inlineStr"/>
      <c r="N2237" s="16" t="inlineStr"/>
      <c r="O2237" s="16" t="inlineStr"/>
    </row>
    <row r="2238" ht="72" customHeight="1">
      <c r="A2238" s="16" t="inlineStr">
        <is>
          <t>TC-RP-0184</t>
        </is>
      </c>
      <c r="B2238" s="16" t="inlineStr">
        <is>
          <t>Response Panel</t>
        </is>
      </c>
      <c r="C2238" s="16" t="inlineStr">
        <is>
          <t>Viewer Matrix</t>
        </is>
      </c>
      <c r="D2238" s="16" t="inlineStr">
        <is>
          <t>Functional</t>
        </is>
      </c>
      <c r="E2238" s="16" t="inlineStr">
        <is>
          <t>Response body application/xml at 100 KB in Pretty viewer</t>
        </is>
      </c>
      <c r="F2238" s="16" t="inlineStr">
        <is>
          <t>-</t>
        </is>
      </c>
      <c r="G2238" s="16" t="inlineStr">
        <is>
          <t>1. Send request returning application/xml body of size 100 KB.
2. Switch viewer to Pretty.
3. Inspect rendering and responsiveness.</t>
        </is>
      </c>
      <c r="H2238" s="16" t="inlineStr">
        <is>
          <t>ct=application/xml size=100 KB view=Pretty</t>
        </is>
      </c>
      <c r="I2238" s="16" t="inlineStr">
        <is>
          <t>Pretty renders appropriately for application/xml at 100 KB. For sizes &gt;= 1 MB, preview cap may kick in with download CTA. UI remains responsive; no freeze.</t>
        </is>
      </c>
      <c r="J2238" s="16" t="inlineStr"/>
      <c r="K2238" s="16" t="inlineStr">
        <is>
          <t>Not Run</t>
        </is>
      </c>
      <c r="L2238" s="16" t="inlineStr">
        <is>
          <t>Medium</t>
        </is>
      </c>
      <c r="M2238" s="16" t="inlineStr"/>
      <c r="N2238" s="16" t="inlineStr"/>
      <c r="O2238" s="16" t="inlineStr"/>
    </row>
    <row r="2239" ht="72" customHeight="1">
      <c r="A2239" s="16" t="inlineStr">
        <is>
          <t>TC-RP-0185</t>
        </is>
      </c>
      <c r="B2239" s="16" t="inlineStr">
        <is>
          <t>Response Panel</t>
        </is>
      </c>
      <c r="C2239" s="16" t="inlineStr">
        <is>
          <t>Viewer Matrix</t>
        </is>
      </c>
      <c r="D2239" s="16" t="inlineStr">
        <is>
          <t>Functional</t>
        </is>
      </c>
      <c r="E2239" s="16" t="inlineStr">
        <is>
          <t>Response body application/xml at 100 KB in Raw viewer</t>
        </is>
      </c>
      <c r="F2239" s="16" t="inlineStr">
        <is>
          <t>-</t>
        </is>
      </c>
      <c r="G2239" s="16" t="inlineStr">
        <is>
          <t>1. Send request returning application/xml body of size 100 KB.
2. Switch viewer to Raw.
3. Inspect rendering and responsiveness.</t>
        </is>
      </c>
      <c r="H2239" s="16" t="inlineStr">
        <is>
          <t>ct=application/xml size=100 KB view=Raw</t>
        </is>
      </c>
      <c r="I2239" s="16" t="inlineStr">
        <is>
          <t>Raw renders appropriately for application/xml at 100 KB. For sizes &gt;= 1 MB, preview cap may kick in with download CTA. UI remains responsive; no freeze.</t>
        </is>
      </c>
      <c r="J2239" s="16" t="inlineStr"/>
      <c r="K2239" s="16" t="inlineStr">
        <is>
          <t>Not Run</t>
        </is>
      </c>
      <c r="L2239" s="16" t="inlineStr">
        <is>
          <t>Medium</t>
        </is>
      </c>
      <c r="M2239" s="16" t="inlineStr"/>
      <c r="N2239" s="16" t="inlineStr"/>
      <c r="O2239" s="16" t="inlineStr"/>
    </row>
    <row r="2240" ht="72" customHeight="1">
      <c r="A2240" s="16" t="inlineStr">
        <is>
          <t>TC-RP-0186</t>
        </is>
      </c>
      <c r="B2240" s="16" t="inlineStr">
        <is>
          <t>Response Panel</t>
        </is>
      </c>
      <c r="C2240" s="16" t="inlineStr">
        <is>
          <t>Viewer Matrix</t>
        </is>
      </c>
      <c r="D2240" s="16" t="inlineStr">
        <is>
          <t>Functional</t>
        </is>
      </c>
      <c r="E2240" s="16" t="inlineStr">
        <is>
          <t>Response body application/xml at 100 KB in Preview viewer</t>
        </is>
      </c>
      <c r="F2240" s="16" t="inlineStr">
        <is>
          <t>-</t>
        </is>
      </c>
      <c r="G2240" s="16" t="inlineStr">
        <is>
          <t>1. Send request returning application/xml body of size 100 KB.
2. Switch viewer to Preview.
3. Inspect rendering and responsiveness.</t>
        </is>
      </c>
      <c r="H2240" s="16" t="inlineStr">
        <is>
          <t>ct=application/xml size=100 KB view=Preview</t>
        </is>
      </c>
      <c r="I2240" s="16" t="inlineStr">
        <is>
          <t>Preview renders appropriately for application/xml at 100 KB. For sizes &gt;= 1 MB, preview cap may kick in with download CTA. UI remains responsive; no freeze.</t>
        </is>
      </c>
      <c r="J2240" s="16" t="inlineStr"/>
      <c r="K2240" s="16" t="inlineStr">
        <is>
          <t>Not Run</t>
        </is>
      </c>
      <c r="L2240" s="16" t="inlineStr">
        <is>
          <t>Medium</t>
        </is>
      </c>
      <c r="M2240" s="16" t="inlineStr"/>
      <c r="N2240" s="16" t="inlineStr"/>
      <c r="O2240" s="16" t="inlineStr"/>
    </row>
    <row r="2241" ht="72" customHeight="1">
      <c r="A2241" s="16" t="inlineStr">
        <is>
          <t>TC-RP-0187</t>
        </is>
      </c>
      <c r="B2241" s="16" t="inlineStr">
        <is>
          <t>Response Panel</t>
        </is>
      </c>
      <c r="C2241" s="16" t="inlineStr">
        <is>
          <t>Viewer Matrix</t>
        </is>
      </c>
      <c r="D2241" s="16" t="inlineStr">
        <is>
          <t>Functional</t>
        </is>
      </c>
      <c r="E2241" s="16" t="inlineStr">
        <is>
          <t>Response body text/html at 100 KB in Pretty viewer</t>
        </is>
      </c>
      <c r="F2241" s="16" t="inlineStr">
        <is>
          <t>-</t>
        </is>
      </c>
      <c r="G2241" s="16" t="inlineStr">
        <is>
          <t>1. Send request returning text/html body of size 100 KB.
2. Switch viewer to Pretty.
3. Inspect rendering and responsiveness.</t>
        </is>
      </c>
      <c r="H2241" s="16" t="inlineStr">
        <is>
          <t>ct=text/html size=100 KB view=Pretty</t>
        </is>
      </c>
      <c r="I2241" s="16" t="inlineStr">
        <is>
          <t>Pretty renders appropriately for text/html at 100 KB. For sizes &gt;= 1 MB, preview cap may kick in with download CTA. UI remains responsive; no freeze.</t>
        </is>
      </c>
      <c r="J2241" s="16" t="inlineStr"/>
      <c r="K2241" s="16" t="inlineStr">
        <is>
          <t>Not Run</t>
        </is>
      </c>
      <c r="L2241" s="16" t="inlineStr">
        <is>
          <t>Medium</t>
        </is>
      </c>
      <c r="M2241" s="16" t="inlineStr"/>
      <c r="N2241" s="16" t="inlineStr"/>
      <c r="O2241" s="16" t="inlineStr"/>
    </row>
    <row r="2242" ht="72" customHeight="1">
      <c r="A2242" s="16" t="inlineStr">
        <is>
          <t>TC-RP-0188</t>
        </is>
      </c>
      <c r="B2242" s="16" t="inlineStr">
        <is>
          <t>Response Panel</t>
        </is>
      </c>
      <c r="C2242" s="16" t="inlineStr">
        <is>
          <t>Viewer Matrix</t>
        </is>
      </c>
      <c r="D2242" s="16" t="inlineStr">
        <is>
          <t>Functional</t>
        </is>
      </c>
      <c r="E2242" s="16" t="inlineStr">
        <is>
          <t>Response body text/html at 100 KB in Raw viewer</t>
        </is>
      </c>
      <c r="F2242" s="16" t="inlineStr">
        <is>
          <t>-</t>
        </is>
      </c>
      <c r="G2242" s="16" t="inlineStr">
        <is>
          <t>1. Send request returning text/html body of size 100 KB.
2. Switch viewer to Raw.
3. Inspect rendering and responsiveness.</t>
        </is>
      </c>
      <c r="H2242" s="16" t="inlineStr">
        <is>
          <t>ct=text/html size=100 KB view=Raw</t>
        </is>
      </c>
      <c r="I2242" s="16" t="inlineStr">
        <is>
          <t>Raw renders appropriately for text/html at 100 KB. For sizes &gt;= 1 MB, preview cap may kick in with download CTA. UI remains responsive; no freeze.</t>
        </is>
      </c>
      <c r="J2242" s="16" t="inlineStr"/>
      <c r="K2242" s="16" t="inlineStr">
        <is>
          <t>Not Run</t>
        </is>
      </c>
      <c r="L2242" s="16" t="inlineStr">
        <is>
          <t>Medium</t>
        </is>
      </c>
      <c r="M2242" s="16" t="inlineStr"/>
      <c r="N2242" s="16" t="inlineStr"/>
      <c r="O2242" s="16" t="inlineStr"/>
    </row>
    <row r="2243" ht="72" customHeight="1">
      <c r="A2243" s="16" t="inlineStr">
        <is>
          <t>TC-RP-0189</t>
        </is>
      </c>
      <c r="B2243" s="16" t="inlineStr">
        <is>
          <t>Response Panel</t>
        </is>
      </c>
      <c r="C2243" s="16" t="inlineStr">
        <is>
          <t>Viewer Matrix</t>
        </is>
      </c>
      <c r="D2243" s="16" t="inlineStr">
        <is>
          <t>Functional</t>
        </is>
      </c>
      <c r="E2243" s="16" t="inlineStr">
        <is>
          <t>Response body text/html at 100 KB in Preview viewer</t>
        </is>
      </c>
      <c r="F2243" s="16" t="inlineStr">
        <is>
          <t>-</t>
        </is>
      </c>
      <c r="G2243" s="16" t="inlineStr">
        <is>
          <t>1. Send request returning text/html body of size 100 KB.
2. Switch viewer to Preview.
3. Inspect rendering and responsiveness.</t>
        </is>
      </c>
      <c r="H2243" s="16" t="inlineStr">
        <is>
          <t>ct=text/html size=100 KB view=Preview</t>
        </is>
      </c>
      <c r="I2243" s="16" t="inlineStr">
        <is>
          <t>Preview renders appropriately for text/html at 100 KB. For sizes &gt;= 1 MB, preview cap may kick in with download CTA. UI remains responsive; no freeze.</t>
        </is>
      </c>
      <c r="J2243" s="16" t="inlineStr"/>
      <c r="K2243" s="16" t="inlineStr">
        <is>
          <t>Not Run</t>
        </is>
      </c>
      <c r="L2243" s="16" t="inlineStr">
        <is>
          <t>Medium</t>
        </is>
      </c>
      <c r="M2243" s="16" t="inlineStr"/>
      <c r="N2243" s="16" t="inlineStr"/>
      <c r="O2243" s="16" t="inlineStr"/>
    </row>
    <row r="2244" ht="72" customHeight="1">
      <c r="A2244" s="16" t="inlineStr">
        <is>
          <t>TC-RP-0190</t>
        </is>
      </c>
      <c r="B2244" s="16" t="inlineStr">
        <is>
          <t>Response Panel</t>
        </is>
      </c>
      <c r="C2244" s="16" t="inlineStr">
        <is>
          <t>Viewer Matrix</t>
        </is>
      </c>
      <c r="D2244" s="16" t="inlineStr">
        <is>
          <t>Functional</t>
        </is>
      </c>
      <c r="E2244" s="16" t="inlineStr">
        <is>
          <t>Response body text/plain at 100 KB in Pretty viewer</t>
        </is>
      </c>
      <c r="F2244" s="16" t="inlineStr">
        <is>
          <t>-</t>
        </is>
      </c>
      <c r="G2244" s="16" t="inlineStr">
        <is>
          <t>1. Send request returning text/plain body of size 100 KB.
2. Switch viewer to Pretty.
3. Inspect rendering and responsiveness.</t>
        </is>
      </c>
      <c r="H2244" s="16" t="inlineStr">
        <is>
          <t>ct=text/plain size=100 KB view=Pretty</t>
        </is>
      </c>
      <c r="I2244" s="16" t="inlineStr">
        <is>
          <t>Pretty renders appropriately for text/plain at 100 KB. For sizes &gt;= 1 MB, preview cap may kick in with download CTA. UI remains responsive; no freeze.</t>
        </is>
      </c>
      <c r="J2244" s="16" t="inlineStr"/>
      <c r="K2244" s="16" t="inlineStr">
        <is>
          <t>Not Run</t>
        </is>
      </c>
      <c r="L2244" s="16" t="inlineStr">
        <is>
          <t>Medium</t>
        </is>
      </c>
      <c r="M2244" s="16" t="inlineStr"/>
      <c r="N2244" s="16" t="inlineStr"/>
      <c r="O2244" s="16" t="inlineStr"/>
    </row>
    <row r="2245" ht="72" customHeight="1">
      <c r="A2245" s="16" t="inlineStr">
        <is>
          <t>TC-RP-0191</t>
        </is>
      </c>
      <c r="B2245" s="16" t="inlineStr">
        <is>
          <t>Response Panel</t>
        </is>
      </c>
      <c r="C2245" s="16" t="inlineStr">
        <is>
          <t>Viewer Matrix</t>
        </is>
      </c>
      <c r="D2245" s="16" t="inlineStr">
        <is>
          <t>Functional</t>
        </is>
      </c>
      <c r="E2245" s="16" t="inlineStr">
        <is>
          <t>Response body text/plain at 100 KB in Raw viewer</t>
        </is>
      </c>
      <c r="F2245" s="16" t="inlineStr">
        <is>
          <t>-</t>
        </is>
      </c>
      <c r="G2245" s="16" t="inlineStr">
        <is>
          <t>1. Send request returning text/plain body of size 100 KB.
2. Switch viewer to Raw.
3. Inspect rendering and responsiveness.</t>
        </is>
      </c>
      <c r="H2245" s="16" t="inlineStr">
        <is>
          <t>ct=text/plain size=100 KB view=Raw</t>
        </is>
      </c>
      <c r="I2245" s="16" t="inlineStr">
        <is>
          <t>Raw renders appropriately for text/plain at 100 KB. For sizes &gt;= 1 MB, preview cap may kick in with download CTA. UI remains responsive; no freeze.</t>
        </is>
      </c>
      <c r="J2245" s="16" t="inlineStr"/>
      <c r="K2245" s="16" t="inlineStr">
        <is>
          <t>Not Run</t>
        </is>
      </c>
      <c r="L2245" s="16" t="inlineStr">
        <is>
          <t>Medium</t>
        </is>
      </c>
      <c r="M2245" s="16" t="inlineStr"/>
      <c r="N2245" s="16" t="inlineStr"/>
      <c r="O2245" s="16" t="inlineStr"/>
    </row>
    <row r="2246" ht="72" customHeight="1">
      <c r="A2246" s="16" t="inlineStr">
        <is>
          <t>TC-RP-0192</t>
        </is>
      </c>
      <c r="B2246" s="16" t="inlineStr">
        <is>
          <t>Response Panel</t>
        </is>
      </c>
      <c r="C2246" s="16" t="inlineStr">
        <is>
          <t>Viewer Matrix</t>
        </is>
      </c>
      <c r="D2246" s="16" t="inlineStr">
        <is>
          <t>Functional</t>
        </is>
      </c>
      <c r="E2246" s="16" t="inlineStr">
        <is>
          <t>Response body text/plain at 100 KB in Preview viewer</t>
        </is>
      </c>
      <c r="F2246" s="16" t="inlineStr">
        <is>
          <t>-</t>
        </is>
      </c>
      <c r="G2246" s="16" t="inlineStr">
        <is>
          <t>1. Send request returning text/plain body of size 100 KB.
2. Switch viewer to Preview.
3. Inspect rendering and responsiveness.</t>
        </is>
      </c>
      <c r="H2246" s="16" t="inlineStr">
        <is>
          <t>ct=text/plain size=100 KB view=Preview</t>
        </is>
      </c>
      <c r="I2246" s="16" t="inlineStr">
        <is>
          <t>Preview renders appropriately for text/plain at 100 KB. For sizes &gt;= 1 MB, preview cap may kick in with download CTA. UI remains responsive; no freeze.</t>
        </is>
      </c>
      <c r="J2246" s="16" t="inlineStr"/>
      <c r="K2246" s="16" t="inlineStr">
        <is>
          <t>Not Run</t>
        </is>
      </c>
      <c r="L2246" s="16" t="inlineStr">
        <is>
          <t>Medium</t>
        </is>
      </c>
      <c r="M2246" s="16" t="inlineStr"/>
      <c r="N2246" s="16" t="inlineStr"/>
      <c r="O2246" s="16" t="inlineStr"/>
    </row>
    <row r="2247" ht="72" customHeight="1">
      <c r="A2247" s="16" t="inlineStr">
        <is>
          <t>TC-RP-0193</t>
        </is>
      </c>
      <c r="B2247" s="16" t="inlineStr">
        <is>
          <t>Response Panel</t>
        </is>
      </c>
      <c r="C2247" s="16" t="inlineStr">
        <is>
          <t>Viewer Matrix</t>
        </is>
      </c>
      <c r="D2247" s="16" t="inlineStr">
        <is>
          <t>Functional</t>
        </is>
      </c>
      <c r="E2247" s="16" t="inlineStr">
        <is>
          <t>Response body application/octet-stream at 100 KB in Pretty viewer</t>
        </is>
      </c>
      <c r="F2247" s="16" t="inlineStr">
        <is>
          <t>-</t>
        </is>
      </c>
      <c r="G2247" s="16" t="inlineStr">
        <is>
          <t>1. Send request returning application/octet-stream body of size 100 KB.
2. Switch viewer to Pretty.
3. Inspect rendering and responsiveness.</t>
        </is>
      </c>
      <c r="H2247" s="16" t="inlineStr">
        <is>
          <t>ct=application/octet-stream size=100 KB view=Pretty</t>
        </is>
      </c>
      <c r="I2247" s="16" t="inlineStr">
        <is>
          <t>Pretty renders appropriately for application/octet-stream at 100 KB. For sizes &gt;= 1 MB, preview cap may kick in with download CTA. UI remains responsive; no freeze.</t>
        </is>
      </c>
      <c r="J2247" s="16" t="inlineStr"/>
      <c r="K2247" s="16" t="inlineStr">
        <is>
          <t>Not Run</t>
        </is>
      </c>
      <c r="L2247" s="16" t="inlineStr">
        <is>
          <t>Medium</t>
        </is>
      </c>
      <c r="M2247" s="16" t="inlineStr"/>
      <c r="N2247" s="16" t="inlineStr"/>
      <c r="O2247" s="16" t="inlineStr"/>
    </row>
    <row r="2248" ht="72" customHeight="1">
      <c r="A2248" s="16" t="inlineStr">
        <is>
          <t>TC-RP-0194</t>
        </is>
      </c>
      <c r="B2248" s="16" t="inlineStr">
        <is>
          <t>Response Panel</t>
        </is>
      </c>
      <c r="C2248" s="16" t="inlineStr">
        <is>
          <t>Viewer Matrix</t>
        </is>
      </c>
      <c r="D2248" s="16" t="inlineStr">
        <is>
          <t>Functional</t>
        </is>
      </c>
      <c r="E2248" s="16" t="inlineStr">
        <is>
          <t>Response body application/octet-stream at 100 KB in Raw viewer</t>
        </is>
      </c>
      <c r="F2248" s="16" t="inlineStr">
        <is>
          <t>-</t>
        </is>
      </c>
      <c r="G2248" s="16" t="inlineStr">
        <is>
          <t>1. Send request returning application/octet-stream body of size 100 KB.
2. Switch viewer to Raw.
3. Inspect rendering and responsiveness.</t>
        </is>
      </c>
      <c r="H2248" s="16" t="inlineStr">
        <is>
          <t>ct=application/octet-stream size=100 KB view=Raw</t>
        </is>
      </c>
      <c r="I2248" s="16" t="inlineStr">
        <is>
          <t>Raw renders appropriately for application/octet-stream at 100 KB. For sizes &gt;= 1 MB, preview cap may kick in with download CTA. UI remains responsive; no freeze.</t>
        </is>
      </c>
      <c r="J2248" s="16" t="inlineStr"/>
      <c r="K2248" s="16" t="inlineStr">
        <is>
          <t>Not Run</t>
        </is>
      </c>
      <c r="L2248" s="16" t="inlineStr">
        <is>
          <t>Medium</t>
        </is>
      </c>
      <c r="M2248" s="16" t="inlineStr"/>
      <c r="N2248" s="16" t="inlineStr"/>
      <c r="O2248" s="16" t="inlineStr"/>
    </row>
    <row r="2249" ht="72" customHeight="1">
      <c r="A2249" s="16" t="inlineStr">
        <is>
          <t>TC-RP-0195</t>
        </is>
      </c>
      <c r="B2249" s="16" t="inlineStr">
        <is>
          <t>Response Panel</t>
        </is>
      </c>
      <c r="C2249" s="16" t="inlineStr">
        <is>
          <t>Viewer Matrix</t>
        </is>
      </c>
      <c r="D2249" s="16" t="inlineStr">
        <is>
          <t>Functional</t>
        </is>
      </c>
      <c r="E2249" s="16" t="inlineStr">
        <is>
          <t>Response body application/octet-stream at 100 KB in Preview viewer</t>
        </is>
      </c>
      <c r="F2249" s="16" t="inlineStr">
        <is>
          <t>-</t>
        </is>
      </c>
      <c r="G2249" s="16" t="inlineStr">
        <is>
          <t>1. Send request returning application/octet-stream body of size 100 KB.
2. Switch viewer to Preview.
3. Inspect rendering and responsiveness.</t>
        </is>
      </c>
      <c r="H2249" s="16" t="inlineStr">
        <is>
          <t>ct=application/octet-stream size=100 KB view=Preview</t>
        </is>
      </c>
      <c r="I2249" s="16" t="inlineStr">
        <is>
          <t>Preview renders appropriately for application/octet-stream at 100 KB. For sizes &gt;= 1 MB, preview cap may kick in with download CTA. UI remains responsive; no freeze.</t>
        </is>
      </c>
      <c r="J2249" s="16" t="inlineStr"/>
      <c r="K2249" s="16" t="inlineStr">
        <is>
          <t>Not Run</t>
        </is>
      </c>
      <c r="L2249" s="16" t="inlineStr">
        <is>
          <t>Medium</t>
        </is>
      </c>
      <c r="M2249" s="16" t="inlineStr"/>
      <c r="N2249" s="16" t="inlineStr"/>
      <c r="O2249" s="16" t="inlineStr"/>
    </row>
    <row r="2250" ht="72" customHeight="1">
      <c r="A2250" s="16" t="inlineStr">
        <is>
          <t>TC-RP-0196</t>
        </is>
      </c>
      <c r="B2250" s="16" t="inlineStr">
        <is>
          <t>Response Panel</t>
        </is>
      </c>
      <c r="C2250" s="16" t="inlineStr">
        <is>
          <t>Viewer Matrix</t>
        </is>
      </c>
      <c r="D2250" s="16" t="inlineStr">
        <is>
          <t>Functional</t>
        </is>
      </c>
      <c r="E2250" s="16" t="inlineStr">
        <is>
          <t>Response body text/csv at 100 KB in Pretty viewer</t>
        </is>
      </c>
      <c r="F2250" s="16" t="inlineStr">
        <is>
          <t>-</t>
        </is>
      </c>
      <c r="G2250" s="16" t="inlineStr">
        <is>
          <t>1. Send request returning text/csv body of size 100 KB.
2. Switch viewer to Pretty.
3. Inspect rendering and responsiveness.</t>
        </is>
      </c>
      <c r="H2250" s="16" t="inlineStr">
        <is>
          <t>ct=text/csv size=100 KB view=Pretty</t>
        </is>
      </c>
      <c r="I2250" s="16" t="inlineStr">
        <is>
          <t>Pretty renders appropriately for text/csv at 100 KB. For sizes &gt;= 1 MB, preview cap may kick in with download CTA. UI remains responsive; no freeze.</t>
        </is>
      </c>
      <c r="J2250" s="16" t="inlineStr"/>
      <c r="K2250" s="16" t="inlineStr">
        <is>
          <t>Not Run</t>
        </is>
      </c>
      <c r="L2250" s="16" t="inlineStr">
        <is>
          <t>Medium</t>
        </is>
      </c>
      <c r="M2250" s="16" t="inlineStr"/>
      <c r="N2250" s="16" t="inlineStr"/>
      <c r="O2250" s="16" t="inlineStr"/>
    </row>
    <row r="2251" ht="72" customHeight="1">
      <c r="A2251" s="16" t="inlineStr">
        <is>
          <t>TC-RP-0197</t>
        </is>
      </c>
      <c r="B2251" s="16" t="inlineStr">
        <is>
          <t>Response Panel</t>
        </is>
      </c>
      <c r="C2251" s="16" t="inlineStr">
        <is>
          <t>Viewer Matrix</t>
        </is>
      </c>
      <c r="D2251" s="16" t="inlineStr">
        <is>
          <t>Functional</t>
        </is>
      </c>
      <c r="E2251" s="16" t="inlineStr">
        <is>
          <t>Response body text/csv at 100 KB in Raw viewer</t>
        </is>
      </c>
      <c r="F2251" s="16" t="inlineStr">
        <is>
          <t>-</t>
        </is>
      </c>
      <c r="G2251" s="16" t="inlineStr">
        <is>
          <t>1. Send request returning text/csv body of size 100 KB.
2. Switch viewer to Raw.
3. Inspect rendering and responsiveness.</t>
        </is>
      </c>
      <c r="H2251" s="16" t="inlineStr">
        <is>
          <t>ct=text/csv size=100 KB view=Raw</t>
        </is>
      </c>
      <c r="I2251" s="16" t="inlineStr">
        <is>
          <t>Raw renders appropriately for text/csv at 100 KB. For sizes &gt;= 1 MB, preview cap may kick in with download CTA. UI remains responsive; no freeze.</t>
        </is>
      </c>
      <c r="J2251" s="16" t="inlineStr"/>
      <c r="K2251" s="16" t="inlineStr">
        <is>
          <t>Not Run</t>
        </is>
      </c>
      <c r="L2251" s="16" t="inlineStr">
        <is>
          <t>Medium</t>
        </is>
      </c>
      <c r="M2251" s="16" t="inlineStr"/>
      <c r="N2251" s="16" t="inlineStr"/>
      <c r="O2251" s="16" t="inlineStr"/>
    </row>
    <row r="2252" ht="72" customHeight="1">
      <c r="A2252" s="16" t="inlineStr">
        <is>
          <t>TC-RP-0198</t>
        </is>
      </c>
      <c r="B2252" s="16" t="inlineStr">
        <is>
          <t>Response Panel</t>
        </is>
      </c>
      <c r="C2252" s="16" t="inlineStr">
        <is>
          <t>Viewer Matrix</t>
        </is>
      </c>
      <c r="D2252" s="16" t="inlineStr">
        <is>
          <t>Functional</t>
        </is>
      </c>
      <c r="E2252" s="16" t="inlineStr">
        <is>
          <t>Response body text/csv at 100 KB in Preview viewer</t>
        </is>
      </c>
      <c r="F2252" s="16" t="inlineStr">
        <is>
          <t>-</t>
        </is>
      </c>
      <c r="G2252" s="16" t="inlineStr">
        <is>
          <t>1. Send request returning text/csv body of size 100 KB.
2. Switch viewer to Preview.
3. Inspect rendering and responsiveness.</t>
        </is>
      </c>
      <c r="H2252" s="16" t="inlineStr">
        <is>
          <t>ct=text/csv size=100 KB view=Preview</t>
        </is>
      </c>
      <c r="I2252" s="16" t="inlineStr">
        <is>
          <t>Preview renders appropriately for text/csv at 100 KB. For sizes &gt;= 1 MB, preview cap may kick in with download CTA. UI remains responsive; no freeze.</t>
        </is>
      </c>
      <c r="J2252" s="16" t="inlineStr"/>
      <c r="K2252" s="16" t="inlineStr">
        <is>
          <t>Not Run</t>
        </is>
      </c>
      <c r="L2252" s="16" t="inlineStr">
        <is>
          <t>Medium</t>
        </is>
      </c>
      <c r="M2252" s="16" t="inlineStr"/>
      <c r="N2252" s="16" t="inlineStr"/>
      <c r="O2252" s="16" t="inlineStr"/>
    </row>
    <row r="2253" ht="72" customHeight="1">
      <c r="A2253" s="16" t="inlineStr">
        <is>
          <t>TC-RP-0199</t>
        </is>
      </c>
      <c r="B2253" s="16" t="inlineStr">
        <is>
          <t>Response Panel</t>
        </is>
      </c>
      <c r="C2253" s="16" t="inlineStr">
        <is>
          <t>Viewer Matrix</t>
        </is>
      </c>
      <c r="D2253" s="16" t="inlineStr">
        <is>
          <t>Functional</t>
        </is>
      </c>
      <c r="E2253" s="16" t="inlineStr">
        <is>
          <t>Response body image/png at 100 KB in Pretty viewer</t>
        </is>
      </c>
      <c r="F2253" s="16" t="inlineStr">
        <is>
          <t>-</t>
        </is>
      </c>
      <c r="G2253" s="16" t="inlineStr">
        <is>
          <t>1. Send request returning image/png body of size 100 KB.
2. Switch viewer to Pretty.
3. Inspect rendering and responsiveness.</t>
        </is>
      </c>
      <c r="H2253" s="16" t="inlineStr">
        <is>
          <t>ct=image/png size=100 KB view=Pretty</t>
        </is>
      </c>
      <c r="I2253" s="16" t="inlineStr">
        <is>
          <t>Pretty renders appropriately for image/png at 100 KB. For sizes &gt;= 1 MB, preview cap may kick in with download CTA. UI remains responsive; no freeze.</t>
        </is>
      </c>
      <c r="J2253" s="16" t="inlineStr"/>
      <c r="K2253" s="16" t="inlineStr">
        <is>
          <t>Not Run</t>
        </is>
      </c>
      <c r="L2253" s="16" t="inlineStr">
        <is>
          <t>Medium</t>
        </is>
      </c>
      <c r="M2253" s="16" t="inlineStr"/>
      <c r="N2253" s="16" t="inlineStr"/>
      <c r="O2253" s="16" t="inlineStr"/>
    </row>
    <row r="2254" ht="72" customHeight="1">
      <c r="A2254" s="16" t="inlineStr">
        <is>
          <t>TC-RP-0200</t>
        </is>
      </c>
      <c r="B2254" s="16" t="inlineStr">
        <is>
          <t>Response Panel</t>
        </is>
      </c>
      <c r="C2254" s="16" t="inlineStr">
        <is>
          <t>Viewer Matrix</t>
        </is>
      </c>
      <c r="D2254" s="16" t="inlineStr">
        <is>
          <t>Functional</t>
        </is>
      </c>
      <c r="E2254" s="16" t="inlineStr">
        <is>
          <t>Response body image/png at 100 KB in Raw viewer</t>
        </is>
      </c>
      <c r="F2254" s="16" t="inlineStr">
        <is>
          <t>-</t>
        </is>
      </c>
      <c r="G2254" s="16" t="inlineStr">
        <is>
          <t>1. Send request returning image/png body of size 100 KB.
2. Switch viewer to Raw.
3. Inspect rendering and responsiveness.</t>
        </is>
      </c>
      <c r="H2254" s="16" t="inlineStr">
        <is>
          <t>ct=image/png size=100 KB view=Raw</t>
        </is>
      </c>
      <c r="I2254" s="16" t="inlineStr">
        <is>
          <t>Raw renders appropriately for image/png at 100 KB. For sizes &gt;= 1 MB, preview cap may kick in with download CTA. UI remains responsive; no freeze.</t>
        </is>
      </c>
      <c r="J2254" s="16" t="inlineStr"/>
      <c r="K2254" s="16" t="inlineStr">
        <is>
          <t>Not Run</t>
        </is>
      </c>
      <c r="L2254" s="16" t="inlineStr">
        <is>
          <t>Medium</t>
        </is>
      </c>
      <c r="M2254" s="16" t="inlineStr"/>
      <c r="N2254" s="16" t="inlineStr"/>
      <c r="O2254" s="16" t="inlineStr"/>
    </row>
    <row r="2255" ht="72" customHeight="1">
      <c r="A2255" s="16" t="inlineStr">
        <is>
          <t>TC-RP-0201</t>
        </is>
      </c>
      <c r="B2255" s="16" t="inlineStr">
        <is>
          <t>Response Panel</t>
        </is>
      </c>
      <c r="C2255" s="16" t="inlineStr">
        <is>
          <t>Viewer Matrix</t>
        </is>
      </c>
      <c r="D2255" s="16" t="inlineStr">
        <is>
          <t>Functional</t>
        </is>
      </c>
      <c r="E2255" s="16" t="inlineStr">
        <is>
          <t>Response body image/png at 100 KB in Preview viewer</t>
        </is>
      </c>
      <c r="F2255" s="16" t="inlineStr">
        <is>
          <t>-</t>
        </is>
      </c>
      <c r="G2255" s="16" t="inlineStr">
        <is>
          <t>1. Send request returning image/png body of size 100 KB.
2. Switch viewer to Preview.
3. Inspect rendering and responsiveness.</t>
        </is>
      </c>
      <c r="H2255" s="16" t="inlineStr">
        <is>
          <t>ct=image/png size=100 KB view=Preview</t>
        </is>
      </c>
      <c r="I2255" s="16" t="inlineStr">
        <is>
          <t>Preview renders appropriately for image/png at 100 KB. For sizes &gt;= 1 MB, preview cap may kick in with download CTA. UI remains responsive; no freeze.</t>
        </is>
      </c>
      <c r="J2255" s="16" t="inlineStr"/>
      <c r="K2255" s="16" t="inlineStr">
        <is>
          <t>Not Run</t>
        </is>
      </c>
      <c r="L2255" s="16" t="inlineStr">
        <is>
          <t>Medium</t>
        </is>
      </c>
      <c r="M2255" s="16" t="inlineStr"/>
      <c r="N2255" s="16" t="inlineStr"/>
      <c r="O2255" s="16" t="inlineStr"/>
    </row>
    <row r="2256" ht="72" customHeight="1">
      <c r="A2256" s="16" t="inlineStr">
        <is>
          <t>TC-RP-0202</t>
        </is>
      </c>
      <c r="B2256" s="16" t="inlineStr">
        <is>
          <t>Response Panel</t>
        </is>
      </c>
      <c r="C2256" s="16" t="inlineStr">
        <is>
          <t>Viewer Matrix</t>
        </is>
      </c>
      <c r="D2256" s="16" t="inlineStr">
        <is>
          <t>Functional</t>
        </is>
      </c>
      <c r="E2256" s="16" t="inlineStr">
        <is>
          <t>Response body image/jpeg at 100 KB in Pretty viewer</t>
        </is>
      </c>
      <c r="F2256" s="16" t="inlineStr">
        <is>
          <t>-</t>
        </is>
      </c>
      <c r="G2256" s="16" t="inlineStr">
        <is>
          <t>1. Send request returning image/jpeg body of size 100 KB.
2. Switch viewer to Pretty.
3. Inspect rendering and responsiveness.</t>
        </is>
      </c>
      <c r="H2256" s="16" t="inlineStr">
        <is>
          <t>ct=image/jpeg size=100 KB view=Pretty</t>
        </is>
      </c>
      <c r="I2256" s="16" t="inlineStr">
        <is>
          <t>Pretty renders appropriately for image/jpeg at 100 KB. For sizes &gt;= 1 MB, preview cap may kick in with download CTA. UI remains responsive; no freeze.</t>
        </is>
      </c>
      <c r="J2256" s="16" t="inlineStr"/>
      <c r="K2256" s="16" t="inlineStr">
        <is>
          <t>Not Run</t>
        </is>
      </c>
      <c r="L2256" s="16" t="inlineStr">
        <is>
          <t>Medium</t>
        </is>
      </c>
      <c r="M2256" s="16" t="inlineStr"/>
      <c r="N2256" s="16" t="inlineStr"/>
      <c r="O2256" s="16" t="inlineStr"/>
    </row>
    <row r="2257" ht="72" customHeight="1">
      <c r="A2257" s="16" t="inlineStr">
        <is>
          <t>TC-RP-0203</t>
        </is>
      </c>
      <c r="B2257" s="16" t="inlineStr">
        <is>
          <t>Response Panel</t>
        </is>
      </c>
      <c r="C2257" s="16" t="inlineStr">
        <is>
          <t>Viewer Matrix</t>
        </is>
      </c>
      <c r="D2257" s="16" t="inlineStr">
        <is>
          <t>Functional</t>
        </is>
      </c>
      <c r="E2257" s="16" t="inlineStr">
        <is>
          <t>Response body image/jpeg at 100 KB in Raw viewer</t>
        </is>
      </c>
      <c r="F2257" s="16" t="inlineStr">
        <is>
          <t>-</t>
        </is>
      </c>
      <c r="G2257" s="16" t="inlineStr">
        <is>
          <t>1. Send request returning image/jpeg body of size 100 KB.
2. Switch viewer to Raw.
3. Inspect rendering and responsiveness.</t>
        </is>
      </c>
      <c r="H2257" s="16" t="inlineStr">
        <is>
          <t>ct=image/jpeg size=100 KB view=Raw</t>
        </is>
      </c>
      <c r="I2257" s="16" t="inlineStr">
        <is>
          <t>Raw renders appropriately for image/jpeg at 100 KB. For sizes &gt;= 1 MB, preview cap may kick in with download CTA. UI remains responsive; no freeze.</t>
        </is>
      </c>
      <c r="J2257" s="16" t="inlineStr"/>
      <c r="K2257" s="16" t="inlineStr">
        <is>
          <t>Not Run</t>
        </is>
      </c>
      <c r="L2257" s="16" t="inlineStr">
        <is>
          <t>Medium</t>
        </is>
      </c>
      <c r="M2257" s="16" t="inlineStr"/>
      <c r="N2257" s="16" t="inlineStr"/>
      <c r="O2257" s="16" t="inlineStr"/>
    </row>
    <row r="2258" ht="72" customHeight="1">
      <c r="A2258" s="16" t="inlineStr">
        <is>
          <t>TC-RP-0204</t>
        </is>
      </c>
      <c r="B2258" s="16" t="inlineStr">
        <is>
          <t>Response Panel</t>
        </is>
      </c>
      <c r="C2258" s="16" t="inlineStr">
        <is>
          <t>Viewer Matrix</t>
        </is>
      </c>
      <c r="D2258" s="16" t="inlineStr">
        <is>
          <t>Functional</t>
        </is>
      </c>
      <c r="E2258" s="16" t="inlineStr">
        <is>
          <t>Response body image/jpeg at 100 KB in Preview viewer</t>
        </is>
      </c>
      <c r="F2258" s="16" t="inlineStr">
        <is>
          <t>-</t>
        </is>
      </c>
      <c r="G2258" s="16" t="inlineStr">
        <is>
          <t>1. Send request returning image/jpeg body of size 100 KB.
2. Switch viewer to Preview.
3. Inspect rendering and responsiveness.</t>
        </is>
      </c>
      <c r="H2258" s="16" t="inlineStr">
        <is>
          <t>ct=image/jpeg size=100 KB view=Preview</t>
        </is>
      </c>
      <c r="I2258" s="16" t="inlineStr">
        <is>
          <t>Preview renders appropriately for image/jpeg at 100 KB. For sizes &gt;= 1 MB, preview cap may kick in with download CTA. UI remains responsive; no freeze.</t>
        </is>
      </c>
      <c r="J2258" s="16" t="inlineStr"/>
      <c r="K2258" s="16" t="inlineStr">
        <is>
          <t>Not Run</t>
        </is>
      </c>
      <c r="L2258" s="16" t="inlineStr">
        <is>
          <t>Medium</t>
        </is>
      </c>
      <c r="M2258" s="16" t="inlineStr"/>
      <c r="N2258" s="16" t="inlineStr"/>
      <c r="O2258" s="16" t="inlineStr"/>
    </row>
    <row r="2259" ht="72" customHeight="1">
      <c r="A2259" s="16" t="inlineStr">
        <is>
          <t>TC-RP-0205</t>
        </is>
      </c>
      <c r="B2259" s="16" t="inlineStr">
        <is>
          <t>Response Panel</t>
        </is>
      </c>
      <c r="C2259" s="16" t="inlineStr">
        <is>
          <t>Viewer Matrix</t>
        </is>
      </c>
      <c r="D2259" s="16" t="inlineStr">
        <is>
          <t>Functional</t>
        </is>
      </c>
      <c r="E2259" s="16" t="inlineStr">
        <is>
          <t>Response body application/pdf at 100 KB in Pretty viewer</t>
        </is>
      </c>
      <c r="F2259" s="16" t="inlineStr">
        <is>
          <t>-</t>
        </is>
      </c>
      <c r="G2259" s="16" t="inlineStr">
        <is>
          <t>1. Send request returning application/pdf body of size 100 KB.
2. Switch viewer to Pretty.
3. Inspect rendering and responsiveness.</t>
        </is>
      </c>
      <c r="H2259" s="16" t="inlineStr">
        <is>
          <t>ct=application/pdf size=100 KB view=Pretty</t>
        </is>
      </c>
      <c r="I2259" s="16" t="inlineStr">
        <is>
          <t>Pretty renders appropriately for application/pdf at 100 KB. For sizes &gt;= 1 MB, preview cap may kick in with download CTA. UI remains responsive; no freeze.</t>
        </is>
      </c>
      <c r="J2259" s="16" t="inlineStr"/>
      <c r="K2259" s="16" t="inlineStr">
        <is>
          <t>Not Run</t>
        </is>
      </c>
      <c r="L2259" s="16" t="inlineStr">
        <is>
          <t>Medium</t>
        </is>
      </c>
      <c r="M2259" s="16" t="inlineStr"/>
      <c r="N2259" s="16" t="inlineStr"/>
      <c r="O2259" s="16" t="inlineStr"/>
    </row>
    <row r="2260" ht="72" customHeight="1">
      <c r="A2260" s="16" t="inlineStr">
        <is>
          <t>TC-RP-0206</t>
        </is>
      </c>
      <c r="B2260" s="16" t="inlineStr">
        <is>
          <t>Response Panel</t>
        </is>
      </c>
      <c r="C2260" s="16" t="inlineStr">
        <is>
          <t>Viewer Matrix</t>
        </is>
      </c>
      <c r="D2260" s="16" t="inlineStr">
        <is>
          <t>Functional</t>
        </is>
      </c>
      <c r="E2260" s="16" t="inlineStr">
        <is>
          <t>Response body application/pdf at 100 KB in Raw viewer</t>
        </is>
      </c>
      <c r="F2260" s="16" t="inlineStr">
        <is>
          <t>-</t>
        </is>
      </c>
      <c r="G2260" s="16" t="inlineStr">
        <is>
          <t>1. Send request returning application/pdf body of size 100 KB.
2. Switch viewer to Raw.
3. Inspect rendering and responsiveness.</t>
        </is>
      </c>
      <c r="H2260" s="16" t="inlineStr">
        <is>
          <t>ct=application/pdf size=100 KB view=Raw</t>
        </is>
      </c>
      <c r="I2260" s="16" t="inlineStr">
        <is>
          <t>Raw renders appropriately for application/pdf at 100 KB. For sizes &gt;= 1 MB, preview cap may kick in with download CTA. UI remains responsive; no freeze.</t>
        </is>
      </c>
      <c r="J2260" s="16" t="inlineStr"/>
      <c r="K2260" s="16" t="inlineStr">
        <is>
          <t>Not Run</t>
        </is>
      </c>
      <c r="L2260" s="16" t="inlineStr">
        <is>
          <t>Medium</t>
        </is>
      </c>
      <c r="M2260" s="16" t="inlineStr"/>
      <c r="N2260" s="16" t="inlineStr"/>
      <c r="O2260" s="16" t="inlineStr"/>
    </row>
    <row r="2261" ht="72" customHeight="1">
      <c r="A2261" s="16" t="inlineStr">
        <is>
          <t>TC-RP-0207</t>
        </is>
      </c>
      <c r="B2261" s="16" t="inlineStr">
        <is>
          <t>Response Panel</t>
        </is>
      </c>
      <c r="C2261" s="16" t="inlineStr">
        <is>
          <t>Viewer Matrix</t>
        </is>
      </c>
      <c r="D2261" s="16" t="inlineStr">
        <is>
          <t>Functional</t>
        </is>
      </c>
      <c r="E2261" s="16" t="inlineStr">
        <is>
          <t>Response body application/pdf at 100 KB in Preview viewer</t>
        </is>
      </c>
      <c r="F2261" s="16" t="inlineStr">
        <is>
          <t>-</t>
        </is>
      </c>
      <c r="G2261" s="16" t="inlineStr">
        <is>
          <t>1. Send request returning application/pdf body of size 100 KB.
2. Switch viewer to Preview.
3. Inspect rendering and responsiveness.</t>
        </is>
      </c>
      <c r="H2261" s="16" t="inlineStr">
        <is>
          <t>ct=application/pdf size=100 KB view=Preview</t>
        </is>
      </c>
      <c r="I2261" s="16" t="inlineStr">
        <is>
          <t>Preview renders appropriately for application/pdf at 100 KB. For sizes &gt;= 1 MB, preview cap may kick in with download CTA. UI remains responsive; no freeze.</t>
        </is>
      </c>
      <c r="J2261" s="16" t="inlineStr"/>
      <c r="K2261" s="16" t="inlineStr">
        <is>
          <t>Not Run</t>
        </is>
      </c>
      <c r="L2261" s="16" t="inlineStr">
        <is>
          <t>Medium</t>
        </is>
      </c>
      <c r="M2261" s="16" t="inlineStr"/>
      <c r="N2261" s="16" t="inlineStr"/>
      <c r="O2261" s="16" t="inlineStr"/>
    </row>
    <row r="2262" ht="72" customHeight="1">
      <c r="A2262" s="16" t="inlineStr">
        <is>
          <t>TC-RP-0208</t>
        </is>
      </c>
      <c r="B2262" s="16" t="inlineStr">
        <is>
          <t>Response Panel</t>
        </is>
      </c>
      <c r="C2262" s="16" t="inlineStr">
        <is>
          <t>Viewer Matrix</t>
        </is>
      </c>
      <c r="D2262" s="16" t="inlineStr">
        <is>
          <t>Functional</t>
        </is>
      </c>
      <c r="E2262" s="16" t="inlineStr">
        <is>
          <t>Response body text/event-stream at 100 KB in Pretty viewer</t>
        </is>
      </c>
      <c r="F2262" s="16" t="inlineStr">
        <is>
          <t>-</t>
        </is>
      </c>
      <c r="G2262" s="16" t="inlineStr">
        <is>
          <t>1. Send request returning text/event-stream body of size 100 KB.
2. Switch viewer to Pretty.
3. Inspect rendering and responsiveness.</t>
        </is>
      </c>
      <c r="H2262" s="16" t="inlineStr">
        <is>
          <t>ct=text/event-stream size=100 KB view=Pretty</t>
        </is>
      </c>
      <c r="I2262" s="16" t="inlineStr">
        <is>
          <t>Pretty renders appropriately for text/event-stream at 100 KB. For sizes &gt;= 1 MB, preview cap may kick in with download CTA. UI remains responsive; no freeze.</t>
        </is>
      </c>
      <c r="J2262" s="16" t="inlineStr"/>
      <c r="K2262" s="16" t="inlineStr">
        <is>
          <t>Not Run</t>
        </is>
      </c>
      <c r="L2262" s="16" t="inlineStr">
        <is>
          <t>Medium</t>
        </is>
      </c>
      <c r="M2262" s="16" t="inlineStr"/>
      <c r="N2262" s="16" t="inlineStr"/>
      <c r="O2262" s="16" t="inlineStr"/>
    </row>
    <row r="2263" ht="72" customHeight="1">
      <c r="A2263" s="16" t="inlineStr">
        <is>
          <t>TC-RP-0209</t>
        </is>
      </c>
      <c r="B2263" s="16" t="inlineStr">
        <is>
          <t>Response Panel</t>
        </is>
      </c>
      <c r="C2263" s="16" t="inlineStr">
        <is>
          <t>Viewer Matrix</t>
        </is>
      </c>
      <c r="D2263" s="16" t="inlineStr">
        <is>
          <t>Functional</t>
        </is>
      </c>
      <c r="E2263" s="16" t="inlineStr">
        <is>
          <t>Response body text/event-stream at 100 KB in Raw viewer</t>
        </is>
      </c>
      <c r="F2263" s="16" t="inlineStr">
        <is>
          <t>-</t>
        </is>
      </c>
      <c r="G2263" s="16" t="inlineStr">
        <is>
          <t>1. Send request returning text/event-stream body of size 100 KB.
2. Switch viewer to Raw.
3. Inspect rendering and responsiveness.</t>
        </is>
      </c>
      <c r="H2263" s="16" t="inlineStr">
        <is>
          <t>ct=text/event-stream size=100 KB view=Raw</t>
        </is>
      </c>
      <c r="I2263" s="16" t="inlineStr">
        <is>
          <t>Raw renders appropriately for text/event-stream at 100 KB. For sizes &gt;= 1 MB, preview cap may kick in with download CTA. UI remains responsive; no freeze.</t>
        </is>
      </c>
      <c r="J2263" s="16" t="inlineStr"/>
      <c r="K2263" s="16" t="inlineStr">
        <is>
          <t>Not Run</t>
        </is>
      </c>
      <c r="L2263" s="16" t="inlineStr">
        <is>
          <t>Medium</t>
        </is>
      </c>
      <c r="M2263" s="16" t="inlineStr"/>
      <c r="N2263" s="16" t="inlineStr"/>
      <c r="O2263" s="16" t="inlineStr"/>
    </row>
    <row r="2264" ht="72" customHeight="1">
      <c r="A2264" s="16" t="inlineStr">
        <is>
          <t>TC-RP-0210</t>
        </is>
      </c>
      <c r="B2264" s="16" t="inlineStr">
        <is>
          <t>Response Panel</t>
        </is>
      </c>
      <c r="C2264" s="16" t="inlineStr">
        <is>
          <t>Viewer Matrix</t>
        </is>
      </c>
      <c r="D2264" s="16" t="inlineStr">
        <is>
          <t>Functional</t>
        </is>
      </c>
      <c r="E2264" s="16" t="inlineStr">
        <is>
          <t>Response body text/event-stream at 100 KB in Preview viewer</t>
        </is>
      </c>
      <c r="F2264" s="16" t="inlineStr">
        <is>
          <t>-</t>
        </is>
      </c>
      <c r="G2264" s="16" t="inlineStr">
        <is>
          <t>1. Send request returning text/event-stream body of size 100 KB.
2. Switch viewer to Preview.
3. Inspect rendering and responsiveness.</t>
        </is>
      </c>
      <c r="H2264" s="16" t="inlineStr">
        <is>
          <t>ct=text/event-stream size=100 KB view=Preview</t>
        </is>
      </c>
      <c r="I2264" s="16" t="inlineStr">
        <is>
          <t>Preview renders appropriately for text/event-stream at 100 KB. For sizes &gt;= 1 MB, preview cap may kick in with download CTA. UI remains responsive; no freeze.</t>
        </is>
      </c>
      <c r="J2264" s="16" t="inlineStr"/>
      <c r="K2264" s="16" t="inlineStr">
        <is>
          <t>Not Run</t>
        </is>
      </c>
      <c r="L2264" s="16" t="inlineStr">
        <is>
          <t>Medium</t>
        </is>
      </c>
      <c r="M2264" s="16" t="inlineStr"/>
      <c r="N2264" s="16" t="inlineStr"/>
      <c r="O2264" s="16" t="inlineStr"/>
    </row>
    <row r="2265" ht="72" customHeight="1">
      <c r="A2265" s="16" t="inlineStr">
        <is>
          <t>TC-RP-0211</t>
        </is>
      </c>
      <c r="B2265" s="16" t="inlineStr">
        <is>
          <t>Response Panel</t>
        </is>
      </c>
      <c r="C2265" s="16" t="inlineStr">
        <is>
          <t>Viewer Matrix</t>
        </is>
      </c>
      <c r="D2265" s="16" t="inlineStr">
        <is>
          <t>Functional</t>
        </is>
      </c>
      <c r="E2265" s="16" t="inlineStr">
        <is>
          <t>Response body application/x-yaml at 100 KB in Pretty viewer</t>
        </is>
      </c>
      <c r="F2265" s="16" t="inlineStr">
        <is>
          <t>-</t>
        </is>
      </c>
      <c r="G2265" s="16" t="inlineStr">
        <is>
          <t>1. Send request returning application/x-yaml body of size 100 KB.
2. Switch viewer to Pretty.
3. Inspect rendering and responsiveness.</t>
        </is>
      </c>
      <c r="H2265" s="16" t="inlineStr">
        <is>
          <t>ct=application/x-yaml size=100 KB view=Pretty</t>
        </is>
      </c>
      <c r="I2265" s="16" t="inlineStr">
        <is>
          <t>Pretty renders appropriately for application/x-yaml at 100 KB. For sizes &gt;= 1 MB, preview cap may kick in with download CTA. UI remains responsive; no freeze.</t>
        </is>
      </c>
      <c r="J2265" s="16" t="inlineStr"/>
      <c r="K2265" s="16" t="inlineStr">
        <is>
          <t>Not Run</t>
        </is>
      </c>
      <c r="L2265" s="16" t="inlineStr">
        <is>
          <t>Medium</t>
        </is>
      </c>
      <c r="M2265" s="16" t="inlineStr"/>
      <c r="N2265" s="16" t="inlineStr"/>
      <c r="O2265" s="16" t="inlineStr"/>
    </row>
    <row r="2266" ht="72" customHeight="1">
      <c r="A2266" s="16" t="inlineStr">
        <is>
          <t>TC-RP-0212</t>
        </is>
      </c>
      <c r="B2266" s="16" t="inlineStr">
        <is>
          <t>Response Panel</t>
        </is>
      </c>
      <c r="C2266" s="16" t="inlineStr">
        <is>
          <t>Viewer Matrix</t>
        </is>
      </c>
      <c r="D2266" s="16" t="inlineStr">
        <is>
          <t>Functional</t>
        </is>
      </c>
      <c r="E2266" s="16" t="inlineStr">
        <is>
          <t>Response body application/x-yaml at 100 KB in Raw viewer</t>
        </is>
      </c>
      <c r="F2266" s="16" t="inlineStr">
        <is>
          <t>-</t>
        </is>
      </c>
      <c r="G2266" s="16" t="inlineStr">
        <is>
          <t>1. Send request returning application/x-yaml body of size 100 KB.
2. Switch viewer to Raw.
3. Inspect rendering and responsiveness.</t>
        </is>
      </c>
      <c r="H2266" s="16" t="inlineStr">
        <is>
          <t>ct=application/x-yaml size=100 KB view=Raw</t>
        </is>
      </c>
      <c r="I2266" s="16" t="inlineStr">
        <is>
          <t>Raw renders appropriately for application/x-yaml at 100 KB. For sizes &gt;= 1 MB, preview cap may kick in with download CTA. UI remains responsive; no freeze.</t>
        </is>
      </c>
      <c r="J2266" s="16" t="inlineStr"/>
      <c r="K2266" s="16" t="inlineStr">
        <is>
          <t>Not Run</t>
        </is>
      </c>
      <c r="L2266" s="16" t="inlineStr">
        <is>
          <t>Medium</t>
        </is>
      </c>
      <c r="M2266" s="16" t="inlineStr"/>
      <c r="N2266" s="16" t="inlineStr"/>
      <c r="O2266" s="16" t="inlineStr"/>
    </row>
    <row r="2267" ht="72" customHeight="1">
      <c r="A2267" s="16" t="inlineStr">
        <is>
          <t>TC-RP-0213</t>
        </is>
      </c>
      <c r="B2267" s="16" t="inlineStr">
        <is>
          <t>Response Panel</t>
        </is>
      </c>
      <c r="C2267" s="16" t="inlineStr">
        <is>
          <t>Viewer Matrix</t>
        </is>
      </c>
      <c r="D2267" s="16" t="inlineStr">
        <is>
          <t>Functional</t>
        </is>
      </c>
      <c r="E2267" s="16" t="inlineStr">
        <is>
          <t>Response body application/x-yaml at 100 KB in Preview viewer</t>
        </is>
      </c>
      <c r="F2267" s="16" t="inlineStr">
        <is>
          <t>-</t>
        </is>
      </c>
      <c r="G2267" s="16" t="inlineStr">
        <is>
          <t>1. Send request returning application/x-yaml body of size 100 KB.
2. Switch viewer to Preview.
3. Inspect rendering and responsiveness.</t>
        </is>
      </c>
      <c r="H2267" s="16" t="inlineStr">
        <is>
          <t>ct=application/x-yaml size=100 KB view=Preview</t>
        </is>
      </c>
      <c r="I2267" s="16" t="inlineStr">
        <is>
          <t>Preview renders appropriately for application/x-yaml at 100 KB. For sizes &gt;= 1 MB, preview cap may kick in with download CTA. UI remains responsive; no freeze.</t>
        </is>
      </c>
      <c r="J2267" s="16" t="inlineStr"/>
      <c r="K2267" s="16" t="inlineStr">
        <is>
          <t>Not Run</t>
        </is>
      </c>
      <c r="L2267" s="16" t="inlineStr">
        <is>
          <t>Medium</t>
        </is>
      </c>
      <c r="M2267" s="16" t="inlineStr"/>
      <c r="N2267" s="16" t="inlineStr"/>
      <c r="O2267" s="16" t="inlineStr"/>
    </row>
    <row r="2268" ht="72" customHeight="1">
      <c r="A2268" s="16" t="inlineStr">
        <is>
          <t>TC-RP-0214</t>
        </is>
      </c>
      <c r="B2268" s="16" t="inlineStr">
        <is>
          <t>Response Panel</t>
        </is>
      </c>
      <c r="C2268" s="16" t="inlineStr">
        <is>
          <t>Viewer Matrix</t>
        </is>
      </c>
      <c r="D2268" s="16" t="inlineStr">
        <is>
          <t>Performance</t>
        </is>
      </c>
      <c r="E2268" s="16" t="inlineStr">
        <is>
          <t>Response body application/json at 1 MB in Pretty viewer</t>
        </is>
      </c>
      <c r="F2268" s="16" t="inlineStr">
        <is>
          <t>-</t>
        </is>
      </c>
      <c r="G2268" s="16" t="inlineStr">
        <is>
          <t>1. Send request returning application/json body of size 1 MB.
2. Switch viewer to Pretty.
3. Inspect rendering and responsiveness.</t>
        </is>
      </c>
      <c r="H2268" s="16" t="inlineStr">
        <is>
          <t>ct=application/json size=1 MB view=Pretty</t>
        </is>
      </c>
      <c r="I2268" s="16" t="inlineStr">
        <is>
          <t>Pretty renders appropriately for application/json at 1 MB. For sizes &gt;= 1 MB, preview cap may kick in with download CTA. UI remains responsive; no freeze.</t>
        </is>
      </c>
      <c r="J2268" s="16" t="inlineStr"/>
      <c r="K2268" s="16" t="inlineStr">
        <is>
          <t>Not Run</t>
        </is>
      </c>
      <c r="L2268" s="16" t="inlineStr">
        <is>
          <t>Medium</t>
        </is>
      </c>
      <c r="M2268" s="16" t="inlineStr"/>
      <c r="N2268" s="16" t="inlineStr"/>
      <c r="O2268" s="16" t="inlineStr"/>
    </row>
    <row r="2269" ht="72" customHeight="1">
      <c r="A2269" s="16" t="inlineStr">
        <is>
          <t>TC-RP-0215</t>
        </is>
      </c>
      <c r="B2269" s="16" t="inlineStr">
        <is>
          <t>Response Panel</t>
        </is>
      </c>
      <c r="C2269" s="16" t="inlineStr">
        <is>
          <t>Viewer Matrix</t>
        </is>
      </c>
      <c r="D2269" s="16" t="inlineStr">
        <is>
          <t>Performance</t>
        </is>
      </c>
      <c r="E2269" s="16" t="inlineStr">
        <is>
          <t>Response body application/json at 1 MB in Raw viewer</t>
        </is>
      </c>
      <c r="F2269" s="16" t="inlineStr">
        <is>
          <t>-</t>
        </is>
      </c>
      <c r="G2269" s="16" t="inlineStr">
        <is>
          <t>1. Send request returning application/json body of size 1 MB.
2. Switch viewer to Raw.
3. Inspect rendering and responsiveness.</t>
        </is>
      </c>
      <c r="H2269" s="16" t="inlineStr">
        <is>
          <t>ct=application/json size=1 MB view=Raw</t>
        </is>
      </c>
      <c r="I2269" s="16" t="inlineStr">
        <is>
          <t>Raw renders appropriately for application/json at 1 MB. For sizes &gt;= 1 MB, preview cap may kick in with download CTA. UI remains responsive; no freeze.</t>
        </is>
      </c>
      <c r="J2269" s="16" t="inlineStr"/>
      <c r="K2269" s="16" t="inlineStr">
        <is>
          <t>Not Run</t>
        </is>
      </c>
      <c r="L2269" s="16" t="inlineStr">
        <is>
          <t>Medium</t>
        </is>
      </c>
      <c r="M2269" s="16" t="inlineStr"/>
      <c r="N2269" s="16" t="inlineStr"/>
      <c r="O2269" s="16" t="inlineStr"/>
    </row>
    <row r="2270" ht="72" customHeight="1">
      <c r="A2270" s="16" t="inlineStr">
        <is>
          <t>TC-RP-0216</t>
        </is>
      </c>
      <c r="B2270" s="16" t="inlineStr">
        <is>
          <t>Response Panel</t>
        </is>
      </c>
      <c r="C2270" s="16" t="inlineStr">
        <is>
          <t>Viewer Matrix</t>
        </is>
      </c>
      <c r="D2270" s="16" t="inlineStr">
        <is>
          <t>Performance</t>
        </is>
      </c>
      <c r="E2270" s="16" t="inlineStr">
        <is>
          <t>Response body application/json at 1 MB in Preview viewer</t>
        </is>
      </c>
      <c r="F2270" s="16" t="inlineStr">
        <is>
          <t>-</t>
        </is>
      </c>
      <c r="G2270" s="16" t="inlineStr">
        <is>
          <t>1. Send request returning application/json body of size 1 MB.
2. Switch viewer to Preview.
3. Inspect rendering and responsiveness.</t>
        </is>
      </c>
      <c r="H2270" s="16" t="inlineStr">
        <is>
          <t>ct=application/json size=1 MB view=Preview</t>
        </is>
      </c>
      <c r="I2270" s="16" t="inlineStr">
        <is>
          <t>Preview renders appropriately for application/json at 1 MB. For sizes &gt;= 1 MB, preview cap may kick in with download CTA. UI remains responsive; no freeze.</t>
        </is>
      </c>
      <c r="J2270" s="16" t="inlineStr"/>
      <c r="K2270" s="16" t="inlineStr">
        <is>
          <t>Not Run</t>
        </is>
      </c>
      <c r="L2270" s="16" t="inlineStr">
        <is>
          <t>Medium</t>
        </is>
      </c>
      <c r="M2270" s="16" t="inlineStr"/>
      <c r="N2270" s="16" t="inlineStr"/>
      <c r="O2270" s="16" t="inlineStr"/>
    </row>
    <row r="2271" ht="72" customHeight="1">
      <c r="A2271" s="16" t="inlineStr">
        <is>
          <t>TC-RP-0217</t>
        </is>
      </c>
      <c r="B2271" s="16" t="inlineStr">
        <is>
          <t>Response Panel</t>
        </is>
      </c>
      <c r="C2271" s="16" t="inlineStr">
        <is>
          <t>Viewer Matrix</t>
        </is>
      </c>
      <c r="D2271" s="16" t="inlineStr">
        <is>
          <t>Performance</t>
        </is>
      </c>
      <c r="E2271" s="16" t="inlineStr">
        <is>
          <t>Response body application/xml at 1 MB in Pretty viewer</t>
        </is>
      </c>
      <c r="F2271" s="16" t="inlineStr">
        <is>
          <t>-</t>
        </is>
      </c>
      <c r="G2271" s="16" t="inlineStr">
        <is>
          <t>1. Send request returning application/xml body of size 1 MB.
2. Switch viewer to Pretty.
3. Inspect rendering and responsiveness.</t>
        </is>
      </c>
      <c r="H2271" s="16" t="inlineStr">
        <is>
          <t>ct=application/xml size=1 MB view=Pretty</t>
        </is>
      </c>
      <c r="I2271" s="16" t="inlineStr">
        <is>
          <t>Pretty renders appropriately for application/xml at 1 MB. For sizes &gt;= 1 MB, preview cap may kick in with download CTA. UI remains responsive; no freeze.</t>
        </is>
      </c>
      <c r="J2271" s="16" t="inlineStr"/>
      <c r="K2271" s="16" t="inlineStr">
        <is>
          <t>Not Run</t>
        </is>
      </c>
      <c r="L2271" s="16" t="inlineStr">
        <is>
          <t>Medium</t>
        </is>
      </c>
      <c r="M2271" s="16" t="inlineStr"/>
      <c r="N2271" s="16" t="inlineStr"/>
      <c r="O2271" s="16" t="inlineStr"/>
    </row>
    <row r="2272" ht="72" customHeight="1">
      <c r="A2272" s="16" t="inlineStr">
        <is>
          <t>TC-RP-0218</t>
        </is>
      </c>
      <c r="B2272" s="16" t="inlineStr">
        <is>
          <t>Response Panel</t>
        </is>
      </c>
      <c r="C2272" s="16" t="inlineStr">
        <is>
          <t>Viewer Matrix</t>
        </is>
      </c>
      <c r="D2272" s="16" t="inlineStr">
        <is>
          <t>Performance</t>
        </is>
      </c>
      <c r="E2272" s="16" t="inlineStr">
        <is>
          <t>Response body application/xml at 1 MB in Raw viewer</t>
        </is>
      </c>
      <c r="F2272" s="16" t="inlineStr">
        <is>
          <t>-</t>
        </is>
      </c>
      <c r="G2272" s="16" t="inlineStr">
        <is>
          <t>1. Send request returning application/xml body of size 1 MB.
2. Switch viewer to Raw.
3. Inspect rendering and responsiveness.</t>
        </is>
      </c>
      <c r="H2272" s="16" t="inlineStr">
        <is>
          <t>ct=application/xml size=1 MB view=Raw</t>
        </is>
      </c>
      <c r="I2272" s="16" t="inlineStr">
        <is>
          <t>Raw renders appropriately for application/xml at 1 MB. For sizes &gt;= 1 MB, preview cap may kick in with download CTA. UI remains responsive; no freeze.</t>
        </is>
      </c>
      <c r="J2272" s="16" t="inlineStr"/>
      <c r="K2272" s="16" t="inlineStr">
        <is>
          <t>Not Run</t>
        </is>
      </c>
      <c r="L2272" s="16" t="inlineStr">
        <is>
          <t>Medium</t>
        </is>
      </c>
      <c r="M2272" s="16" t="inlineStr"/>
      <c r="N2272" s="16" t="inlineStr"/>
      <c r="O2272" s="16" t="inlineStr"/>
    </row>
    <row r="2273" ht="72" customHeight="1">
      <c r="A2273" s="16" t="inlineStr">
        <is>
          <t>TC-RP-0219</t>
        </is>
      </c>
      <c r="B2273" s="16" t="inlineStr">
        <is>
          <t>Response Panel</t>
        </is>
      </c>
      <c r="C2273" s="16" t="inlineStr">
        <is>
          <t>Viewer Matrix</t>
        </is>
      </c>
      <c r="D2273" s="16" t="inlineStr">
        <is>
          <t>Performance</t>
        </is>
      </c>
      <c r="E2273" s="16" t="inlineStr">
        <is>
          <t>Response body application/xml at 1 MB in Preview viewer</t>
        </is>
      </c>
      <c r="F2273" s="16" t="inlineStr">
        <is>
          <t>-</t>
        </is>
      </c>
      <c r="G2273" s="16" t="inlineStr">
        <is>
          <t>1. Send request returning application/xml body of size 1 MB.
2. Switch viewer to Preview.
3. Inspect rendering and responsiveness.</t>
        </is>
      </c>
      <c r="H2273" s="16" t="inlineStr">
        <is>
          <t>ct=application/xml size=1 MB view=Preview</t>
        </is>
      </c>
      <c r="I2273" s="16" t="inlineStr">
        <is>
          <t>Preview renders appropriately for application/xml at 1 MB. For sizes &gt;= 1 MB, preview cap may kick in with download CTA. UI remains responsive; no freeze.</t>
        </is>
      </c>
      <c r="J2273" s="16" t="inlineStr"/>
      <c r="K2273" s="16" t="inlineStr">
        <is>
          <t>Not Run</t>
        </is>
      </c>
      <c r="L2273" s="16" t="inlineStr">
        <is>
          <t>Medium</t>
        </is>
      </c>
      <c r="M2273" s="16" t="inlineStr"/>
      <c r="N2273" s="16" t="inlineStr"/>
      <c r="O2273" s="16" t="inlineStr"/>
    </row>
    <row r="2274" ht="72" customHeight="1">
      <c r="A2274" s="16" t="inlineStr">
        <is>
          <t>TC-RP-0220</t>
        </is>
      </c>
      <c r="B2274" s="16" t="inlineStr">
        <is>
          <t>Response Panel</t>
        </is>
      </c>
      <c r="C2274" s="16" t="inlineStr">
        <is>
          <t>Viewer Matrix</t>
        </is>
      </c>
      <c r="D2274" s="16" t="inlineStr">
        <is>
          <t>Performance</t>
        </is>
      </c>
      <c r="E2274" s="16" t="inlineStr">
        <is>
          <t>Response body text/html at 1 MB in Pretty viewer</t>
        </is>
      </c>
      <c r="F2274" s="16" t="inlineStr">
        <is>
          <t>-</t>
        </is>
      </c>
      <c r="G2274" s="16" t="inlineStr">
        <is>
          <t>1. Send request returning text/html body of size 1 MB.
2. Switch viewer to Pretty.
3. Inspect rendering and responsiveness.</t>
        </is>
      </c>
      <c r="H2274" s="16" t="inlineStr">
        <is>
          <t>ct=text/html size=1 MB view=Pretty</t>
        </is>
      </c>
      <c r="I2274" s="16" t="inlineStr">
        <is>
          <t>Pretty renders appropriately for text/html at 1 MB. For sizes &gt;= 1 MB, preview cap may kick in with download CTA. UI remains responsive; no freeze.</t>
        </is>
      </c>
      <c r="J2274" s="16" t="inlineStr"/>
      <c r="K2274" s="16" t="inlineStr">
        <is>
          <t>Not Run</t>
        </is>
      </c>
      <c r="L2274" s="16" t="inlineStr">
        <is>
          <t>Medium</t>
        </is>
      </c>
      <c r="M2274" s="16" t="inlineStr"/>
      <c r="N2274" s="16" t="inlineStr"/>
      <c r="O2274" s="16" t="inlineStr"/>
    </row>
    <row r="2275" ht="72" customHeight="1">
      <c r="A2275" s="16" t="inlineStr">
        <is>
          <t>TC-RP-0221</t>
        </is>
      </c>
      <c r="B2275" s="16" t="inlineStr">
        <is>
          <t>Response Panel</t>
        </is>
      </c>
      <c r="C2275" s="16" t="inlineStr">
        <is>
          <t>Viewer Matrix</t>
        </is>
      </c>
      <c r="D2275" s="16" t="inlineStr">
        <is>
          <t>Performance</t>
        </is>
      </c>
      <c r="E2275" s="16" t="inlineStr">
        <is>
          <t>Response body text/html at 1 MB in Raw viewer</t>
        </is>
      </c>
      <c r="F2275" s="16" t="inlineStr">
        <is>
          <t>-</t>
        </is>
      </c>
      <c r="G2275" s="16" t="inlineStr">
        <is>
          <t>1. Send request returning text/html body of size 1 MB.
2. Switch viewer to Raw.
3. Inspect rendering and responsiveness.</t>
        </is>
      </c>
      <c r="H2275" s="16" t="inlineStr">
        <is>
          <t>ct=text/html size=1 MB view=Raw</t>
        </is>
      </c>
      <c r="I2275" s="16" t="inlineStr">
        <is>
          <t>Raw renders appropriately for text/html at 1 MB. For sizes &gt;= 1 MB, preview cap may kick in with download CTA. UI remains responsive; no freeze.</t>
        </is>
      </c>
      <c r="J2275" s="16" t="inlineStr"/>
      <c r="K2275" s="16" t="inlineStr">
        <is>
          <t>Not Run</t>
        </is>
      </c>
      <c r="L2275" s="16" t="inlineStr">
        <is>
          <t>Medium</t>
        </is>
      </c>
      <c r="M2275" s="16" t="inlineStr"/>
      <c r="N2275" s="16" t="inlineStr"/>
      <c r="O2275" s="16" t="inlineStr"/>
    </row>
    <row r="2276" ht="72" customHeight="1">
      <c r="A2276" s="16" t="inlineStr">
        <is>
          <t>TC-RP-0222</t>
        </is>
      </c>
      <c r="B2276" s="16" t="inlineStr">
        <is>
          <t>Response Panel</t>
        </is>
      </c>
      <c r="C2276" s="16" t="inlineStr">
        <is>
          <t>Viewer Matrix</t>
        </is>
      </c>
      <c r="D2276" s="16" t="inlineStr">
        <is>
          <t>Performance</t>
        </is>
      </c>
      <c r="E2276" s="16" t="inlineStr">
        <is>
          <t>Response body text/html at 1 MB in Preview viewer</t>
        </is>
      </c>
      <c r="F2276" s="16" t="inlineStr">
        <is>
          <t>-</t>
        </is>
      </c>
      <c r="G2276" s="16" t="inlineStr">
        <is>
          <t>1. Send request returning text/html body of size 1 MB.
2. Switch viewer to Preview.
3. Inspect rendering and responsiveness.</t>
        </is>
      </c>
      <c r="H2276" s="16" t="inlineStr">
        <is>
          <t>ct=text/html size=1 MB view=Preview</t>
        </is>
      </c>
      <c r="I2276" s="16" t="inlineStr">
        <is>
          <t>Preview renders appropriately for text/html at 1 MB. For sizes &gt;= 1 MB, preview cap may kick in with download CTA. UI remains responsive; no freeze.</t>
        </is>
      </c>
      <c r="J2276" s="16" t="inlineStr"/>
      <c r="K2276" s="16" t="inlineStr">
        <is>
          <t>Not Run</t>
        </is>
      </c>
      <c r="L2276" s="16" t="inlineStr">
        <is>
          <t>Medium</t>
        </is>
      </c>
      <c r="M2276" s="16" t="inlineStr"/>
      <c r="N2276" s="16" t="inlineStr"/>
      <c r="O2276" s="16" t="inlineStr"/>
    </row>
    <row r="2277" ht="72" customHeight="1">
      <c r="A2277" s="16" t="inlineStr">
        <is>
          <t>TC-RP-0223</t>
        </is>
      </c>
      <c r="B2277" s="16" t="inlineStr">
        <is>
          <t>Response Panel</t>
        </is>
      </c>
      <c r="C2277" s="16" t="inlineStr">
        <is>
          <t>Viewer Matrix</t>
        </is>
      </c>
      <c r="D2277" s="16" t="inlineStr">
        <is>
          <t>Performance</t>
        </is>
      </c>
      <c r="E2277" s="16" t="inlineStr">
        <is>
          <t>Response body text/plain at 1 MB in Pretty viewer</t>
        </is>
      </c>
      <c r="F2277" s="16" t="inlineStr">
        <is>
          <t>-</t>
        </is>
      </c>
      <c r="G2277" s="16" t="inlineStr">
        <is>
          <t>1. Send request returning text/plain body of size 1 MB.
2. Switch viewer to Pretty.
3. Inspect rendering and responsiveness.</t>
        </is>
      </c>
      <c r="H2277" s="16" t="inlineStr">
        <is>
          <t>ct=text/plain size=1 MB view=Pretty</t>
        </is>
      </c>
      <c r="I2277" s="16" t="inlineStr">
        <is>
          <t>Pretty renders appropriately for text/plain at 1 MB. For sizes &gt;= 1 MB, preview cap may kick in with download CTA. UI remains responsive; no freeze.</t>
        </is>
      </c>
      <c r="J2277" s="16" t="inlineStr"/>
      <c r="K2277" s="16" t="inlineStr">
        <is>
          <t>Not Run</t>
        </is>
      </c>
      <c r="L2277" s="16" t="inlineStr">
        <is>
          <t>Medium</t>
        </is>
      </c>
      <c r="M2277" s="16" t="inlineStr"/>
      <c r="N2277" s="16" t="inlineStr"/>
      <c r="O2277" s="16" t="inlineStr"/>
    </row>
    <row r="2278" ht="72" customHeight="1">
      <c r="A2278" s="16" t="inlineStr">
        <is>
          <t>TC-RP-0224</t>
        </is>
      </c>
      <c r="B2278" s="16" t="inlineStr">
        <is>
          <t>Response Panel</t>
        </is>
      </c>
      <c r="C2278" s="16" t="inlineStr">
        <is>
          <t>Viewer Matrix</t>
        </is>
      </c>
      <c r="D2278" s="16" t="inlineStr">
        <is>
          <t>Performance</t>
        </is>
      </c>
      <c r="E2278" s="16" t="inlineStr">
        <is>
          <t>Response body text/plain at 1 MB in Raw viewer</t>
        </is>
      </c>
      <c r="F2278" s="16" t="inlineStr">
        <is>
          <t>-</t>
        </is>
      </c>
      <c r="G2278" s="16" t="inlineStr">
        <is>
          <t>1. Send request returning text/plain body of size 1 MB.
2. Switch viewer to Raw.
3. Inspect rendering and responsiveness.</t>
        </is>
      </c>
      <c r="H2278" s="16" t="inlineStr">
        <is>
          <t>ct=text/plain size=1 MB view=Raw</t>
        </is>
      </c>
      <c r="I2278" s="16" t="inlineStr">
        <is>
          <t>Raw renders appropriately for text/plain at 1 MB. For sizes &gt;= 1 MB, preview cap may kick in with download CTA. UI remains responsive; no freeze.</t>
        </is>
      </c>
      <c r="J2278" s="16" t="inlineStr"/>
      <c r="K2278" s="16" t="inlineStr">
        <is>
          <t>Not Run</t>
        </is>
      </c>
      <c r="L2278" s="16" t="inlineStr">
        <is>
          <t>Medium</t>
        </is>
      </c>
      <c r="M2278" s="16" t="inlineStr"/>
      <c r="N2278" s="16" t="inlineStr"/>
      <c r="O2278" s="16" t="inlineStr"/>
    </row>
    <row r="2279" ht="72" customHeight="1">
      <c r="A2279" s="16" t="inlineStr">
        <is>
          <t>TC-RP-0225</t>
        </is>
      </c>
      <c r="B2279" s="16" t="inlineStr">
        <is>
          <t>Response Panel</t>
        </is>
      </c>
      <c r="C2279" s="16" t="inlineStr">
        <is>
          <t>Viewer Matrix</t>
        </is>
      </c>
      <c r="D2279" s="16" t="inlineStr">
        <is>
          <t>Performance</t>
        </is>
      </c>
      <c r="E2279" s="16" t="inlineStr">
        <is>
          <t>Response body text/plain at 1 MB in Preview viewer</t>
        </is>
      </c>
      <c r="F2279" s="16" t="inlineStr">
        <is>
          <t>-</t>
        </is>
      </c>
      <c r="G2279" s="16" t="inlineStr">
        <is>
          <t>1. Send request returning text/plain body of size 1 MB.
2. Switch viewer to Preview.
3. Inspect rendering and responsiveness.</t>
        </is>
      </c>
      <c r="H2279" s="16" t="inlineStr">
        <is>
          <t>ct=text/plain size=1 MB view=Preview</t>
        </is>
      </c>
      <c r="I2279" s="16" t="inlineStr">
        <is>
          <t>Preview renders appropriately for text/plain at 1 MB. For sizes &gt;= 1 MB, preview cap may kick in with download CTA. UI remains responsive; no freeze.</t>
        </is>
      </c>
      <c r="J2279" s="16" t="inlineStr"/>
      <c r="K2279" s="16" t="inlineStr">
        <is>
          <t>Not Run</t>
        </is>
      </c>
      <c r="L2279" s="16" t="inlineStr">
        <is>
          <t>Medium</t>
        </is>
      </c>
      <c r="M2279" s="16" t="inlineStr"/>
      <c r="N2279" s="16" t="inlineStr"/>
      <c r="O2279" s="16" t="inlineStr"/>
    </row>
    <row r="2280" ht="72" customHeight="1">
      <c r="A2280" s="16" t="inlineStr">
        <is>
          <t>TC-RP-0226</t>
        </is>
      </c>
      <c r="B2280" s="16" t="inlineStr">
        <is>
          <t>Response Panel</t>
        </is>
      </c>
      <c r="C2280" s="16" t="inlineStr">
        <is>
          <t>Viewer Matrix</t>
        </is>
      </c>
      <c r="D2280" s="16" t="inlineStr">
        <is>
          <t>Performance</t>
        </is>
      </c>
      <c r="E2280" s="16" t="inlineStr">
        <is>
          <t>Response body application/octet-stream at 1 MB in Pretty viewer</t>
        </is>
      </c>
      <c r="F2280" s="16" t="inlineStr">
        <is>
          <t>-</t>
        </is>
      </c>
      <c r="G2280" s="16" t="inlineStr">
        <is>
          <t>1. Send request returning application/octet-stream body of size 1 MB.
2. Switch viewer to Pretty.
3. Inspect rendering and responsiveness.</t>
        </is>
      </c>
      <c r="H2280" s="16" t="inlineStr">
        <is>
          <t>ct=application/octet-stream size=1 MB view=Pretty</t>
        </is>
      </c>
      <c r="I2280" s="16" t="inlineStr">
        <is>
          <t>Pretty renders appropriately for application/octet-stream at 1 MB. For sizes &gt;= 1 MB, preview cap may kick in with download CTA. UI remains responsive; no freeze.</t>
        </is>
      </c>
      <c r="J2280" s="16" t="inlineStr"/>
      <c r="K2280" s="16" t="inlineStr">
        <is>
          <t>Not Run</t>
        </is>
      </c>
      <c r="L2280" s="16" t="inlineStr">
        <is>
          <t>Medium</t>
        </is>
      </c>
      <c r="M2280" s="16" t="inlineStr"/>
      <c r="N2280" s="16" t="inlineStr"/>
      <c r="O2280" s="16" t="inlineStr"/>
    </row>
    <row r="2281" ht="72" customHeight="1">
      <c r="A2281" s="16" t="inlineStr">
        <is>
          <t>TC-RP-0227</t>
        </is>
      </c>
      <c r="B2281" s="16" t="inlineStr">
        <is>
          <t>Response Panel</t>
        </is>
      </c>
      <c r="C2281" s="16" t="inlineStr">
        <is>
          <t>Viewer Matrix</t>
        </is>
      </c>
      <c r="D2281" s="16" t="inlineStr">
        <is>
          <t>Performance</t>
        </is>
      </c>
      <c r="E2281" s="16" t="inlineStr">
        <is>
          <t>Response body application/octet-stream at 1 MB in Raw viewer</t>
        </is>
      </c>
      <c r="F2281" s="16" t="inlineStr">
        <is>
          <t>-</t>
        </is>
      </c>
      <c r="G2281" s="16" t="inlineStr">
        <is>
          <t>1. Send request returning application/octet-stream body of size 1 MB.
2. Switch viewer to Raw.
3. Inspect rendering and responsiveness.</t>
        </is>
      </c>
      <c r="H2281" s="16" t="inlineStr">
        <is>
          <t>ct=application/octet-stream size=1 MB view=Raw</t>
        </is>
      </c>
      <c r="I2281" s="16" t="inlineStr">
        <is>
          <t>Raw renders appropriately for application/octet-stream at 1 MB. For sizes &gt;= 1 MB, preview cap may kick in with download CTA. UI remains responsive; no freeze.</t>
        </is>
      </c>
      <c r="J2281" s="16" t="inlineStr"/>
      <c r="K2281" s="16" t="inlineStr">
        <is>
          <t>Not Run</t>
        </is>
      </c>
      <c r="L2281" s="16" t="inlineStr">
        <is>
          <t>Medium</t>
        </is>
      </c>
      <c r="M2281" s="16" t="inlineStr"/>
      <c r="N2281" s="16" t="inlineStr"/>
      <c r="O2281" s="16" t="inlineStr"/>
    </row>
    <row r="2282" ht="72" customHeight="1">
      <c r="A2282" s="16" t="inlineStr">
        <is>
          <t>TC-RP-0228</t>
        </is>
      </c>
      <c r="B2282" s="16" t="inlineStr">
        <is>
          <t>Response Panel</t>
        </is>
      </c>
      <c r="C2282" s="16" t="inlineStr">
        <is>
          <t>Viewer Matrix</t>
        </is>
      </c>
      <c r="D2282" s="16" t="inlineStr">
        <is>
          <t>Performance</t>
        </is>
      </c>
      <c r="E2282" s="16" t="inlineStr">
        <is>
          <t>Response body application/octet-stream at 1 MB in Preview viewer</t>
        </is>
      </c>
      <c r="F2282" s="16" t="inlineStr">
        <is>
          <t>-</t>
        </is>
      </c>
      <c r="G2282" s="16" t="inlineStr">
        <is>
          <t>1. Send request returning application/octet-stream body of size 1 MB.
2. Switch viewer to Preview.
3. Inspect rendering and responsiveness.</t>
        </is>
      </c>
      <c r="H2282" s="16" t="inlineStr">
        <is>
          <t>ct=application/octet-stream size=1 MB view=Preview</t>
        </is>
      </c>
      <c r="I2282" s="16" t="inlineStr">
        <is>
          <t>Preview renders appropriately for application/octet-stream at 1 MB. For sizes &gt;= 1 MB, preview cap may kick in with download CTA. UI remains responsive; no freeze.</t>
        </is>
      </c>
      <c r="J2282" s="16" t="inlineStr"/>
      <c r="K2282" s="16" t="inlineStr">
        <is>
          <t>Not Run</t>
        </is>
      </c>
      <c r="L2282" s="16" t="inlineStr">
        <is>
          <t>Medium</t>
        </is>
      </c>
      <c r="M2282" s="16" t="inlineStr"/>
      <c r="N2282" s="16" t="inlineStr"/>
      <c r="O2282" s="16" t="inlineStr"/>
    </row>
    <row r="2283" ht="72" customHeight="1">
      <c r="A2283" s="16" t="inlineStr">
        <is>
          <t>TC-RP-0229</t>
        </is>
      </c>
      <c r="B2283" s="16" t="inlineStr">
        <is>
          <t>Response Panel</t>
        </is>
      </c>
      <c r="C2283" s="16" t="inlineStr">
        <is>
          <t>Viewer Matrix</t>
        </is>
      </c>
      <c r="D2283" s="16" t="inlineStr">
        <is>
          <t>Performance</t>
        </is>
      </c>
      <c r="E2283" s="16" t="inlineStr">
        <is>
          <t>Response body text/csv at 1 MB in Pretty viewer</t>
        </is>
      </c>
      <c r="F2283" s="16" t="inlineStr">
        <is>
          <t>-</t>
        </is>
      </c>
      <c r="G2283" s="16" t="inlineStr">
        <is>
          <t>1. Send request returning text/csv body of size 1 MB.
2. Switch viewer to Pretty.
3. Inspect rendering and responsiveness.</t>
        </is>
      </c>
      <c r="H2283" s="16" t="inlineStr">
        <is>
          <t>ct=text/csv size=1 MB view=Pretty</t>
        </is>
      </c>
      <c r="I2283" s="16" t="inlineStr">
        <is>
          <t>Pretty renders appropriately for text/csv at 1 MB. For sizes &gt;= 1 MB, preview cap may kick in with download CTA. UI remains responsive; no freeze.</t>
        </is>
      </c>
      <c r="J2283" s="16" t="inlineStr"/>
      <c r="K2283" s="16" t="inlineStr">
        <is>
          <t>Not Run</t>
        </is>
      </c>
      <c r="L2283" s="16" t="inlineStr">
        <is>
          <t>Medium</t>
        </is>
      </c>
      <c r="M2283" s="16" t="inlineStr"/>
      <c r="N2283" s="16" t="inlineStr"/>
      <c r="O2283" s="16" t="inlineStr"/>
    </row>
    <row r="2284" ht="72" customHeight="1">
      <c r="A2284" s="16" t="inlineStr">
        <is>
          <t>TC-RP-0230</t>
        </is>
      </c>
      <c r="B2284" s="16" t="inlineStr">
        <is>
          <t>Response Panel</t>
        </is>
      </c>
      <c r="C2284" s="16" t="inlineStr">
        <is>
          <t>Viewer Matrix</t>
        </is>
      </c>
      <c r="D2284" s="16" t="inlineStr">
        <is>
          <t>Performance</t>
        </is>
      </c>
      <c r="E2284" s="16" t="inlineStr">
        <is>
          <t>Response body text/csv at 1 MB in Raw viewer</t>
        </is>
      </c>
      <c r="F2284" s="16" t="inlineStr">
        <is>
          <t>-</t>
        </is>
      </c>
      <c r="G2284" s="16" t="inlineStr">
        <is>
          <t>1. Send request returning text/csv body of size 1 MB.
2. Switch viewer to Raw.
3. Inspect rendering and responsiveness.</t>
        </is>
      </c>
      <c r="H2284" s="16" t="inlineStr">
        <is>
          <t>ct=text/csv size=1 MB view=Raw</t>
        </is>
      </c>
      <c r="I2284" s="16" t="inlineStr">
        <is>
          <t>Raw renders appropriately for text/csv at 1 MB. For sizes &gt;= 1 MB, preview cap may kick in with download CTA. UI remains responsive; no freeze.</t>
        </is>
      </c>
      <c r="J2284" s="16" t="inlineStr"/>
      <c r="K2284" s="16" t="inlineStr">
        <is>
          <t>Not Run</t>
        </is>
      </c>
      <c r="L2284" s="16" t="inlineStr">
        <is>
          <t>Medium</t>
        </is>
      </c>
      <c r="M2284" s="16" t="inlineStr"/>
      <c r="N2284" s="16" t="inlineStr"/>
      <c r="O2284" s="16" t="inlineStr"/>
    </row>
    <row r="2285" ht="72" customHeight="1">
      <c r="A2285" s="16" t="inlineStr">
        <is>
          <t>TC-RP-0231</t>
        </is>
      </c>
      <c r="B2285" s="16" t="inlineStr">
        <is>
          <t>Response Panel</t>
        </is>
      </c>
      <c r="C2285" s="16" t="inlineStr">
        <is>
          <t>Viewer Matrix</t>
        </is>
      </c>
      <c r="D2285" s="16" t="inlineStr">
        <is>
          <t>Performance</t>
        </is>
      </c>
      <c r="E2285" s="16" t="inlineStr">
        <is>
          <t>Response body text/csv at 1 MB in Preview viewer</t>
        </is>
      </c>
      <c r="F2285" s="16" t="inlineStr">
        <is>
          <t>-</t>
        </is>
      </c>
      <c r="G2285" s="16" t="inlineStr">
        <is>
          <t>1. Send request returning text/csv body of size 1 MB.
2. Switch viewer to Preview.
3. Inspect rendering and responsiveness.</t>
        </is>
      </c>
      <c r="H2285" s="16" t="inlineStr">
        <is>
          <t>ct=text/csv size=1 MB view=Preview</t>
        </is>
      </c>
      <c r="I2285" s="16" t="inlineStr">
        <is>
          <t>Preview renders appropriately for text/csv at 1 MB. For sizes &gt;= 1 MB, preview cap may kick in with download CTA. UI remains responsive; no freeze.</t>
        </is>
      </c>
      <c r="J2285" s="16" t="inlineStr"/>
      <c r="K2285" s="16" t="inlineStr">
        <is>
          <t>Not Run</t>
        </is>
      </c>
      <c r="L2285" s="16" t="inlineStr">
        <is>
          <t>Medium</t>
        </is>
      </c>
      <c r="M2285" s="16" t="inlineStr"/>
      <c r="N2285" s="16" t="inlineStr"/>
      <c r="O2285" s="16" t="inlineStr"/>
    </row>
    <row r="2286" ht="72" customHeight="1">
      <c r="A2286" s="16" t="inlineStr">
        <is>
          <t>TC-RP-0232</t>
        </is>
      </c>
      <c r="B2286" s="16" t="inlineStr">
        <is>
          <t>Response Panel</t>
        </is>
      </c>
      <c r="C2286" s="16" t="inlineStr">
        <is>
          <t>Viewer Matrix</t>
        </is>
      </c>
      <c r="D2286" s="16" t="inlineStr">
        <is>
          <t>Performance</t>
        </is>
      </c>
      <c r="E2286" s="16" t="inlineStr">
        <is>
          <t>Response body image/png at 1 MB in Pretty viewer</t>
        </is>
      </c>
      <c r="F2286" s="16" t="inlineStr">
        <is>
          <t>-</t>
        </is>
      </c>
      <c r="G2286" s="16" t="inlineStr">
        <is>
          <t>1. Send request returning image/png body of size 1 MB.
2. Switch viewer to Pretty.
3. Inspect rendering and responsiveness.</t>
        </is>
      </c>
      <c r="H2286" s="16" t="inlineStr">
        <is>
          <t>ct=image/png size=1 MB view=Pretty</t>
        </is>
      </c>
      <c r="I2286" s="16" t="inlineStr">
        <is>
          <t>Pretty renders appropriately for image/png at 1 MB. For sizes &gt;= 1 MB, preview cap may kick in with download CTA. UI remains responsive; no freeze.</t>
        </is>
      </c>
      <c r="J2286" s="16" t="inlineStr"/>
      <c r="K2286" s="16" t="inlineStr">
        <is>
          <t>Not Run</t>
        </is>
      </c>
      <c r="L2286" s="16" t="inlineStr">
        <is>
          <t>Medium</t>
        </is>
      </c>
      <c r="M2286" s="16" t="inlineStr"/>
      <c r="N2286" s="16" t="inlineStr"/>
      <c r="O2286" s="16" t="inlineStr"/>
    </row>
    <row r="2287" ht="72" customHeight="1">
      <c r="A2287" s="16" t="inlineStr">
        <is>
          <t>TC-RP-0233</t>
        </is>
      </c>
      <c r="B2287" s="16" t="inlineStr">
        <is>
          <t>Response Panel</t>
        </is>
      </c>
      <c r="C2287" s="16" t="inlineStr">
        <is>
          <t>Viewer Matrix</t>
        </is>
      </c>
      <c r="D2287" s="16" t="inlineStr">
        <is>
          <t>Performance</t>
        </is>
      </c>
      <c r="E2287" s="16" t="inlineStr">
        <is>
          <t>Response body image/png at 1 MB in Raw viewer</t>
        </is>
      </c>
      <c r="F2287" s="16" t="inlineStr">
        <is>
          <t>-</t>
        </is>
      </c>
      <c r="G2287" s="16" t="inlineStr">
        <is>
          <t>1. Send request returning image/png body of size 1 MB.
2. Switch viewer to Raw.
3. Inspect rendering and responsiveness.</t>
        </is>
      </c>
      <c r="H2287" s="16" t="inlineStr">
        <is>
          <t>ct=image/png size=1 MB view=Raw</t>
        </is>
      </c>
      <c r="I2287" s="16" t="inlineStr">
        <is>
          <t>Raw renders appropriately for image/png at 1 MB. For sizes &gt;= 1 MB, preview cap may kick in with download CTA. UI remains responsive; no freeze.</t>
        </is>
      </c>
      <c r="J2287" s="16" t="inlineStr"/>
      <c r="K2287" s="16" t="inlineStr">
        <is>
          <t>Not Run</t>
        </is>
      </c>
      <c r="L2287" s="16" t="inlineStr">
        <is>
          <t>Medium</t>
        </is>
      </c>
      <c r="M2287" s="16" t="inlineStr"/>
      <c r="N2287" s="16" t="inlineStr"/>
      <c r="O2287" s="16" t="inlineStr"/>
    </row>
    <row r="2288" ht="72" customHeight="1">
      <c r="A2288" s="16" t="inlineStr">
        <is>
          <t>TC-RP-0234</t>
        </is>
      </c>
      <c r="B2288" s="16" t="inlineStr">
        <is>
          <t>Response Panel</t>
        </is>
      </c>
      <c r="C2288" s="16" t="inlineStr">
        <is>
          <t>Viewer Matrix</t>
        </is>
      </c>
      <c r="D2288" s="16" t="inlineStr">
        <is>
          <t>Performance</t>
        </is>
      </c>
      <c r="E2288" s="16" t="inlineStr">
        <is>
          <t>Response body image/png at 1 MB in Preview viewer</t>
        </is>
      </c>
      <c r="F2288" s="16" t="inlineStr">
        <is>
          <t>-</t>
        </is>
      </c>
      <c r="G2288" s="16" t="inlineStr">
        <is>
          <t>1. Send request returning image/png body of size 1 MB.
2. Switch viewer to Preview.
3. Inspect rendering and responsiveness.</t>
        </is>
      </c>
      <c r="H2288" s="16" t="inlineStr">
        <is>
          <t>ct=image/png size=1 MB view=Preview</t>
        </is>
      </c>
      <c r="I2288" s="16" t="inlineStr">
        <is>
          <t>Preview renders appropriately for image/png at 1 MB. For sizes &gt;= 1 MB, preview cap may kick in with download CTA. UI remains responsive; no freeze.</t>
        </is>
      </c>
      <c r="J2288" s="16" t="inlineStr"/>
      <c r="K2288" s="16" t="inlineStr">
        <is>
          <t>Not Run</t>
        </is>
      </c>
      <c r="L2288" s="16" t="inlineStr">
        <is>
          <t>Medium</t>
        </is>
      </c>
      <c r="M2288" s="16" t="inlineStr"/>
      <c r="N2288" s="16" t="inlineStr"/>
      <c r="O2288" s="16" t="inlineStr"/>
    </row>
    <row r="2289" ht="72" customHeight="1">
      <c r="A2289" s="16" t="inlineStr">
        <is>
          <t>TC-RP-0235</t>
        </is>
      </c>
      <c r="B2289" s="16" t="inlineStr">
        <is>
          <t>Response Panel</t>
        </is>
      </c>
      <c r="C2289" s="16" t="inlineStr">
        <is>
          <t>Viewer Matrix</t>
        </is>
      </c>
      <c r="D2289" s="16" t="inlineStr">
        <is>
          <t>Performance</t>
        </is>
      </c>
      <c r="E2289" s="16" t="inlineStr">
        <is>
          <t>Response body image/jpeg at 1 MB in Pretty viewer</t>
        </is>
      </c>
      <c r="F2289" s="16" t="inlineStr">
        <is>
          <t>-</t>
        </is>
      </c>
      <c r="G2289" s="16" t="inlineStr">
        <is>
          <t>1. Send request returning image/jpeg body of size 1 MB.
2. Switch viewer to Pretty.
3. Inspect rendering and responsiveness.</t>
        </is>
      </c>
      <c r="H2289" s="16" t="inlineStr">
        <is>
          <t>ct=image/jpeg size=1 MB view=Pretty</t>
        </is>
      </c>
      <c r="I2289" s="16" t="inlineStr">
        <is>
          <t>Pretty renders appropriately for image/jpeg at 1 MB. For sizes &gt;= 1 MB, preview cap may kick in with download CTA. UI remains responsive; no freeze.</t>
        </is>
      </c>
      <c r="J2289" s="16" t="inlineStr"/>
      <c r="K2289" s="16" t="inlineStr">
        <is>
          <t>Not Run</t>
        </is>
      </c>
      <c r="L2289" s="16" t="inlineStr">
        <is>
          <t>Medium</t>
        </is>
      </c>
      <c r="M2289" s="16" t="inlineStr"/>
      <c r="N2289" s="16" t="inlineStr"/>
      <c r="O2289" s="16" t="inlineStr"/>
    </row>
    <row r="2290" ht="72" customHeight="1">
      <c r="A2290" s="16" t="inlineStr">
        <is>
          <t>TC-RP-0236</t>
        </is>
      </c>
      <c r="B2290" s="16" t="inlineStr">
        <is>
          <t>Response Panel</t>
        </is>
      </c>
      <c r="C2290" s="16" t="inlineStr">
        <is>
          <t>Viewer Matrix</t>
        </is>
      </c>
      <c r="D2290" s="16" t="inlineStr">
        <is>
          <t>Performance</t>
        </is>
      </c>
      <c r="E2290" s="16" t="inlineStr">
        <is>
          <t>Response body image/jpeg at 1 MB in Raw viewer</t>
        </is>
      </c>
      <c r="F2290" s="16" t="inlineStr">
        <is>
          <t>-</t>
        </is>
      </c>
      <c r="G2290" s="16" t="inlineStr">
        <is>
          <t>1. Send request returning image/jpeg body of size 1 MB.
2. Switch viewer to Raw.
3. Inspect rendering and responsiveness.</t>
        </is>
      </c>
      <c r="H2290" s="16" t="inlineStr">
        <is>
          <t>ct=image/jpeg size=1 MB view=Raw</t>
        </is>
      </c>
      <c r="I2290" s="16" t="inlineStr">
        <is>
          <t>Raw renders appropriately for image/jpeg at 1 MB. For sizes &gt;= 1 MB, preview cap may kick in with download CTA. UI remains responsive; no freeze.</t>
        </is>
      </c>
      <c r="J2290" s="16" t="inlineStr"/>
      <c r="K2290" s="16" t="inlineStr">
        <is>
          <t>Not Run</t>
        </is>
      </c>
      <c r="L2290" s="16" t="inlineStr">
        <is>
          <t>Medium</t>
        </is>
      </c>
      <c r="M2290" s="16" t="inlineStr"/>
      <c r="N2290" s="16" t="inlineStr"/>
      <c r="O2290" s="16" t="inlineStr"/>
    </row>
    <row r="2291" ht="72" customHeight="1">
      <c r="A2291" s="16" t="inlineStr">
        <is>
          <t>TC-RP-0237</t>
        </is>
      </c>
      <c r="B2291" s="16" t="inlineStr">
        <is>
          <t>Response Panel</t>
        </is>
      </c>
      <c r="C2291" s="16" t="inlineStr">
        <is>
          <t>Viewer Matrix</t>
        </is>
      </c>
      <c r="D2291" s="16" t="inlineStr">
        <is>
          <t>Performance</t>
        </is>
      </c>
      <c r="E2291" s="16" t="inlineStr">
        <is>
          <t>Response body image/jpeg at 1 MB in Preview viewer</t>
        </is>
      </c>
      <c r="F2291" s="16" t="inlineStr">
        <is>
          <t>-</t>
        </is>
      </c>
      <c r="G2291" s="16" t="inlineStr">
        <is>
          <t>1. Send request returning image/jpeg body of size 1 MB.
2. Switch viewer to Preview.
3. Inspect rendering and responsiveness.</t>
        </is>
      </c>
      <c r="H2291" s="16" t="inlineStr">
        <is>
          <t>ct=image/jpeg size=1 MB view=Preview</t>
        </is>
      </c>
      <c r="I2291" s="16" t="inlineStr">
        <is>
          <t>Preview renders appropriately for image/jpeg at 1 MB. For sizes &gt;= 1 MB, preview cap may kick in with download CTA. UI remains responsive; no freeze.</t>
        </is>
      </c>
      <c r="J2291" s="16" t="inlineStr"/>
      <c r="K2291" s="16" t="inlineStr">
        <is>
          <t>Not Run</t>
        </is>
      </c>
      <c r="L2291" s="16" t="inlineStr">
        <is>
          <t>Medium</t>
        </is>
      </c>
      <c r="M2291" s="16" t="inlineStr"/>
      <c r="N2291" s="16" t="inlineStr"/>
      <c r="O2291" s="16" t="inlineStr"/>
    </row>
    <row r="2292" ht="72" customHeight="1">
      <c r="A2292" s="16" t="inlineStr">
        <is>
          <t>TC-RP-0238</t>
        </is>
      </c>
      <c r="B2292" s="16" t="inlineStr">
        <is>
          <t>Response Panel</t>
        </is>
      </c>
      <c r="C2292" s="16" t="inlineStr">
        <is>
          <t>Viewer Matrix</t>
        </is>
      </c>
      <c r="D2292" s="16" t="inlineStr">
        <is>
          <t>Performance</t>
        </is>
      </c>
      <c r="E2292" s="16" t="inlineStr">
        <is>
          <t>Response body application/pdf at 1 MB in Pretty viewer</t>
        </is>
      </c>
      <c r="F2292" s="16" t="inlineStr">
        <is>
          <t>-</t>
        </is>
      </c>
      <c r="G2292" s="16" t="inlineStr">
        <is>
          <t>1. Send request returning application/pdf body of size 1 MB.
2. Switch viewer to Pretty.
3. Inspect rendering and responsiveness.</t>
        </is>
      </c>
      <c r="H2292" s="16" t="inlineStr">
        <is>
          <t>ct=application/pdf size=1 MB view=Pretty</t>
        </is>
      </c>
      <c r="I2292" s="16" t="inlineStr">
        <is>
          <t>Pretty renders appropriately for application/pdf at 1 MB. For sizes &gt;= 1 MB, preview cap may kick in with download CTA. UI remains responsive; no freeze.</t>
        </is>
      </c>
      <c r="J2292" s="16" t="inlineStr"/>
      <c r="K2292" s="16" t="inlineStr">
        <is>
          <t>Not Run</t>
        </is>
      </c>
      <c r="L2292" s="16" t="inlineStr">
        <is>
          <t>Medium</t>
        </is>
      </c>
      <c r="M2292" s="16" t="inlineStr"/>
      <c r="N2292" s="16" t="inlineStr"/>
      <c r="O2292" s="16" t="inlineStr"/>
    </row>
    <row r="2293" ht="72" customHeight="1">
      <c r="A2293" s="16" t="inlineStr">
        <is>
          <t>TC-RP-0239</t>
        </is>
      </c>
      <c r="B2293" s="16" t="inlineStr">
        <is>
          <t>Response Panel</t>
        </is>
      </c>
      <c r="C2293" s="16" t="inlineStr">
        <is>
          <t>Viewer Matrix</t>
        </is>
      </c>
      <c r="D2293" s="16" t="inlineStr">
        <is>
          <t>Performance</t>
        </is>
      </c>
      <c r="E2293" s="16" t="inlineStr">
        <is>
          <t>Response body application/pdf at 1 MB in Raw viewer</t>
        </is>
      </c>
      <c r="F2293" s="16" t="inlineStr">
        <is>
          <t>-</t>
        </is>
      </c>
      <c r="G2293" s="16" t="inlineStr">
        <is>
          <t>1. Send request returning application/pdf body of size 1 MB.
2. Switch viewer to Raw.
3. Inspect rendering and responsiveness.</t>
        </is>
      </c>
      <c r="H2293" s="16" t="inlineStr">
        <is>
          <t>ct=application/pdf size=1 MB view=Raw</t>
        </is>
      </c>
      <c r="I2293" s="16" t="inlineStr">
        <is>
          <t>Raw renders appropriately for application/pdf at 1 MB. For sizes &gt;= 1 MB, preview cap may kick in with download CTA. UI remains responsive; no freeze.</t>
        </is>
      </c>
      <c r="J2293" s="16" t="inlineStr"/>
      <c r="K2293" s="16" t="inlineStr">
        <is>
          <t>Not Run</t>
        </is>
      </c>
      <c r="L2293" s="16" t="inlineStr">
        <is>
          <t>Medium</t>
        </is>
      </c>
      <c r="M2293" s="16" t="inlineStr"/>
      <c r="N2293" s="16" t="inlineStr"/>
      <c r="O2293" s="16" t="inlineStr"/>
    </row>
    <row r="2294" ht="72" customHeight="1">
      <c r="A2294" s="16" t="inlineStr">
        <is>
          <t>TC-RP-0240</t>
        </is>
      </c>
      <c r="B2294" s="16" t="inlineStr">
        <is>
          <t>Response Panel</t>
        </is>
      </c>
      <c r="C2294" s="16" t="inlineStr">
        <is>
          <t>Viewer Matrix</t>
        </is>
      </c>
      <c r="D2294" s="16" t="inlineStr">
        <is>
          <t>Performance</t>
        </is>
      </c>
      <c r="E2294" s="16" t="inlineStr">
        <is>
          <t>Response body application/pdf at 1 MB in Preview viewer</t>
        </is>
      </c>
      <c r="F2294" s="16" t="inlineStr">
        <is>
          <t>-</t>
        </is>
      </c>
      <c r="G2294" s="16" t="inlineStr">
        <is>
          <t>1. Send request returning application/pdf body of size 1 MB.
2. Switch viewer to Preview.
3. Inspect rendering and responsiveness.</t>
        </is>
      </c>
      <c r="H2294" s="16" t="inlineStr">
        <is>
          <t>ct=application/pdf size=1 MB view=Preview</t>
        </is>
      </c>
      <c r="I2294" s="16" t="inlineStr">
        <is>
          <t>Preview renders appropriately for application/pdf at 1 MB. For sizes &gt;= 1 MB, preview cap may kick in with download CTA. UI remains responsive; no freeze.</t>
        </is>
      </c>
      <c r="J2294" s="16" t="inlineStr"/>
      <c r="K2294" s="16" t="inlineStr">
        <is>
          <t>Not Run</t>
        </is>
      </c>
      <c r="L2294" s="16" t="inlineStr">
        <is>
          <t>Medium</t>
        </is>
      </c>
      <c r="M2294" s="16" t="inlineStr"/>
      <c r="N2294" s="16" t="inlineStr"/>
      <c r="O2294" s="16" t="inlineStr"/>
    </row>
    <row r="2295" ht="72" customHeight="1">
      <c r="A2295" s="16" t="inlineStr">
        <is>
          <t>TC-RP-0241</t>
        </is>
      </c>
      <c r="B2295" s="16" t="inlineStr">
        <is>
          <t>Response Panel</t>
        </is>
      </c>
      <c r="C2295" s="16" t="inlineStr">
        <is>
          <t>Viewer Matrix</t>
        </is>
      </c>
      <c r="D2295" s="16" t="inlineStr">
        <is>
          <t>Performance</t>
        </is>
      </c>
      <c r="E2295" s="16" t="inlineStr">
        <is>
          <t>Response body text/event-stream at 1 MB in Pretty viewer</t>
        </is>
      </c>
      <c r="F2295" s="16" t="inlineStr">
        <is>
          <t>-</t>
        </is>
      </c>
      <c r="G2295" s="16" t="inlineStr">
        <is>
          <t>1. Send request returning text/event-stream body of size 1 MB.
2. Switch viewer to Pretty.
3. Inspect rendering and responsiveness.</t>
        </is>
      </c>
      <c r="H2295" s="16" t="inlineStr">
        <is>
          <t>ct=text/event-stream size=1 MB view=Pretty</t>
        </is>
      </c>
      <c r="I2295" s="16" t="inlineStr">
        <is>
          <t>Pretty renders appropriately for text/event-stream at 1 MB. For sizes &gt;= 1 MB, preview cap may kick in with download CTA. UI remains responsive; no freeze.</t>
        </is>
      </c>
      <c r="J2295" s="16" t="inlineStr"/>
      <c r="K2295" s="16" t="inlineStr">
        <is>
          <t>Not Run</t>
        </is>
      </c>
      <c r="L2295" s="16" t="inlineStr">
        <is>
          <t>Medium</t>
        </is>
      </c>
      <c r="M2295" s="16" t="inlineStr"/>
      <c r="N2295" s="16" t="inlineStr"/>
      <c r="O2295" s="16" t="inlineStr"/>
    </row>
    <row r="2296" ht="72" customHeight="1">
      <c r="A2296" s="16" t="inlineStr">
        <is>
          <t>TC-RP-0242</t>
        </is>
      </c>
      <c r="B2296" s="16" t="inlineStr">
        <is>
          <t>Response Panel</t>
        </is>
      </c>
      <c r="C2296" s="16" t="inlineStr">
        <is>
          <t>Viewer Matrix</t>
        </is>
      </c>
      <c r="D2296" s="16" t="inlineStr">
        <is>
          <t>Performance</t>
        </is>
      </c>
      <c r="E2296" s="16" t="inlineStr">
        <is>
          <t>Response body text/event-stream at 1 MB in Raw viewer</t>
        </is>
      </c>
      <c r="F2296" s="16" t="inlineStr">
        <is>
          <t>-</t>
        </is>
      </c>
      <c r="G2296" s="16" t="inlineStr">
        <is>
          <t>1. Send request returning text/event-stream body of size 1 MB.
2. Switch viewer to Raw.
3. Inspect rendering and responsiveness.</t>
        </is>
      </c>
      <c r="H2296" s="16" t="inlineStr">
        <is>
          <t>ct=text/event-stream size=1 MB view=Raw</t>
        </is>
      </c>
      <c r="I2296" s="16" t="inlineStr">
        <is>
          <t>Raw renders appropriately for text/event-stream at 1 MB. For sizes &gt;= 1 MB, preview cap may kick in with download CTA. UI remains responsive; no freeze.</t>
        </is>
      </c>
      <c r="J2296" s="16" t="inlineStr"/>
      <c r="K2296" s="16" t="inlineStr">
        <is>
          <t>Not Run</t>
        </is>
      </c>
      <c r="L2296" s="16" t="inlineStr">
        <is>
          <t>Medium</t>
        </is>
      </c>
      <c r="M2296" s="16" t="inlineStr"/>
      <c r="N2296" s="16" t="inlineStr"/>
      <c r="O2296" s="16" t="inlineStr"/>
    </row>
    <row r="2297" ht="72" customHeight="1">
      <c r="A2297" s="16" t="inlineStr">
        <is>
          <t>TC-RP-0243</t>
        </is>
      </c>
      <c r="B2297" s="16" t="inlineStr">
        <is>
          <t>Response Panel</t>
        </is>
      </c>
      <c r="C2297" s="16" t="inlineStr">
        <is>
          <t>Viewer Matrix</t>
        </is>
      </c>
      <c r="D2297" s="16" t="inlineStr">
        <is>
          <t>Performance</t>
        </is>
      </c>
      <c r="E2297" s="16" t="inlineStr">
        <is>
          <t>Response body text/event-stream at 1 MB in Preview viewer</t>
        </is>
      </c>
      <c r="F2297" s="16" t="inlineStr">
        <is>
          <t>-</t>
        </is>
      </c>
      <c r="G2297" s="16" t="inlineStr">
        <is>
          <t>1. Send request returning text/event-stream body of size 1 MB.
2. Switch viewer to Preview.
3. Inspect rendering and responsiveness.</t>
        </is>
      </c>
      <c r="H2297" s="16" t="inlineStr">
        <is>
          <t>ct=text/event-stream size=1 MB view=Preview</t>
        </is>
      </c>
      <c r="I2297" s="16" t="inlineStr">
        <is>
          <t>Preview renders appropriately for text/event-stream at 1 MB. For sizes &gt;= 1 MB, preview cap may kick in with download CTA. UI remains responsive; no freeze.</t>
        </is>
      </c>
      <c r="J2297" s="16" t="inlineStr"/>
      <c r="K2297" s="16" t="inlineStr">
        <is>
          <t>Not Run</t>
        </is>
      </c>
      <c r="L2297" s="16" t="inlineStr">
        <is>
          <t>Medium</t>
        </is>
      </c>
      <c r="M2297" s="16" t="inlineStr"/>
      <c r="N2297" s="16" t="inlineStr"/>
      <c r="O2297" s="16" t="inlineStr"/>
    </row>
    <row r="2298" ht="72" customHeight="1">
      <c r="A2298" s="16" t="inlineStr">
        <is>
          <t>TC-RP-0244</t>
        </is>
      </c>
      <c r="B2298" s="16" t="inlineStr">
        <is>
          <t>Response Panel</t>
        </is>
      </c>
      <c r="C2298" s="16" t="inlineStr">
        <is>
          <t>Viewer Matrix</t>
        </is>
      </c>
      <c r="D2298" s="16" t="inlineStr">
        <is>
          <t>Performance</t>
        </is>
      </c>
      <c r="E2298" s="16" t="inlineStr">
        <is>
          <t>Response body application/x-yaml at 1 MB in Pretty viewer</t>
        </is>
      </c>
      <c r="F2298" s="16" t="inlineStr">
        <is>
          <t>-</t>
        </is>
      </c>
      <c r="G2298" s="16" t="inlineStr">
        <is>
          <t>1. Send request returning application/x-yaml body of size 1 MB.
2. Switch viewer to Pretty.
3. Inspect rendering and responsiveness.</t>
        </is>
      </c>
      <c r="H2298" s="16" t="inlineStr">
        <is>
          <t>ct=application/x-yaml size=1 MB view=Pretty</t>
        </is>
      </c>
      <c r="I2298" s="16" t="inlineStr">
        <is>
          <t>Pretty renders appropriately for application/x-yaml at 1 MB. For sizes &gt;= 1 MB, preview cap may kick in with download CTA. UI remains responsive; no freeze.</t>
        </is>
      </c>
      <c r="J2298" s="16" t="inlineStr"/>
      <c r="K2298" s="16" t="inlineStr">
        <is>
          <t>Not Run</t>
        </is>
      </c>
      <c r="L2298" s="16" t="inlineStr">
        <is>
          <t>Medium</t>
        </is>
      </c>
      <c r="M2298" s="16" t="inlineStr"/>
      <c r="N2298" s="16" t="inlineStr"/>
      <c r="O2298" s="16" t="inlineStr"/>
    </row>
    <row r="2299" ht="72" customHeight="1">
      <c r="A2299" s="16" t="inlineStr">
        <is>
          <t>TC-RP-0245</t>
        </is>
      </c>
      <c r="B2299" s="16" t="inlineStr">
        <is>
          <t>Response Panel</t>
        </is>
      </c>
      <c r="C2299" s="16" t="inlineStr">
        <is>
          <t>Viewer Matrix</t>
        </is>
      </c>
      <c r="D2299" s="16" t="inlineStr">
        <is>
          <t>Performance</t>
        </is>
      </c>
      <c r="E2299" s="16" t="inlineStr">
        <is>
          <t>Response body application/x-yaml at 1 MB in Raw viewer</t>
        </is>
      </c>
      <c r="F2299" s="16" t="inlineStr">
        <is>
          <t>-</t>
        </is>
      </c>
      <c r="G2299" s="16" t="inlineStr">
        <is>
          <t>1. Send request returning application/x-yaml body of size 1 MB.
2. Switch viewer to Raw.
3. Inspect rendering and responsiveness.</t>
        </is>
      </c>
      <c r="H2299" s="16" t="inlineStr">
        <is>
          <t>ct=application/x-yaml size=1 MB view=Raw</t>
        </is>
      </c>
      <c r="I2299" s="16" t="inlineStr">
        <is>
          <t>Raw renders appropriately for application/x-yaml at 1 MB. For sizes &gt;= 1 MB, preview cap may kick in with download CTA. UI remains responsive; no freeze.</t>
        </is>
      </c>
      <c r="J2299" s="16" t="inlineStr"/>
      <c r="K2299" s="16" t="inlineStr">
        <is>
          <t>Not Run</t>
        </is>
      </c>
      <c r="L2299" s="16" t="inlineStr">
        <is>
          <t>Medium</t>
        </is>
      </c>
      <c r="M2299" s="16" t="inlineStr"/>
      <c r="N2299" s="16" t="inlineStr"/>
      <c r="O2299" s="16" t="inlineStr"/>
    </row>
    <row r="2300" ht="72" customHeight="1">
      <c r="A2300" s="16" t="inlineStr">
        <is>
          <t>TC-RP-0246</t>
        </is>
      </c>
      <c r="B2300" s="16" t="inlineStr">
        <is>
          <t>Response Panel</t>
        </is>
      </c>
      <c r="C2300" s="16" t="inlineStr">
        <is>
          <t>Viewer Matrix</t>
        </is>
      </c>
      <c r="D2300" s="16" t="inlineStr">
        <is>
          <t>Performance</t>
        </is>
      </c>
      <c r="E2300" s="16" t="inlineStr">
        <is>
          <t>Response body application/x-yaml at 1 MB in Preview viewer</t>
        </is>
      </c>
      <c r="F2300" s="16" t="inlineStr">
        <is>
          <t>-</t>
        </is>
      </c>
      <c r="G2300" s="16" t="inlineStr">
        <is>
          <t>1. Send request returning application/x-yaml body of size 1 MB.
2. Switch viewer to Preview.
3. Inspect rendering and responsiveness.</t>
        </is>
      </c>
      <c r="H2300" s="16" t="inlineStr">
        <is>
          <t>ct=application/x-yaml size=1 MB view=Preview</t>
        </is>
      </c>
      <c r="I2300" s="16" t="inlineStr">
        <is>
          <t>Preview renders appropriately for application/x-yaml at 1 MB. For sizes &gt;= 1 MB, preview cap may kick in with download CTA. UI remains responsive; no freeze.</t>
        </is>
      </c>
      <c r="J2300" s="16" t="inlineStr"/>
      <c r="K2300" s="16" t="inlineStr">
        <is>
          <t>Not Run</t>
        </is>
      </c>
      <c r="L2300" s="16" t="inlineStr">
        <is>
          <t>Medium</t>
        </is>
      </c>
      <c r="M2300" s="16" t="inlineStr"/>
      <c r="N2300" s="16" t="inlineStr"/>
      <c r="O2300" s="16" t="inlineStr"/>
    </row>
    <row r="2301" ht="72" customHeight="1">
      <c r="A2301" s="16" t="inlineStr">
        <is>
          <t>TC-RP-0247</t>
        </is>
      </c>
      <c r="B2301" s="16" t="inlineStr">
        <is>
          <t>Response Panel</t>
        </is>
      </c>
      <c r="C2301" s="16" t="inlineStr">
        <is>
          <t>Viewer Matrix</t>
        </is>
      </c>
      <c r="D2301" s="16" t="inlineStr">
        <is>
          <t>Performance</t>
        </is>
      </c>
      <c r="E2301" s="16" t="inlineStr">
        <is>
          <t>Response body application/json at 10 MB in Pretty viewer</t>
        </is>
      </c>
      <c r="F2301" s="16" t="inlineStr">
        <is>
          <t>-</t>
        </is>
      </c>
      <c r="G2301" s="16" t="inlineStr">
        <is>
          <t>1. Send request returning application/json body of size 10 MB.
2. Switch viewer to Pretty.
3. Inspect rendering and responsiveness.</t>
        </is>
      </c>
      <c r="H2301" s="16" t="inlineStr">
        <is>
          <t>ct=application/json size=10 MB view=Pretty</t>
        </is>
      </c>
      <c r="I2301" s="16" t="inlineStr">
        <is>
          <t>Pretty renders appropriately for application/json at 10 MB. For sizes &gt;= 1 MB, preview cap may kick in with download CTA. UI remains responsive; no freeze.</t>
        </is>
      </c>
      <c r="J2301" s="16" t="inlineStr"/>
      <c r="K2301" s="16" t="inlineStr">
        <is>
          <t>Not Run</t>
        </is>
      </c>
      <c r="L2301" s="16" t="inlineStr">
        <is>
          <t>Medium</t>
        </is>
      </c>
      <c r="M2301" s="16" t="inlineStr"/>
      <c r="N2301" s="16" t="inlineStr"/>
      <c r="O2301" s="16" t="inlineStr"/>
    </row>
    <row r="2302" ht="72" customHeight="1">
      <c r="A2302" s="16" t="inlineStr">
        <is>
          <t>TC-RP-0248</t>
        </is>
      </c>
      <c r="B2302" s="16" t="inlineStr">
        <is>
          <t>Response Panel</t>
        </is>
      </c>
      <c r="C2302" s="16" t="inlineStr">
        <is>
          <t>Viewer Matrix</t>
        </is>
      </c>
      <c r="D2302" s="16" t="inlineStr">
        <is>
          <t>Performance</t>
        </is>
      </c>
      <c r="E2302" s="16" t="inlineStr">
        <is>
          <t>Response body application/json at 10 MB in Raw viewer</t>
        </is>
      </c>
      <c r="F2302" s="16" t="inlineStr">
        <is>
          <t>-</t>
        </is>
      </c>
      <c r="G2302" s="16" t="inlineStr">
        <is>
          <t>1. Send request returning application/json body of size 10 MB.
2. Switch viewer to Raw.
3. Inspect rendering and responsiveness.</t>
        </is>
      </c>
      <c r="H2302" s="16" t="inlineStr">
        <is>
          <t>ct=application/json size=10 MB view=Raw</t>
        </is>
      </c>
      <c r="I2302" s="16" t="inlineStr">
        <is>
          <t>Raw renders appropriately for application/json at 10 MB. For sizes &gt;= 1 MB, preview cap may kick in with download CTA. UI remains responsive; no freeze.</t>
        </is>
      </c>
      <c r="J2302" s="16" t="inlineStr"/>
      <c r="K2302" s="16" t="inlineStr">
        <is>
          <t>Not Run</t>
        </is>
      </c>
      <c r="L2302" s="16" t="inlineStr">
        <is>
          <t>Medium</t>
        </is>
      </c>
      <c r="M2302" s="16" t="inlineStr"/>
      <c r="N2302" s="16" t="inlineStr"/>
      <c r="O2302" s="16" t="inlineStr"/>
    </row>
    <row r="2303" ht="72" customHeight="1">
      <c r="A2303" s="16" t="inlineStr">
        <is>
          <t>TC-RP-0249</t>
        </is>
      </c>
      <c r="B2303" s="16" t="inlineStr">
        <is>
          <t>Response Panel</t>
        </is>
      </c>
      <c r="C2303" s="16" t="inlineStr">
        <is>
          <t>Viewer Matrix</t>
        </is>
      </c>
      <c r="D2303" s="16" t="inlineStr">
        <is>
          <t>Performance</t>
        </is>
      </c>
      <c r="E2303" s="16" t="inlineStr">
        <is>
          <t>Response body application/json at 10 MB in Preview viewer</t>
        </is>
      </c>
      <c r="F2303" s="16" t="inlineStr">
        <is>
          <t>-</t>
        </is>
      </c>
      <c r="G2303" s="16" t="inlineStr">
        <is>
          <t>1. Send request returning application/json body of size 10 MB.
2. Switch viewer to Preview.
3. Inspect rendering and responsiveness.</t>
        </is>
      </c>
      <c r="H2303" s="16" t="inlineStr">
        <is>
          <t>ct=application/json size=10 MB view=Preview</t>
        </is>
      </c>
      <c r="I2303" s="16" t="inlineStr">
        <is>
          <t>Preview renders appropriately for application/json at 10 MB. For sizes &gt;= 1 MB, preview cap may kick in with download CTA. UI remains responsive; no freeze.</t>
        </is>
      </c>
      <c r="J2303" s="16" t="inlineStr"/>
      <c r="K2303" s="16" t="inlineStr">
        <is>
          <t>Not Run</t>
        </is>
      </c>
      <c r="L2303" s="16" t="inlineStr">
        <is>
          <t>Medium</t>
        </is>
      </c>
      <c r="M2303" s="16" t="inlineStr"/>
      <c r="N2303" s="16" t="inlineStr"/>
      <c r="O2303" s="16" t="inlineStr"/>
    </row>
    <row r="2304" ht="72" customHeight="1">
      <c r="A2304" s="16" t="inlineStr">
        <is>
          <t>TC-RP-0250</t>
        </is>
      </c>
      <c r="B2304" s="16" t="inlineStr">
        <is>
          <t>Response Panel</t>
        </is>
      </c>
      <c r="C2304" s="16" t="inlineStr">
        <is>
          <t>Viewer Matrix</t>
        </is>
      </c>
      <c r="D2304" s="16" t="inlineStr">
        <is>
          <t>Performance</t>
        </is>
      </c>
      <c r="E2304" s="16" t="inlineStr">
        <is>
          <t>Response body application/xml at 10 MB in Pretty viewer</t>
        </is>
      </c>
      <c r="F2304" s="16" t="inlineStr">
        <is>
          <t>-</t>
        </is>
      </c>
      <c r="G2304" s="16" t="inlineStr">
        <is>
          <t>1. Send request returning application/xml body of size 10 MB.
2. Switch viewer to Pretty.
3. Inspect rendering and responsiveness.</t>
        </is>
      </c>
      <c r="H2304" s="16" t="inlineStr">
        <is>
          <t>ct=application/xml size=10 MB view=Pretty</t>
        </is>
      </c>
      <c r="I2304" s="16" t="inlineStr">
        <is>
          <t>Pretty renders appropriately for application/xml at 10 MB. For sizes &gt;= 1 MB, preview cap may kick in with download CTA. UI remains responsive; no freeze.</t>
        </is>
      </c>
      <c r="J2304" s="16" t="inlineStr"/>
      <c r="K2304" s="16" t="inlineStr">
        <is>
          <t>Not Run</t>
        </is>
      </c>
      <c r="L2304" s="16" t="inlineStr">
        <is>
          <t>Medium</t>
        </is>
      </c>
      <c r="M2304" s="16" t="inlineStr"/>
      <c r="N2304" s="16" t="inlineStr"/>
      <c r="O2304" s="16" t="inlineStr"/>
    </row>
    <row r="2305" ht="72" customHeight="1">
      <c r="A2305" s="16" t="inlineStr">
        <is>
          <t>TC-RP-0251</t>
        </is>
      </c>
      <c r="B2305" s="16" t="inlineStr">
        <is>
          <t>Response Panel</t>
        </is>
      </c>
      <c r="C2305" s="16" t="inlineStr">
        <is>
          <t>Viewer Matrix</t>
        </is>
      </c>
      <c r="D2305" s="16" t="inlineStr">
        <is>
          <t>Performance</t>
        </is>
      </c>
      <c r="E2305" s="16" t="inlineStr">
        <is>
          <t>Response body application/xml at 10 MB in Raw viewer</t>
        </is>
      </c>
      <c r="F2305" s="16" t="inlineStr">
        <is>
          <t>-</t>
        </is>
      </c>
      <c r="G2305" s="16" t="inlineStr">
        <is>
          <t>1. Send request returning application/xml body of size 10 MB.
2. Switch viewer to Raw.
3. Inspect rendering and responsiveness.</t>
        </is>
      </c>
      <c r="H2305" s="16" t="inlineStr">
        <is>
          <t>ct=application/xml size=10 MB view=Raw</t>
        </is>
      </c>
      <c r="I2305" s="16" t="inlineStr">
        <is>
          <t>Raw renders appropriately for application/xml at 10 MB. For sizes &gt;= 1 MB, preview cap may kick in with download CTA. UI remains responsive; no freeze.</t>
        </is>
      </c>
      <c r="J2305" s="16" t="inlineStr"/>
      <c r="K2305" s="16" t="inlineStr">
        <is>
          <t>Not Run</t>
        </is>
      </c>
      <c r="L2305" s="16" t="inlineStr">
        <is>
          <t>Medium</t>
        </is>
      </c>
      <c r="M2305" s="16" t="inlineStr"/>
      <c r="N2305" s="16" t="inlineStr"/>
      <c r="O2305" s="16" t="inlineStr"/>
    </row>
    <row r="2306" ht="72" customHeight="1">
      <c r="A2306" s="16" t="inlineStr">
        <is>
          <t>TC-RP-0252</t>
        </is>
      </c>
      <c r="B2306" s="16" t="inlineStr">
        <is>
          <t>Response Panel</t>
        </is>
      </c>
      <c r="C2306" s="16" t="inlineStr">
        <is>
          <t>Viewer Matrix</t>
        </is>
      </c>
      <c r="D2306" s="16" t="inlineStr">
        <is>
          <t>Performance</t>
        </is>
      </c>
      <c r="E2306" s="16" t="inlineStr">
        <is>
          <t>Response body application/xml at 10 MB in Preview viewer</t>
        </is>
      </c>
      <c r="F2306" s="16" t="inlineStr">
        <is>
          <t>-</t>
        </is>
      </c>
      <c r="G2306" s="16" t="inlineStr">
        <is>
          <t>1. Send request returning application/xml body of size 10 MB.
2. Switch viewer to Preview.
3. Inspect rendering and responsiveness.</t>
        </is>
      </c>
      <c r="H2306" s="16" t="inlineStr">
        <is>
          <t>ct=application/xml size=10 MB view=Preview</t>
        </is>
      </c>
      <c r="I2306" s="16" t="inlineStr">
        <is>
          <t>Preview renders appropriately for application/xml at 10 MB. For sizes &gt;= 1 MB, preview cap may kick in with download CTA. UI remains responsive; no freeze.</t>
        </is>
      </c>
      <c r="J2306" s="16" t="inlineStr"/>
      <c r="K2306" s="16" t="inlineStr">
        <is>
          <t>Not Run</t>
        </is>
      </c>
      <c r="L2306" s="16" t="inlineStr">
        <is>
          <t>Medium</t>
        </is>
      </c>
      <c r="M2306" s="16" t="inlineStr"/>
      <c r="N2306" s="16" t="inlineStr"/>
      <c r="O2306" s="16" t="inlineStr"/>
    </row>
    <row r="2307" ht="72" customHeight="1">
      <c r="A2307" s="16" t="inlineStr">
        <is>
          <t>TC-RP-0253</t>
        </is>
      </c>
      <c r="B2307" s="16" t="inlineStr">
        <is>
          <t>Response Panel</t>
        </is>
      </c>
      <c r="C2307" s="16" t="inlineStr">
        <is>
          <t>Viewer Matrix</t>
        </is>
      </c>
      <c r="D2307" s="16" t="inlineStr">
        <is>
          <t>Performance</t>
        </is>
      </c>
      <c r="E2307" s="16" t="inlineStr">
        <is>
          <t>Response body text/html at 10 MB in Pretty viewer</t>
        </is>
      </c>
      <c r="F2307" s="16" t="inlineStr">
        <is>
          <t>-</t>
        </is>
      </c>
      <c r="G2307" s="16" t="inlineStr">
        <is>
          <t>1. Send request returning text/html body of size 10 MB.
2. Switch viewer to Pretty.
3. Inspect rendering and responsiveness.</t>
        </is>
      </c>
      <c r="H2307" s="16" t="inlineStr">
        <is>
          <t>ct=text/html size=10 MB view=Pretty</t>
        </is>
      </c>
      <c r="I2307" s="16" t="inlineStr">
        <is>
          <t>Pretty renders appropriately for text/html at 10 MB. For sizes &gt;= 1 MB, preview cap may kick in with download CTA. UI remains responsive; no freeze.</t>
        </is>
      </c>
      <c r="J2307" s="16" t="inlineStr"/>
      <c r="K2307" s="16" t="inlineStr">
        <is>
          <t>Not Run</t>
        </is>
      </c>
      <c r="L2307" s="16" t="inlineStr">
        <is>
          <t>Medium</t>
        </is>
      </c>
      <c r="M2307" s="16" t="inlineStr"/>
      <c r="N2307" s="16" t="inlineStr"/>
      <c r="O2307" s="16" t="inlineStr"/>
    </row>
    <row r="2308" ht="72" customHeight="1">
      <c r="A2308" s="16" t="inlineStr">
        <is>
          <t>TC-RP-0254</t>
        </is>
      </c>
      <c r="B2308" s="16" t="inlineStr">
        <is>
          <t>Response Panel</t>
        </is>
      </c>
      <c r="C2308" s="16" t="inlineStr">
        <is>
          <t>Viewer Matrix</t>
        </is>
      </c>
      <c r="D2308" s="16" t="inlineStr">
        <is>
          <t>Performance</t>
        </is>
      </c>
      <c r="E2308" s="16" t="inlineStr">
        <is>
          <t>Response body text/html at 10 MB in Raw viewer</t>
        </is>
      </c>
      <c r="F2308" s="16" t="inlineStr">
        <is>
          <t>-</t>
        </is>
      </c>
      <c r="G2308" s="16" t="inlineStr">
        <is>
          <t>1. Send request returning text/html body of size 10 MB.
2. Switch viewer to Raw.
3. Inspect rendering and responsiveness.</t>
        </is>
      </c>
      <c r="H2308" s="16" t="inlineStr">
        <is>
          <t>ct=text/html size=10 MB view=Raw</t>
        </is>
      </c>
      <c r="I2308" s="16" t="inlineStr">
        <is>
          <t>Raw renders appropriately for text/html at 10 MB. For sizes &gt;= 1 MB, preview cap may kick in with download CTA. UI remains responsive; no freeze.</t>
        </is>
      </c>
      <c r="J2308" s="16" t="inlineStr"/>
      <c r="K2308" s="16" t="inlineStr">
        <is>
          <t>Not Run</t>
        </is>
      </c>
      <c r="L2308" s="16" t="inlineStr">
        <is>
          <t>Medium</t>
        </is>
      </c>
      <c r="M2308" s="16" t="inlineStr"/>
      <c r="N2308" s="16" t="inlineStr"/>
      <c r="O2308" s="16" t="inlineStr"/>
    </row>
    <row r="2309" ht="72" customHeight="1">
      <c r="A2309" s="16" t="inlineStr">
        <is>
          <t>TC-RP-0255</t>
        </is>
      </c>
      <c r="B2309" s="16" t="inlineStr">
        <is>
          <t>Response Panel</t>
        </is>
      </c>
      <c r="C2309" s="16" t="inlineStr">
        <is>
          <t>Viewer Matrix</t>
        </is>
      </c>
      <c r="D2309" s="16" t="inlineStr">
        <is>
          <t>Performance</t>
        </is>
      </c>
      <c r="E2309" s="16" t="inlineStr">
        <is>
          <t>Response body text/html at 10 MB in Preview viewer</t>
        </is>
      </c>
      <c r="F2309" s="16" t="inlineStr">
        <is>
          <t>-</t>
        </is>
      </c>
      <c r="G2309" s="16" t="inlineStr">
        <is>
          <t>1. Send request returning text/html body of size 10 MB.
2. Switch viewer to Preview.
3. Inspect rendering and responsiveness.</t>
        </is>
      </c>
      <c r="H2309" s="16" t="inlineStr">
        <is>
          <t>ct=text/html size=10 MB view=Preview</t>
        </is>
      </c>
      <c r="I2309" s="16" t="inlineStr">
        <is>
          <t>Preview renders appropriately for text/html at 10 MB. For sizes &gt;= 1 MB, preview cap may kick in with download CTA. UI remains responsive; no freeze.</t>
        </is>
      </c>
      <c r="J2309" s="16" t="inlineStr"/>
      <c r="K2309" s="16" t="inlineStr">
        <is>
          <t>Not Run</t>
        </is>
      </c>
      <c r="L2309" s="16" t="inlineStr">
        <is>
          <t>Medium</t>
        </is>
      </c>
      <c r="M2309" s="16" t="inlineStr"/>
      <c r="N2309" s="16" t="inlineStr"/>
      <c r="O2309" s="16" t="inlineStr"/>
    </row>
    <row r="2310" ht="72" customHeight="1">
      <c r="A2310" s="16" t="inlineStr">
        <is>
          <t>TC-RP-0256</t>
        </is>
      </c>
      <c r="B2310" s="16" t="inlineStr">
        <is>
          <t>Response Panel</t>
        </is>
      </c>
      <c r="C2310" s="16" t="inlineStr">
        <is>
          <t>Viewer Matrix</t>
        </is>
      </c>
      <c r="D2310" s="16" t="inlineStr">
        <is>
          <t>Performance</t>
        </is>
      </c>
      <c r="E2310" s="16" t="inlineStr">
        <is>
          <t>Response body text/plain at 10 MB in Pretty viewer</t>
        </is>
      </c>
      <c r="F2310" s="16" t="inlineStr">
        <is>
          <t>-</t>
        </is>
      </c>
      <c r="G2310" s="16" t="inlineStr">
        <is>
          <t>1. Send request returning text/plain body of size 10 MB.
2. Switch viewer to Pretty.
3. Inspect rendering and responsiveness.</t>
        </is>
      </c>
      <c r="H2310" s="16" t="inlineStr">
        <is>
          <t>ct=text/plain size=10 MB view=Pretty</t>
        </is>
      </c>
      <c r="I2310" s="16" t="inlineStr">
        <is>
          <t>Pretty renders appropriately for text/plain at 10 MB. For sizes &gt;= 1 MB, preview cap may kick in with download CTA. UI remains responsive; no freeze.</t>
        </is>
      </c>
      <c r="J2310" s="16" t="inlineStr"/>
      <c r="K2310" s="16" t="inlineStr">
        <is>
          <t>Not Run</t>
        </is>
      </c>
      <c r="L2310" s="16" t="inlineStr">
        <is>
          <t>Medium</t>
        </is>
      </c>
      <c r="M2310" s="16" t="inlineStr"/>
      <c r="N2310" s="16" t="inlineStr"/>
      <c r="O2310" s="16" t="inlineStr"/>
    </row>
    <row r="2311" ht="72" customHeight="1">
      <c r="A2311" s="16" t="inlineStr">
        <is>
          <t>TC-RP-0257</t>
        </is>
      </c>
      <c r="B2311" s="16" t="inlineStr">
        <is>
          <t>Response Panel</t>
        </is>
      </c>
      <c r="C2311" s="16" t="inlineStr">
        <is>
          <t>Viewer Matrix</t>
        </is>
      </c>
      <c r="D2311" s="16" t="inlineStr">
        <is>
          <t>Performance</t>
        </is>
      </c>
      <c r="E2311" s="16" t="inlineStr">
        <is>
          <t>Response body text/plain at 10 MB in Raw viewer</t>
        </is>
      </c>
      <c r="F2311" s="16" t="inlineStr">
        <is>
          <t>-</t>
        </is>
      </c>
      <c r="G2311" s="16" t="inlineStr">
        <is>
          <t>1. Send request returning text/plain body of size 10 MB.
2. Switch viewer to Raw.
3. Inspect rendering and responsiveness.</t>
        </is>
      </c>
      <c r="H2311" s="16" t="inlineStr">
        <is>
          <t>ct=text/plain size=10 MB view=Raw</t>
        </is>
      </c>
      <c r="I2311" s="16" t="inlineStr">
        <is>
          <t>Raw renders appropriately for text/plain at 10 MB. For sizes &gt;= 1 MB, preview cap may kick in with download CTA. UI remains responsive; no freeze.</t>
        </is>
      </c>
      <c r="J2311" s="16" t="inlineStr"/>
      <c r="K2311" s="16" t="inlineStr">
        <is>
          <t>Not Run</t>
        </is>
      </c>
      <c r="L2311" s="16" t="inlineStr">
        <is>
          <t>Medium</t>
        </is>
      </c>
      <c r="M2311" s="16" t="inlineStr"/>
      <c r="N2311" s="16" t="inlineStr"/>
      <c r="O2311" s="16" t="inlineStr"/>
    </row>
    <row r="2312" ht="72" customHeight="1">
      <c r="A2312" s="16" t="inlineStr">
        <is>
          <t>TC-RP-0258</t>
        </is>
      </c>
      <c r="B2312" s="16" t="inlineStr">
        <is>
          <t>Response Panel</t>
        </is>
      </c>
      <c r="C2312" s="16" t="inlineStr">
        <is>
          <t>Viewer Matrix</t>
        </is>
      </c>
      <c r="D2312" s="16" t="inlineStr">
        <is>
          <t>Performance</t>
        </is>
      </c>
      <c r="E2312" s="16" t="inlineStr">
        <is>
          <t>Response body text/plain at 10 MB in Preview viewer</t>
        </is>
      </c>
      <c r="F2312" s="16" t="inlineStr">
        <is>
          <t>-</t>
        </is>
      </c>
      <c r="G2312" s="16" t="inlineStr">
        <is>
          <t>1. Send request returning text/plain body of size 10 MB.
2. Switch viewer to Preview.
3. Inspect rendering and responsiveness.</t>
        </is>
      </c>
      <c r="H2312" s="16" t="inlineStr">
        <is>
          <t>ct=text/plain size=10 MB view=Preview</t>
        </is>
      </c>
      <c r="I2312" s="16" t="inlineStr">
        <is>
          <t>Preview renders appropriately for text/plain at 10 MB. For sizes &gt;= 1 MB, preview cap may kick in with download CTA. UI remains responsive; no freeze.</t>
        </is>
      </c>
      <c r="J2312" s="16" t="inlineStr"/>
      <c r="K2312" s="16" t="inlineStr">
        <is>
          <t>Not Run</t>
        </is>
      </c>
      <c r="L2312" s="16" t="inlineStr">
        <is>
          <t>Medium</t>
        </is>
      </c>
      <c r="M2312" s="16" t="inlineStr"/>
      <c r="N2312" s="16" t="inlineStr"/>
      <c r="O2312" s="16" t="inlineStr"/>
    </row>
    <row r="2313" ht="72" customHeight="1">
      <c r="A2313" s="16" t="inlineStr">
        <is>
          <t>TC-RP-0259</t>
        </is>
      </c>
      <c r="B2313" s="16" t="inlineStr">
        <is>
          <t>Response Panel</t>
        </is>
      </c>
      <c r="C2313" s="16" t="inlineStr">
        <is>
          <t>Viewer Matrix</t>
        </is>
      </c>
      <c r="D2313" s="16" t="inlineStr">
        <is>
          <t>Performance</t>
        </is>
      </c>
      <c r="E2313" s="16" t="inlineStr">
        <is>
          <t>Response body application/octet-stream at 10 MB in Pretty viewer</t>
        </is>
      </c>
      <c r="F2313" s="16" t="inlineStr">
        <is>
          <t>-</t>
        </is>
      </c>
      <c r="G2313" s="16" t="inlineStr">
        <is>
          <t>1. Send request returning application/octet-stream body of size 10 MB.
2. Switch viewer to Pretty.
3. Inspect rendering and responsiveness.</t>
        </is>
      </c>
      <c r="H2313" s="16" t="inlineStr">
        <is>
          <t>ct=application/octet-stream size=10 MB view=Pretty</t>
        </is>
      </c>
      <c r="I2313" s="16" t="inlineStr">
        <is>
          <t>Pretty renders appropriately for application/octet-stream at 10 MB. For sizes &gt;= 1 MB, preview cap may kick in with download CTA. UI remains responsive; no freeze.</t>
        </is>
      </c>
      <c r="J2313" s="16" t="inlineStr"/>
      <c r="K2313" s="16" t="inlineStr">
        <is>
          <t>Not Run</t>
        </is>
      </c>
      <c r="L2313" s="16" t="inlineStr">
        <is>
          <t>Medium</t>
        </is>
      </c>
      <c r="M2313" s="16" t="inlineStr"/>
      <c r="N2313" s="16" t="inlineStr"/>
      <c r="O2313" s="16" t="inlineStr"/>
    </row>
    <row r="2314" ht="72" customHeight="1">
      <c r="A2314" s="16" t="inlineStr">
        <is>
          <t>TC-RP-0260</t>
        </is>
      </c>
      <c r="B2314" s="16" t="inlineStr">
        <is>
          <t>Response Panel</t>
        </is>
      </c>
      <c r="C2314" s="16" t="inlineStr">
        <is>
          <t>Viewer Matrix</t>
        </is>
      </c>
      <c r="D2314" s="16" t="inlineStr">
        <is>
          <t>Performance</t>
        </is>
      </c>
      <c r="E2314" s="16" t="inlineStr">
        <is>
          <t>Response body application/octet-stream at 10 MB in Raw viewer</t>
        </is>
      </c>
      <c r="F2314" s="16" t="inlineStr">
        <is>
          <t>-</t>
        </is>
      </c>
      <c r="G2314" s="16" t="inlineStr">
        <is>
          <t>1. Send request returning application/octet-stream body of size 10 MB.
2. Switch viewer to Raw.
3. Inspect rendering and responsiveness.</t>
        </is>
      </c>
      <c r="H2314" s="16" t="inlineStr">
        <is>
          <t>ct=application/octet-stream size=10 MB view=Raw</t>
        </is>
      </c>
      <c r="I2314" s="16" t="inlineStr">
        <is>
          <t>Raw renders appropriately for application/octet-stream at 10 MB. For sizes &gt;= 1 MB, preview cap may kick in with download CTA. UI remains responsive; no freeze.</t>
        </is>
      </c>
      <c r="J2314" s="16" t="inlineStr"/>
      <c r="K2314" s="16" t="inlineStr">
        <is>
          <t>Not Run</t>
        </is>
      </c>
      <c r="L2314" s="16" t="inlineStr">
        <is>
          <t>Medium</t>
        </is>
      </c>
      <c r="M2314" s="16" t="inlineStr"/>
      <c r="N2314" s="16" t="inlineStr"/>
      <c r="O2314" s="16" t="inlineStr"/>
    </row>
    <row r="2315" ht="72" customHeight="1">
      <c r="A2315" s="16" t="inlineStr">
        <is>
          <t>TC-RP-0261</t>
        </is>
      </c>
      <c r="B2315" s="16" t="inlineStr">
        <is>
          <t>Response Panel</t>
        </is>
      </c>
      <c r="C2315" s="16" t="inlineStr">
        <is>
          <t>Viewer Matrix</t>
        </is>
      </c>
      <c r="D2315" s="16" t="inlineStr">
        <is>
          <t>Performance</t>
        </is>
      </c>
      <c r="E2315" s="16" t="inlineStr">
        <is>
          <t>Response body application/octet-stream at 10 MB in Preview viewer</t>
        </is>
      </c>
      <c r="F2315" s="16" t="inlineStr">
        <is>
          <t>-</t>
        </is>
      </c>
      <c r="G2315" s="16" t="inlineStr">
        <is>
          <t>1. Send request returning application/octet-stream body of size 10 MB.
2. Switch viewer to Preview.
3. Inspect rendering and responsiveness.</t>
        </is>
      </c>
      <c r="H2315" s="16" t="inlineStr">
        <is>
          <t>ct=application/octet-stream size=10 MB view=Preview</t>
        </is>
      </c>
      <c r="I2315" s="16" t="inlineStr">
        <is>
          <t>Preview renders appropriately for application/octet-stream at 10 MB. For sizes &gt;= 1 MB, preview cap may kick in with download CTA. UI remains responsive; no freeze.</t>
        </is>
      </c>
      <c r="J2315" s="16" t="inlineStr"/>
      <c r="K2315" s="16" t="inlineStr">
        <is>
          <t>Not Run</t>
        </is>
      </c>
      <c r="L2315" s="16" t="inlineStr">
        <is>
          <t>Medium</t>
        </is>
      </c>
      <c r="M2315" s="16" t="inlineStr"/>
      <c r="N2315" s="16" t="inlineStr"/>
      <c r="O2315" s="16" t="inlineStr"/>
    </row>
    <row r="2316" ht="72" customHeight="1">
      <c r="A2316" s="16" t="inlineStr">
        <is>
          <t>TC-RP-0262</t>
        </is>
      </c>
      <c r="B2316" s="16" t="inlineStr">
        <is>
          <t>Response Panel</t>
        </is>
      </c>
      <c r="C2316" s="16" t="inlineStr">
        <is>
          <t>Viewer Matrix</t>
        </is>
      </c>
      <c r="D2316" s="16" t="inlineStr">
        <is>
          <t>Performance</t>
        </is>
      </c>
      <c r="E2316" s="16" t="inlineStr">
        <is>
          <t>Response body text/csv at 10 MB in Pretty viewer</t>
        </is>
      </c>
      <c r="F2316" s="16" t="inlineStr">
        <is>
          <t>-</t>
        </is>
      </c>
      <c r="G2316" s="16" t="inlineStr">
        <is>
          <t>1. Send request returning text/csv body of size 10 MB.
2. Switch viewer to Pretty.
3. Inspect rendering and responsiveness.</t>
        </is>
      </c>
      <c r="H2316" s="16" t="inlineStr">
        <is>
          <t>ct=text/csv size=10 MB view=Pretty</t>
        </is>
      </c>
      <c r="I2316" s="16" t="inlineStr">
        <is>
          <t>Pretty renders appropriately for text/csv at 10 MB. For sizes &gt;= 1 MB, preview cap may kick in with download CTA. UI remains responsive; no freeze.</t>
        </is>
      </c>
      <c r="J2316" s="16" t="inlineStr"/>
      <c r="K2316" s="16" t="inlineStr">
        <is>
          <t>Not Run</t>
        </is>
      </c>
      <c r="L2316" s="16" t="inlineStr">
        <is>
          <t>Medium</t>
        </is>
      </c>
      <c r="M2316" s="16" t="inlineStr"/>
      <c r="N2316" s="16" t="inlineStr"/>
      <c r="O2316" s="16" t="inlineStr"/>
    </row>
    <row r="2317" ht="72" customHeight="1">
      <c r="A2317" s="16" t="inlineStr">
        <is>
          <t>TC-RP-0263</t>
        </is>
      </c>
      <c r="B2317" s="16" t="inlineStr">
        <is>
          <t>Response Panel</t>
        </is>
      </c>
      <c r="C2317" s="16" t="inlineStr">
        <is>
          <t>Viewer Matrix</t>
        </is>
      </c>
      <c r="D2317" s="16" t="inlineStr">
        <is>
          <t>Performance</t>
        </is>
      </c>
      <c r="E2317" s="16" t="inlineStr">
        <is>
          <t>Response body text/csv at 10 MB in Raw viewer</t>
        </is>
      </c>
      <c r="F2317" s="16" t="inlineStr">
        <is>
          <t>-</t>
        </is>
      </c>
      <c r="G2317" s="16" t="inlineStr">
        <is>
          <t>1. Send request returning text/csv body of size 10 MB.
2. Switch viewer to Raw.
3. Inspect rendering and responsiveness.</t>
        </is>
      </c>
      <c r="H2317" s="16" t="inlineStr">
        <is>
          <t>ct=text/csv size=10 MB view=Raw</t>
        </is>
      </c>
      <c r="I2317" s="16" t="inlineStr">
        <is>
          <t>Raw renders appropriately for text/csv at 10 MB. For sizes &gt;= 1 MB, preview cap may kick in with download CTA. UI remains responsive; no freeze.</t>
        </is>
      </c>
      <c r="J2317" s="16" t="inlineStr"/>
      <c r="K2317" s="16" t="inlineStr">
        <is>
          <t>Not Run</t>
        </is>
      </c>
      <c r="L2317" s="16" t="inlineStr">
        <is>
          <t>Medium</t>
        </is>
      </c>
      <c r="M2317" s="16" t="inlineStr"/>
      <c r="N2317" s="16" t="inlineStr"/>
      <c r="O2317" s="16" t="inlineStr"/>
    </row>
    <row r="2318" ht="72" customHeight="1">
      <c r="A2318" s="16" t="inlineStr">
        <is>
          <t>TC-RP-0264</t>
        </is>
      </c>
      <c r="B2318" s="16" t="inlineStr">
        <is>
          <t>Response Panel</t>
        </is>
      </c>
      <c r="C2318" s="16" t="inlineStr">
        <is>
          <t>Viewer Matrix</t>
        </is>
      </c>
      <c r="D2318" s="16" t="inlineStr">
        <is>
          <t>Performance</t>
        </is>
      </c>
      <c r="E2318" s="16" t="inlineStr">
        <is>
          <t>Response body text/csv at 10 MB in Preview viewer</t>
        </is>
      </c>
      <c r="F2318" s="16" t="inlineStr">
        <is>
          <t>-</t>
        </is>
      </c>
      <c r="G2318" s="16" t="inlineStr">
        <is>
          <t>1. Send request returning text/csv body of size 10 MB.
2. Switch viewer to Preview.
3. Inspect rendering and responsiveness.</t>
        </is>
      </c>
      <c r="H2318" s="16" t="inlineStr">
        <is>
          <t>ct=text/csv size=10 MB view=Preview</t>
        </is>
      </c>
      <c r="I2318" s="16" t="inlineStr">
        <is>
          <t>Preview renders appropriately for text/csv at 10 MB. For sizes &gt;= 1 MB, preview cap may kick in with download CTA. UI remains responsive; no freeze.</t>
        </is>
      </c>
      <c r="J2318" s="16" t="inlineStr"/>
      <c r="K2318" s="16" t="inlineStr">
        <is>
          <t>Not Run</t>
        </is>
      </c>
      <c r="L2318" s="16" t="inlineStr">
        <is>
          <t>Medium</t>
        </is>
      </c>
      <c r="M2318" s="16" t="inlineStr"/>
      <c r="N2318" s="16" t="inlineStr"/>
      <c r="O2318" s="16" t="inlineStr"/>
    </row>
    <row r="2319" ht="72" customHeight="1">
      <c r="A2319" s="16" t="inlineStr">
        <is>
          <t>TC-RP-0265</t>
        </is>
      </c>
      <c r="B2319" s="16" t="inlineStr">
        <is>
          <t>Response Panel</t>
        </is>
      </c>
      <c r="C2319" s="16" t="inlineStr">
        <is>
          <t>Viewer Matrix</t>
        </is>
      </c>
      <c r="D2319" s="16" t="inlineStr">
        <is>
          <t>Performance</t>
        </is>
      </c>
      <c r="E2319" s="16" t="inlineStr">
        <is>
          <t>Response body image/png at 10 MB in Pretty viewer</t>
        </is>
      </c>
      <c r="F2319" s="16" t="inlineStr">
        <is>
          <t>-</t>
        </is>
      </c>
      <c r="G2319" s="16" t="inlineStr">
        <is>
          <t>1. Send request returning image/png body of size 10 MB.
2. Switch viewer to Pretty.
3. Inspect rendering and responsiveness.</t>
        </is>
      </c>
      <c r="H2319" s="16" t="inlineStr">
        <is>
          <t>ct=image/png size=10 MB view=Pretty</t>
        </is>
      </c>
      <c r="I2319" s="16" t="inlineStr">
        <is>
          <t>Pretty renders appropriately for image/png at 10 MB. For sizes &gt;= 1 MB, preview cap may kick in with download CTA. UI remains responsive; no freeze.</t>
        </is>
      </c>
      <c r="J2319" s="16" t="inlineStr"/>
      <c r="K2319" s="16" t="inlineStr">
        <is>
          <t>Not Run</t>
        </is>
      </c>
      <c r="L2319" s="16" t="inlineStr">
        <is>
          <t>Medium</t>
        </is>
      </c>
      <c r="M2319" s="16" t="inlineStr"/>
      <c r="N2319" s="16" t="inlineStr"/>
      <c r="O2319" s="16" t="inlineStr"/>
    </row>
    <row r="2320" ht="72" customHeight="1">
      <c r="A2320" s="16" t="inlineStr">
        <is>
          <t>TC-RP-0266</t>
        </is>
      </c>
      <c r="B2320" s="16" t="inlineStr">
        <is>
          <t>Response Panel</t>
        </is>
      </c>
      <c r="C2320" s="16" t="inlineStr">
        <is>
          <t>Viewer Matrix</t>
        </is>
      </c>
      <c r="D2320" s="16" t="inlineStr">
        <is>
          <t>Performance</t>
        </is>
      </c>
      <c r="E2320" s="16" t="inlineStr">
        <is>
          <t>Response body image/png at 10 MB in Raw viewer</t>
        </is>
      </c>
      <c r="F2320" s="16" t="inlineStr">
        <is>
          <t>-</t>
        </is>
      </c>
      <c r="G2320" s="16" t="inlineStr">
        <is>
          <t>1. Send request returning image/png body of size 10 MB.
2. Switch viewer to Raw.
3. Inspect rendering and responsiveness.</t>
        </is>
      </c>
      <c r="H2320" s="16" t="inlineStr">
        <is>
          <t>ct=image/png size=10 MB view=Raw</t>
        </is>
      </c>
      <c r="I2320" s="16" t="inlineStr">
        <is>
          <t>Raw renders appropriately for image/png at 10 MB. For sizes &gt;= 1 MB, preview cap may kick in with download CTA. UI remains responsive; no freeze.</t>
        </is>
      </c>
      <c r="J2320" s="16" t="inlineStr"/>
      <c r="K2320" s="16" t="inlineStr">
        <is>
          <t>Not Run</t>
        </is>
      </c>
      <c r="L2320" s="16" t="inlineStr">
        <is>
          <t>Medium</t>
        </is>
      </c>
      <c r="M2320" s="16" t="inlineStr"/>
      <c r="N2320" s="16" t="inlineStr"/>
      <c r="O2320" s="16" t="inlineStr"/>
    </row>
    <row r="2321" ht="72" customHeight="1">
      <c r="A2321" s="16" t="inlineStr">
        <is>
          <t>TC-RP-0267</t>
        </is>
      </c>
      <c r="B2321" s="16" t="inlineStr">
        <is>
          <t>Response Panel</t>
        </is>
      </c>
      <c r="C2321" s="16" t="inlineStr">
        <is>
          <t>Viewer Matrix</t>
        </is>
      </c>
      <c r="D2321" s="16" t="inlineStr">
        <is>
          <t>Performance</t>
        </is>
      </c>
      <c r="E2321" s="16" t="inlineStr">
        <is>
          <t>Response body image/png at 10 MB in Preview viewer</t>
        </is>
      </c>
      <c r="F2321" s="16" t="inlineStr">
        <is>
          <t>-</t>
        </is>
      </c>
      <c r="G2321" s="16" t="inlineStr">
        <is>
          <t>1. Send request returning image/png body of size 10 MB.
2. Switch viewer to Preview.
3. Inspect rendering and responsiveness.</t>
        </is>
      </c>
      <c r="H2321" s="16" t="inlineStr">
        <is>
          <t>ct=image/png size=10 MB view=Preview</t>
        </is>
      </c>
      <c r="I2321" s="16" t="inlineStr">
        <is>
          <t>Preview renders appropriately for image/png at 10 MB. For sizes &gt;= 1 MB, preview cap may kick in with download CTA. UI remains responsive; no freeze.</t>
        </is>
      </c>
      <c r="J2321" s="16" t="inlineStr"/>
      <c r="K2321" s="16" t="inlineStr">
        <is>
          <t>Not Run</t>
        </is>
      </c>
      <c r="L2321" s="16" t="inlineStr">
        <is>
          <t>Medium</t>
        </is>
      </c>
      <c r="M2321" s="16" t="inlineStr"/>
      <c r="N2321" s="16" t="inlineStr"/>
      <c r="O2321" s="16" t="inlineStr"/>
    </row>
    <row r="2322" ht="72" customHeight="1">
      <c r="A2322" s="16" t="inlineStr">
        <is>
          <t>TC-RP-0268</t>
        </is>
      </c>
      <c r="B2322" s="16" t="inlineStr">
        <is>
          <t>Response Panel</t>
        </is>
      </c>
      <c r="C2322" s="16" t="inlineStr">
        <is>
          <t>Viewer Matrix</t>
        </is>
      </c>
      <c r="D2322" s="16" t="inlineStr">
        <is>
          <t>Performance</t>
        </is>
      </c>
      <c r="E2322" s="16" t="inlineStr">
        <is>
          <t>Response body image/jpeg at 10 MB in Pretty viewer</t>
        </is>
      </c>
      <c r="F2322" s="16" t="inlineStr">
        <is>
          <t>-</t>
        </is>
      </c>
      <c r="G2322" s="16" t="inlineStr">
        <is>
          <t>1. Send request returning image/jpeg body of size 10 MB.
2. Switch viewer to Pretty.
3. Inspect rendering and responsiveness.</t>
        </is>
      </c>
      <c r="H2322" s="16" t="inlineStr">
        <is>
          <t>ct=image/jpeg size=10 MB view=Pretty</t>
        </is>
      </c>
      <c r="I2322" s="16" t="inlineStr">
        <is>
          <t>Pretty renders appropriately for image/jpeg at 10 MB. For sizes &gt;= 1 MB, preview cap may kick in with download CTA. UI remains responsive; no freeze.</t>
        </is>
      </c>
      <c r="J2322" s="16" t="inlineStr"/>
      <c r="K2322" s="16" t="inlineStr">
        <is>
          <t>Not Run</t>
        </is>
      </c>
      <c r="L2322" s="16" t="inlineStr">
        <is>
          <t>Medium</t>
        </is>
      </c>
      <c r="M2322" s="16" t="inlineStr"/>
      <c r="N2322" s="16" t="inlineStr"/>
      <c r="O2322" s="16" t="inlineStr"/>
    </row>
    <row r="2323" ht="72" customHeight="1">
      <c r="A2323" s="16" t="inlineStr">
        <is>
          <t>TC-RP-0269</t>
        </is>
      </c>
      <c r="B2323" s="16" t="inlineStr">
        <is>
          <t>Response Panel</t>
        </is>
      </c>
      <c r="C2323" s="16" t="inlineStr">
        <is>
          <t>Viewer Matrix</t>
        </is>
      </c>
      <c r="D2323" s="16" t="inlineStr">
        <is>
          <t>Performance</t>
        </is>
      </c>
      <c r="E2323" s="16" t="inlineStr">
        <is>
          <t>Response body image/jpeg at 10 MB in Raw viewer</t>
        </is>
      </c>
      <c r="F2323" s="16" t="inlineStr">
        <is>
          <t>-</t>
        </is>
      </c>
      <c r="G2323" s="16" t="inlineStr">
        <is>
          <t>1. Send request returning image/jpeg body of size 10 MB.
2. Switch viewer to Raw.
3. Inspect rendering and responsiveness.</t>
        </is>
      </c>
      <c r="H2323" s="16" t="inlineStr">
        <is>
          <t>ct=image/jpeg size=10 MB view=Raw</t>
        </is>
      </c>
      <c r="I2323" s="16" t="inlineStr">
        <is>
          <t>Raw renders appropriately for image/jpeg at 10 MB. For sizes &gt;= 1 MB, preview cap may kick in with download CTA. UI remains responsive; no freeze.</t>
        </is>
      </c>
      <c r="J2323" s="16" t="inlineStr"/>
      <c r="K2323" s="16" t="inlineStr">
        <is>
          <t>Not Run</t>
        </is>
      </c>
      <c r="L2323" s="16" t="inlineStr">
        <is>
          <t>Medium</t>
        </is>
      </c>
      <c r="M2323" s="16" t="inlineStr"/>
      <c r="N2323" s="16" t="inlineStr"/>
      <c r="O2323" s="16" t="inlineStr"/>
    </row>
    <row r="2324" ht="72" customHeight="1">
      <c r="A2324" s="16" t="inlineStr">
        <is>
          <t>TC-RP-0270</t>
        </is>
      </c>
      <c r="B2324" s="16" t="inlineStr">
        <is>
          <t>Response Panel</t>
        </is>
      </c>
      <c r="C2324" s="16" t="inlineStr">
        <is>
          <t>Viewer Matrix</t>
        </is>
      </c>
      <c r="D2324" s="16" t="inlineStr">
        <is>
          <t>Performance</t>
        </is>
      </c>
      <c r="E2324" s="16" t="inlineStr">
        <is>
          <t>Response body image/jpeg at 10 MB in Preview viewer</t>
        </is>
      </c>
      <c r="F2324" s="16" t="inlineStr">
        <is>
          <t>-</t>
        </is>
      </c>
      <c r="G2324" s="16" t="inlineStr">
        <is>
          <t>1. Send request returning image/jpeg body of size 10 MB.
2. Switch viewer to Preview.
3. Inspect rendering and responsiveness.</t>
        </is>
      </c>
      <c r="H2324" s="16" t="inlineStr">
        <is>
          <t>ct=image/jpeg size=10 MB view=Preview</t>
        </is>
      </c>
      <c r="I2324" s="16" t="inlineStr">
        <is>
          <t>Preview renders appropriately for image/jpeg at 10 MB. For sizes &gt;= 1 MB, preview cap may kick in with download CTA. UI remains responsive; no freeze.</t>
        </is>
      </c>
      <c r="J2324" s="16" t="inlineStr"/>
      <c r="K2324" s="16" t="inlineStr">
        <is>
          <t>Not Run</t>
        </is>
      </c>
      <c r="L2324" s="16" t="inlineStr">
        <is>
          <t>Medium</t>
        </is>
      </c>
      <c r="M2324" s="16" t="inlineStr"/>
      <c r="N2324" s="16" t="inlineStr"/>
      <c r="O2324" s="16" t="inlineStr"/>
    </row>
    <row r="2325" ht="72" customHeight="1">
      <c r="A2325" s="16" t="inlineStr">
        <is>
          <t>TC-RP-0271</t>
        </is>
      </c>
      <c r="B2325" s="16" t="inlineStr">
        <is>
          <t>Response Panel</t>
        </is>
      </c>
      <c r="C2325" s="16" t="inlineStr">
        <is>
          <t>Viewer Matrix</t>
        </is>
      </c>
      <c r="D2325" s="16" t="inlineStr">
        <is>
          <t>Performance</t>
        </is>
      </c>
      <c r="E2325" s="16" t="inlineStr">
        <is>
          <t>Response body application/pdf at 10 MB in Pretty viewer</t>
        </is>
      </c>
      <c r="F2325" s="16" t="inlineStr">
        <is>
          <t>-</t>
        </is>
      </c>
      <c r="G2325" s="16" t="inlineStr">
        <is>
          <t>1. Send request returning application/pdf body of size 10 MB.
2. Switch viewer to Pretty.
3. Inspect rendering and responsiveness.</t>
        </is>
      </c>
      <c r="H2325" s="16" t="inlineStr">
        <is>
          <t>ct=application/pdf size=10 MB view=Pretty</t>
        </is>
      </c>
      <c r="I2325" s="16" t="inlineStr">
        <is>
          <t>Pretty renders appropriately for application/pdf at 10 MB. For sizes &gt;= 1 MB, preview cap may kick in with download CTA. UI remains responsive; no freeze.</t>
        </is>
      </c>
      <c r="J2325" s="16" t="inlineStr"/>
      <c r="K2325" s="16" t="inlineStr">
        <is>
          <t>Not Run</t>
        </is>
      </c>
      <c r="L2325" s="16" t="inlineStr">
        <is>
          <t>Medium</t>
        </is>
      </c>
      <c r="M2325" s="16" t="inlineStr"/>
      <c r="N2325" s="16" t="inlineStr"/>
      <c r="O2325" s="16" t="inlineStr"/>
    </row>
    <row r="2326" ht="72" customHeight="1">
      <c r="A2326" s="16" t="inlineStr">
        <is>
          <t>TC-RP-0272</t>
        </is>
      </c>
      <c r="B2326" s="16" t="inlineStr">
        <is>
          <t>Response Panel</t>
        </is>
      </c>
      <c r="C2326" s="16" t="inlineStr">
        <is>
          <t>Viewer Matrix</t>
        </is>
      </c>
      <c r="D2326" s="16" t="inlineStr">
        <is>
          <t>Performance</t>
        </is>
      </c>
      <c r="E2326" s="16" t="inlineStr">
        <is>
          <t>Response body application/pdf at 10 MB in Raw viewer</t>
        </is>
      </c>
      <c r="F2326" s="16" t="inlineStr">
        <is>
          <t>-</t>
        </is>
      </c>
      <c r="G2326" s="16" t="inlineStr">
        <is>
          <t>1. Send request returning application/pdf body of size 10 MB.
2. Switch viewer to Raw.
3. Inspect rendering and responsiveness.</t>
        </is>
      </c>
      <c r="H2326" s="16" t="inlineStr">
        <is>
          <t>ct=application/pdf size=10 MB view=Raw</t>
        </is>
      </c>
      <c r="I2326" s="16" t="inlineStr">
        <is>
          <t>Raw renders appropriately for application/pdf at 10 MB. For sizes &gt;= 1 MB, preview cap may kick in with download CTA. UI remains responsive; no freeze.</t>
        </is>
      </c>
      <c r="J2326" s="16" t="inlineStr"/>
      <c r="K2326" s="16" t="inlineStr">
        <is>
          <t>Not Run</t>
        </is>
      </c>
      <c r="L2326" s="16" t="inlineStr">
        <is>
          <t>Medium</t>
        </is>
      </c>
      <c r="M2326" s="16" t="inlineStr"/>
      <c r="N2326" s="16" t="inlineStr"/>
      <c r="O2326" s="16" t="inlineStr"/>
    </row>
    <row r="2327" ht="72" customHeight="1">
      <c r="A2327" s="16" t="inlineStr">
        <is>
          <t>TC-RP-0273</t>
        </is>
      </c>
      <c r="B2327" s="16" t="inlineStr">
        <is>
          <t>Response Panel</t>
        </is>
      </c>
      <c r="C2327" s="16" t="inlineStr">
        <is>
          <t>Viewer Matrix</t>
        </is>
      </c>
      <c r="D2327" s="16" t="inlineStr">
        <is>
          <t>Performance</t>
        </is>
      </c>
      <c r="E2327" s="16" t="inlineStr">
        <is>
          <t>Response body application/pdf at 10 MB in Preview viewer</t>
        </is>
      </c>
      <c r="F2327" s="16" t="inlineStr">
        <is>
          <t>-</t>
        </is>
      </c>
      <c r="G2327" s="16" t="inlineStr">
        <is>
          <t>1. Send request returning application/pdf body of size 10 MB.
2. Switch viewer to Preview.
3. Inspect rendering and responsiveness.</t>
        </is>
      </c>
      <c r="H2327" s="16" t="inlineStr">
        <is>
          <t>ct=application/pdf size=10 MB view=Preview</t>
        </is>
      </c>
      <c r="I2327" s="16" t="inlineStr">
        <is>
          <t>Preview renders appropriately for application/pdf at 10 MB. For sizes &gt;= 1 MB, preview cap may kick in with download CTA. UI remains responsive; no freeze.</t>
        </is>
      </c>
      <c r="J2327" s="16" t="inlineStr"/>
      <c r="K2327" s="16" t="inlineStr">
        <is>
          <t>Not Run</t>
        </is>
      </c>
      <c r="L2327" s="16" t="inlineStr">
        <is>
          <t>Medium</t>
        </is>
      </c>
      <c r="M2327" s="16" t="inlineStr"/>
      <c r="N2327" s="16" t="inlineStr"/>
      <c r="O2327" s="16" t="inlineStr"/>
    </row>
    <row r="2328" ht="72" customHeight="1">
      <c r="A2328" s="16" t="inlineStr">
        <is>
          <t>TC-RP-0274</t>
        </is>
      </c>
      <c r="B2328" s="16" t="inlineStr">
        <is>
          <t>Response Panel</t>
        </is>
      </c>
      <c r="C2328" s="16" t="inlineStr">
        <is>
          <t>Viewer Matrix</t>
        </is>
      </c>
      <c r="D2328" s="16" t="inlineStr">
        <is>
          <t>Performance</t>
        </is>
      </c>
      <c r="E2328" s="16" t="inlineStr">
        <is>
          <t>Response body text/event-stream at 10 MB in Pretty viewer</t>
        </is>
      </c>
      <c r="F2328" s="16" t="inlineStr">
        <is>
          <t>-</t>
        </is>
      </c>
      <c r="G2328" s="16" t="inlineStr">
        <is>
          <t>1. Send request returning text/event-stream body of size 10 MB.
2. Switch viewer to Pretty.
3. Inspect rendering and responsiveness.</t>
        </is>
      </c>
      <c r="H2328" s="16" t="inlineStr">
        <is>
          <t>ct=text/event-stream size=10 MB view=Pretty</t>
        </is>
      </c>
      <c r="I2328" s="16" t="inlineStr">
        <is>
          <t>Pretty renders appropriately for text/event-stream at 10 MB. For sizes &gt;= 1 MB, preview cap may kick in with download CTA. UI remains responsive; no freeze.</t>
        </is>
      </c>
      <c r="J2328" s="16" t="inlineStr"/>
      <c r="K2328" s="16" t="inlineStr">
        <is>
          <t>Not Run</t>
        </is>
      </c>
      <c r="L2328" s="16" t="inlineStr">
        <is>
          <t>Medium</t>
        </is>
      </c>
      <c r="M2328" s="16" t="inlineStr"/>
      <c r="N2328" s="16" t="inlineStr"/>
      <c r="O2328" s="16" t="inlineStr"/>
    </row>
    <row r="2329" ht="72" customHeight="1">
      <c r="A2329" s="16" t="inlineStr">
        <is>
          <t>TC-RP-0275</t>
        </is>
      </c>
      <c r="B2329" s="16" t="inlineStr">
        <is>
          <t>Response Panel</t>
        </is>
      </c>
      <c r="C2329" s="16" t="inlineStr">
        <is>
          <t>Viewer Matrix</t>
        </is>
      </c>
      <c r="D2329" s="16" t="inlineStr">
        <is>
          <t>Performance</t>
        </is>
      </c>
      <c r="E2329" s="16" t="inlineStr">
        <is>
          <t>Response body text/event-stream at 10 MB in Raw viewer</t>
        </is>
      </c>
      <c r="F2329" s="16" t="inlineStr">
        <is>
          <t>-</t>
        </is>
      </c>
      <c r="G2329" s="16" t="inlineStr">
        <is>
          <t>1. Send request returning text/event-stream body of size 10 MB.
2. Switch viewer to Raw.
3. Inspect rendering and responsiveness.</t>
        </is>
      </c>
      <c r="H2329" s="16" t="inlineStr">
        <is>
          <t>ct=text/event-stream size=10 MB view=Raw</t>
        </is>
      </c>
      <c r="I2329" s="16" t="inlineStr">
        <is>
          <t>Raw renders appropriately for text/event-stream at 10 MB. For sizes &gt;= 1 MB, preview cap may kick in with download CTA. UI remains responsive; no freeze.</t>
        </is>
      </c>
      <c r="J2329" s="16" t="inlineStr"/>
      <c r="K2329" s="16" t="inlineStr">
        <is>
          <t>Not Run</t>
        </is>
      </c>
      <c r="L2329" s="16" t="inlineStr">
        <is>
          <t>Medium</t>
        </is>
      </c>
      <c r="M2329" s="16" t="inlineStr"/>
      <c r="N2329" s="16" t="inlineStr"/>
      <c r="O2329" s="16" t="inlineStr"/>
    </row>
    <row r="2330" ht="72" customHeight="1">
      <c r="A2330" s="16" t="inlineStr">
        <is>
          <t>TC-RP-0276</t>
        </is>
      </c>
      <c r="B2330" s="16" t="inlineStr">
        <is>
          <t>Response Panel</t>
        </is>
      </c>
      <c r="C2330" s="16" t="inlineStr">
        <is>
          <t>Viewer Matrix</t>
        </is>
      </c>
      <c r="D2330" s="16" t="inlineStr">
        <is>
          <t>Performance</t>
        </is>
      </c>
      <c r="E2330" s="16" t="inlineStr">
        <is>
          <t>Response body text/event-stream at 10 MB in Preview viewer</t>
        </is>
      </c>
      <c r="F2330" s="16" t="inlineStr">
        <is>
          <t>-</t>
        </is>
      </c>
      <c r="G2330" s="16" t="inlineStr">
        <is>
          <t>1. Send request returning text/event-stream body of size 10 MB.
2. Switch viewer to Preview.
3. Inspect rendering and responsiveness.</t>
        </is>
      </c>
      <c r="H2330" s="16" t="inlineStr">
        <is>
          <t>ct=text/event-stream size=10 MB view=Preview</t>
        </is>
      </c>
      <c r="I2330" s="16" t="inlineStr">
        <is>
          <t>Preview renders appropriately for text/event-stream at 10 MB. For sizes &gt;= 1 MB, preview cap may kick in with download CTA. UI remains responsive; no freeze.</t>
        </is>
      </c>
      <c r="J2330" s="16" t="inlineStr"/>
      <c r="K2330" s="16" t="inlineStr">
        <is>
          <t>Not Run</t>
        </is>
      </c>
      <c r="L2330" s="16" t="inlineStr">
        <is>
          <t>Medium</t>
        </is>
      </c>
      <c r="M2330" s="16" t="inlineStr"/>
      <c r="N2330" s="16" t="inlineStr"/>
      <c r="O2330" s="16" t="inlineStr"/>
    </row>
    <row r="2331" ht="72" customHeight="1">
      <c r="A2331" s="16" t="inlineStr">
        <is>
          <t>TC-RP-0277</t>
        </is>
      </c>
      <c r="B2331" s="16" t="inlineStr">
        <is>
          <t>Response Panel</t>
        </is>
      </c>
      <c r="C2331" s="16" t="inlineStr">
        <is>
          <t>Viewer Matrix</t>
        </is>
      </c>
      <c r="D2331" s="16" t="inlineStr">
        <is>
          <t>Performance</t>
        </is>
      </c>
      <c r="E2331" s="16" t="inlineStr">
        <is>
          <t>Response body application/x-yaml at 10 MB in Pretty viewer</t>
        </is>
      </c>
      <c r="F2331" s="16" t="inlineStr">
        <is>
          <t>-</t>
        </is>
      </c>
      <c r="G2331" s="16" t="inlineStr">
        <is>
          <t>1. Send request returning application/x-yaml body of size 10 MB.
2. Switch viewer to Pretty.
3. Inspect rendering and responsiveness.</t>
        </is>
      </c>
      <c r="H2331" s="16" t="inlineStr">
        <is>
          <t>ct=application/x-yaml size=10 MB view=Pretty</t>
        </is>
      </c>
      <c r="I2331" s="16" t="inlineStr">
        <is>
          <t>Pretty renders appropriately for application/x-yaml at 10 MB. For sizes &gt;= 1 MB, preview cap may kick in with download CTA. UI remains responsive; no freeze.</t>
        </is>
      </c>
      <c r="J2331" s="16" t="inlineStr"/>
      <c r="K2331" s="16" t="inlineStr">
        <is>
          <t>Not Run</t>
        </is>
      </c>
      <c r="L2331" s="16" t="inlineStr">
        <is>
          <t>Medium</t>
        </is>
      </c>
      <c r="M2331" s="16" t="inlineStr"/>
      <c r="N2331" s="16" t="inlineStr"/>
      <c r="O2331" s="16" t="inlineStr"/>
    </row>
    <row r="2332" ht="72" customHeight="1">
      <c r="A2332" s="16" t="inlineStr">
        <is>
          <t>TC-RP-0278</t>
        </is>
      </c>
      <c r="B2332" s="16" t="inlineStr">
        <is>
          <t>Response Panel</t>
        </is>
      </c>
      <c r="C2332" s="16" t="inlineStr">
        <is>
          <t>Viewer Matrix</t>
        </is>
      </c>
      <c r="D2332" s="16" t="inlineStr">
        <is>
          <t>Performance</t>
        </is>
      </c>
      <c r="E2332" s="16" t="inlineStr">
        <is>
          <t>Response body application/x-yaml at 10 MB in Raw viewer</t>
        </is>
      </c>
      <c r="F2332" s="16" t="inlineStr">
        <is>
          <t>-</t>
        </is>
      </c>
      <c r="G2332" s="16" t="inlineStr">
        <is>
          <t>1. Send request returning application/x-yaml body of size 10 MB.
2. Switch viewer to Raw.
3. Inspect rendering and responsiveness.</t>
        </is>
      </c>
      <c r="H2332" s="16" t="inlineStr">
        <is>
          <t>ct=application/x-yaml size=10 MB view=Raw</t>
        </is>
      </c>
      <c r="I2332" s="16" t="inlineStr">
        <is>
          <t>Raw renders appropriately for application/x-yaml at 10 MB. For sizes &gt;= 1 MB, preview cap may kick in with download CTA. UI remains responsive; no freeze.</t>
        </is>
      </c>
      <c r="J2332" s="16" t="inlineStr"/>
      <c r="K2332" s="16" t="inlineStr">
        <is>
          <t>Not Run</t>
        </is>
      </c>
      <c r="L2332" s="16" t="inlineStr">
        <is>
          <t>Medium</t>
        </is>
      </c>
      <c r="M2332" s="16" t="inlineStr"/>
      <c r="N2332" s="16" t="inlineStr"/>
      <c r="O2332" s="16" t="inlineStr"/>
    </row>
    <row r="2333" ht="72" customHeight="1">
      <c r="A2333" s="16" t="inlineStr">
        <is>
          <t>TC-RP-0279</t>
        </is>
      </c>
      <c r="B2333" s="16" t="inlineStr">
        <is>
          <t>Response Panel</t>
        </is>
      </c>
      <c r="C2333" s="16" t="inlineStr">
        <is>
          <t>Viewer Matrix</t>
        </is>
      </c>
      <c r="D2333" s="16" t="inlineStr">
        <is>
          <t>Performance</t>
        </is>
      </c>
      <c r="E2333" s="16" t="inlineStr">
        <is>
          <t>Response body application/x-yaml at 10 MB in Preview viewer</t>
        </is>
      </c>
      <c r="F2333" s="16" t="inlineStr">
        <is>
          <t>-</t>
        </is>
      </c>
      <c r="G2333" s="16" t="inlineStr">
        <is>
          <t>1. Send request returning application/x-yaml body of size 10 MB.
2. Switch viewer to Preview.
3. Inspect rendering and responsiveness.</t>
        </is>
      </c>
      <c r="H2333" s="16" t="inlineStr">
        <is>
          <t>ct=application/x-yaml size=10 MB view=Preview</t>
        </is>
      </c>
      <c r="I2333" s="16" t="inlineStr">
        <is>
          <t>Preview renders appropriately for application/x-yaml at 10 MB. For sizes &gt;= 1 MB, preview cap may kick in with download CTA. UI remains responsive; no freeze.</t>
        </is>
      </c>
      <c r="J2333" s="16" t="inlineStr"/>
      <c r="K2333" s="16" t="inlineStr">
        <is>
          <t>Not Run</t>
        </is>
      </c>
      <c r="L2333" s="16" t="inlineStr">
        <is>
          <t>Medium</t>
        </is>
      </c>
      <c r="M2333" s="16" t="inlineStr"/>
      <c r="N2333" s="16" t="inlineStr"/>
      <c r="O2333" s="16" t="inlineStr"/>
    </row>
    <row r="2334" ht="72" customHeight="1">
      <c r="A2334" s="16" t="inlineStr">
        <is>
          <t>TC-RP-0280</t>
        </is>
      </c>
      <c r="B2334" s="16" t="inlineStr">
        <is>
          <t>Response Panel</t>
        </is>
      </c>
      <c r="C2334" s="16" t="inlineStr">
        <is>
          <t>Viewer Matrix</t>
        </is>
      </c>
      <c r="D2334" s="16" t="inlineStr">
        <is>
          <t>Performance</t>
        </is>
      </c>
      <c r="E2334" s="16" t="inlineStr">
        <is>
          <t>Response body application/json at 100 MB in Pretty viewer</t>
        </is>
      </c>
      <c r="F2334" s="16" t="inlineStr">
        <is>
          <t>-</t>
        </is>
      </c>
      <c r="G2334" s="16" t="inlineStr">
        <is>
          <t>1. Send request returning application/json body of size 100 MB.
2. Switch viewer to Pretty.
3. Inspect rendering and responsiveness.</t>
        </is>
      </c>
      <c r="H2334" s="16" t="inlineStr">
        <is>
          <t>ct=application/json size=100 MB view=Pretty</t>
        </is>
      </c>
      <c r="I2334" s="16" t="inlineStr">
        <is>
          <t>Pretty renders appropriately for application/json at 100 MB. For sizes &gt;= 1 MB, preview cap may kick in with download CTA. UI remains responsive; no freeze.</t>
        </is>
      </c>
      <c r="J2334" s="16" t="inlineStr"/>
      <c r="K2334" s="16" t="inlineStr">
        <is>
          <t>Not Run</t>
        </is>
      </c>
      <c r="L2334" s="16" t="inlineStr">
        <is>
          <t>Low</t>
        </is>
      </c>
      <c r="M2334" s="16" t="inlineStr"/>
      <c r="N2334" s="16" t="inlineStr"/>
      <c r="O2334" s="16" t="inlineStr"/>
    </row>
    <row r="2335" ht="72" customHeight="1">
      <c r="A2335" s="16" t="inlineStr">
        <is>
          <t>TC-RP-0281</t>
        </is>
      </c>
      <c r="B2335" s="16" t="inlineStr">
        <is>
          <t>Response Panel</t>
        </is>
      </c>
      <c r="C2335" s="16" t="inlineStr">
        <is>
          <t>Viewer Matrix</t>
        </is>
      </c>
      <c r="D2335" s="16" t="inlineStr">
        <is>
          <t>Performance</t>
        </is>
      </c>
      <c r="E2335" s="16" t="inlineStr">
        <is>
          <t>Response body application/json at 100 MB in Raw viewer</t>
        </is>
      </c>
      <c r="F2335" s="16" t="inlineStr">
        <is>
          <t>-</t>
        </is>
      </c>
      <c r="G2335" s="16" t="inlineStr">
        <is>
          <t>1. Send request returning application/json body of size 100 MB.
2. Switch viewer to Raw.
3. Inspect rendering and responsiveness.</t>
        </is>
      </c>
      <c r="H2335" s="16" t="inlineStr">
        <is>
          <t>ct=application/json size=100 MB view=Raw</t>
        </is>
      </c>
      <c r="I2335" s="16" t="inlineStr">
        <is>
          <t>Raw renders appropriately for application/json at 100 MB. For sizes &gt;= 1 MB, preview cap may kick in with download CTA. UI remains responsive; no freeze.</t>
        </is>
      </c>
      <c r="J2335" s="16" t="inlineStr"/>
      <c r="K2335" s="16" t="inlineStr">
        <is>
          <t>Not Run</t>
        </is>
      </c>
      <c r="L2335" s="16" t="inlineStr">
        <is>
          <t>Low</t>
        </is>
      </c>
      <c r="M2335" s="16" t="inlineStr"/>
      <c r="N2335" s="16" t="inlineStr"/>
      <c r="O2335" s="16" t="inlineStr"/>
    </row>
    <row r="2336" ht="72" customHeight="1">
      <c r="A2336" s="16" t="inlineStr">
        <is>
          <t>TC-RP-0282</t>
        </is>
      </c>
      <c r="B2336" s="16" t="inlineStr">
        <is>
          <t>Response Panel</t>
        </is>
      </c>
      <c r="C2336" s="16" t="inlineStr">
        <is>
          <t>Viewer Matrix</t>
        </is>
      </c>
      <c r="D2336" s="16" t="inlineStr">
        <is>
          <t>Performance</t>
        </is>
      </c>
      <c r="E2336" s="16" t="inlineStr">
        <is>
          <t>Response body application/json at 100 MB in Preview viewer</t>
        </is>
      </c>
      <c r="F2336" s="16" t="inlineStr">
        <is>
          <t>-</t>
        </is>
      </c>
      <c r="G2336" s="16" t="inlineStr">
        <is>
          <t>1. Send request returning application/json body of size 100 MB.
2. Switch viewer to Preview.
3. Inspect rendering and responsiveness.</t>
        </is>
      </c>
      <c r="H2336" s="16" t="inlineStr">
        <is>
          <t>ct=application/json size=100 MB view=Preview</t>
        </is>
      </c>
      <c r="I2336" s="16" t="inlineStr">
        <is>
          <t>Preview renders appropriately for application/json at 100 MB. For sizes &gt;= 1 MB, preview cap may kick in with download CTA. UI remains responsive; no freeze.</t>
        </is>
      </c>
      <c r="J2336" s="16" t="inlineStr"/>
      <c r="K2336" s="16" t="inlineStr">
        <is>
          <t>Not Run</t>
        </is>
      </c>
      <c r="L2336" s="16" t="inlineStr">
        <is>
          <t>Low</t>
        </is>
      </c>
      <c r="M2336" s="16" t="inlineStr"/>
      <c r="N2336" s="16" t="inlineStr"/>
      <c r="O2336" s="16" t="inlineStr"/>
    </row>
    <row r="2337" ht="72" customHeight="1">
      <c r="A2337" s="16" t="inlineStr">
        <is>
          <t>TC-RP-0283</t>
        </is>
      </c>
      <c r="B2337" s="16" t="inlineStr">
        <is>
          <t>Response Panel</t>
        </is>
      </c>
      <c r="C2337" s="16" t="inlineStr">
        <is>
          <t>Viewer Matrix</t>
        </is>
      </c>
      <c r="D2337" s="16" t="inlineStr">
        <is>
          <t>Performance</t>
        </is>
      </c>
      <c r="E2337" s="16" t="inlineStr">
        <is>
          <t>Response body application/xml at 100 MB in Pretty viewer</t>
        </is>
      </c>
      <c r="F2337" s="16" t="inlineStr">
        <is>
          <t>-</t>
        </is>
      </c>
      <c r="G2337" s="16" t="inlineStr">
        <is>
          <t>1. Send request returning application/xml body of size 100 MB.
2. Switch viewer to Pretty.
3. Inspect rendering and responsiveness.</t>
        </is>
      </c>
      <c r="H2337" s="16" t="inlineStr">
        <is>
          <t>ct=application/xml size=100 MB view=Pretty</t>
        </is>
      </c>
      <c r="I2337" s="16" t="inlineStr">
        <is>
          <t>Pretty renders appropriately for application/xml at 100 MB. For sizes &gt;= 1 MB, preview cap may kick in with download CTA. UI remains responsive; no freeze.</t>
        </is>
      </c>
      <c r="J2337" s="16" t="inlineStr"/>
      <c r="K2337" s="16" t="inlineStr">
        <is>
          <t>Not Run</t>
        </is>
      </c>
      <c r="L2337" s="16" t="inlineStr">
        <is>
          <t>Low</t>
        </is>
      </c>
      <c r="M2337" s="16" t="inlineStr"/>
      <c r="N2337" s="16" t="inlineStr"/>
      <c r="O2337" s="16" t="inlineStr"/>
    </row>
    <row r="2338" ht="72" customHeight="1">
      <c r="A2338" s="16" t="inlineStr">
        <is>
          <t>TC-RP-0284</t>
        </is>
      </c>
      <c r="B2338" s="16" t="inlineStr">
        <is>
          <t>Response Panel</t>
        </is>
      </c>
      <c r="C2338" s="16" t="inlineStr">
        <is>
          <t>Viewer Matrix</t>
        </is>
      </c>
      <c r="D2338" s="16" t="inlineStr">
        <is>
          <t>Performance</t>
        </is>
      </c>
      <c r="E2338" s="16" t="inlineStr">
        <is>
          <t>Response body application/xml at 100 MB in Raw viewer</t>
        </is>
      </c>
      <c r="F2338" s="16" t="inlineStr">
        <is>
          <t>-</t>
        </is>
      </c>
      <c r="G2338" s="16" t="inlineStr">
        <is>
          <t>1. Send request returning application/xml body of size 100 MB.
2. Switch viewer to Raw.
3. Inspect rendering and responsiveness.</t>
        </is>
      </c>
      <c r="H2338" s="16" t="inlineStr">
        <is>
          <t>ct=application/xml size=100 MB view=Raw</t>
        </is>
      </c>
      <c r="I2338" s="16" t="inlineStr">
        <is>
          <t>Raw renders appropriately for application/xml at 100 MB. For sizes &gt;= 1 MB, preview cap may kick in with download CTA. UI remains responsive; no freeze.</t>
        </is>
      </c>
      <c r="J2338" s="16" t="inlineStr"/>
      <c r="K2338" s="16" t="inlineStr">
        <is>
          <t>Not Run</t>
        </is>
      </c>
      <c r="L2338" s="16" t="inlineStr">
        <is>
          <t>Low</t>
        </is>
      </c>
      <c r="M2338" s="16" t="inlineStr"/>
      <c r="N2338" s="16" t="inlineStr"/>
      <c r="O2338" s="16" t="inlineStr"/>
    </row>
    <row r="2339" ht="72" customHeight="1">
      <c r="A2339" s="16" t="inlineStr">
        <is>
          <t>TC-RP-0285</t>
        </is>
      </c>
      <c r="B2339" s="16" t="inlineStr">
        <is>
          <t>Response Panel</t>
        </is>
      </c>
      <c r="C2339" s="16" t="inlineStr">
        <is>
          <t>Viewer Matrix</t>
        </is>
      </c>
      <c r="D2339" s="16" t="inlineStr">
        <is>
          <t>Performance</t>
        </is>
      </c>
      <c r="E2339" s="16" t="inlineStr">
        <is>
          <t>Response body application/xml at 100 MB in Preview viewer</t>
        </is>
      </c>
      <c r="F2339" s="16" t="inlineStr">
        <is>
          <t>-</t>
        </is>
      </c>
      <c r="G2339" s="16" t="inlineStr">
        <is>
          <t>1. Send request returning application/xml body of size 100 MB.
2. Switch viewer to Preview.
3. Inspect rendering and responsiveness.</t>
        </is>
      </c>
      <c r="H2339" s="16" t="inlineStr">
        <is>
          <t>ct=application/xml size=100 MB view=Preview</t>
        </is>
      </c>
      <c r="I2339" s="16" t="inlineStr">
        <is>
          <t>Preview renders appropriately for application/xml at 100 MB. For sizes &gt;= 1 MB, preview cap may kick in with download CTA. UI remains responsive; no freeze.</t>
        </is>
      </c>
      <c r="J2339" s="16" t="inlineStr"/>
      <c r="K2339" s="16" t="inlineStr">
        <is>
          <t>Not Run</t>
        </is>
      </c>
      <c r="L2339" s="16" t="inlineStr">
        <is>
          <t>Low</t>
        </is>
      </c>
      <c r="M2339" s="16" t="inlineStr"/>
      <c r="N2339" s="16" t="inlineStr"/>
      <c r="O2339" s="16" t="inlineStr"/>
    </row>
    <row r="2340" ht="72" customHeight="1">
      <c r="A2340" s="16" t="inlineStr">
        <is>
          <t>TC-RP-0286</t>
        </is>
      </c>
      <c r="B2340" s="16" t="inlineStr">
        <is>
          <t>Response Panel</t>
        </is>
      </c>
      <c r="C2340" s="16" t="inlineStr">
        <is>
          <t>Viewer Matrix</t>
        </is>
      </c>
      <c r="D2340" s="16" t="inlineStr">
        <is>
          <t>Performance</t>
        </is>
      </c>
      <c r="E2340" s="16" t="inlineStr">
        <is>
          <t>Response body text/html at 100 MB in Pretty viewer</t>
        </is>
      </c>
      <c r="F2340" s="16" t="inlineStr">
        <is>
          <t>-</t>
        </is>
      </c>
      <c r="G2340" s="16" t="inlineStr">
        <is>
          <t>1. Send request returning text/html body of size 100 MB.
2. Switch viewer to Pretty.
3. Inspect rendering and responsiveness.</t>
        </is>
      </c>
      <c r="H2340" s="16" t="inlineStr">
        <is>
          <t>ct=text/html size=100 MB view=Pretty</t>
        </is>
      </c>
      <c r="I2340" s="16" t="inlineStr">
        <is>
          <t>Pretty renders appropriately for text/html at 100 MB. For sizes &gt;= 1 MB, preview cap may kick in with download CTA. UI remains responsive; no freeze.</t>
        </is>
      </c>
      <c r="J2340" s="16" t="inlineStr"/>
      <c r="K2340" s="16" t="inlineStr">
        <is>
          <t>Not Run</t>
        </is>
      </c>
      <c r="L2340" s="16" t="inlineStr">
        <is>
          <t>Low</t>
        </is>
      </c>
      <c r="M2340" s="16" t="inlineStr"/>
      <c r="N2340" s="16" t="inlineStr"/>
      <c r="O2340" s="16" t="inlineStr"/>
    </row>
    <row r="2341" ht="72" customHeight="1">
      <c r="A2341" s="16" t="inlineStr">
        <is>
          <t>TC-RP-0287</t>
        </is>
      </c>
      <c r="B2341" s="16" t="inlineStr">
        <is>
          <t>Response Panel</t>
        </is>
      </c>
      <c r="C2341" s="16" t="inlineStr">
        <is>
          <t>Viewer Matrix</t>
        </is>
      </c>
      <c r="D2341" s="16" t="inlineStr">
        <is>
          <t>Performance</t>
        </is>
      </c>
      <c r="E2341" s="16" t="inlineStr">
        <is>
          <t>Response body text/html at 100 MB in Raw viewer</t>
        </is>
      </c>
      <c r="F2341" s="16" t="inlineStr">
        <is>
          <t>-</t>
        </is>
      </c>
      <c r="G2341" s="16" t="inlineStr">
        <is>
          <t>1. Send request returning text/html body of size 100 MB.
2. Switch viewer to Raw.
3. Inspect rendering and responsiveness.</t>
        </is>
      </c>
      <c r="H2341" s="16" t="inlineStr">
        <is>
          <t>ct=text/html size=100 MB view=Raw</t>
        </is>
      </c>
      <c r="I2341" s="16" t="inlineStr">
        <is>
          <t>Raw renders appropriately for text/html at 100 MB. For sizes &gt;= 1 MB, preview cap may kick in with download CTA. UI remains responsive; no freeze.</t>
        </is>
      </c>
      <c r="J2341" s="16" t="inlineStr"/>
      <c r="K2341" s="16" t="inlineStr">
        <is>
          <t>Not Run</t>
        </is>
      </c>
      <c r="L2341" s="16" t="inlineStr">
        <is>
          <t>Low</t>
        </is>
      </c>
      <c r="M2341" s="16" t="inlineStr"/>
      <c r="N2341" s="16" t="inlineStr"/>
      <c r="O2341" s="16" t="inlineStr"/>
    </row>
    <row r="2342" ht="72" customHeight="1">
      <c r="A2342" s="16" t="inlineStr">
        <is>
          <t>TC-RP-0288</t>
        </is>
      </c>
      <c r="B2342" s="16" t="inlineStr">
        <is>
          <t>Response Panel</t>
        </is>
      </c>
      <c r="C2342" s="16" t="inlineStr">
        <is>
          <t>Viewer Matrix</t>
        </is>
      </c>
      <c r="D2342" s="16" t="inlineStr">
        <is>
          <t>Performance</t>
        </is>
      </c>
      <c r="E2342" s="16" t="inlineStr">
        <is>
          <t>Response body text/html at 100 MB in Preview viewer</t>
        </is>
      </c>
      <c r="F2342" s="16" t="inlineStr">
        <is>
          <t>-</t>
        </is>
      </c>
      <c r="G2342" s="16" t="inlineStr">
        <is>
          <t>1. Send request returning text/html body of size 100 MB.
2. Switch viewer to Preview.
3. Inspect rendering and responsiveness.</t>
        </is>
      </c>
      <c r="H2342" s="16" t="inlineStr">
        <is>
          <t>ct=text/html size=100 MB view=Preview</t>
        </is>
      </c>
      <c r="I2342" s="16" t="inlineStr">
        <is>
          <t>Preview renders appropriately for text/html at 100 MB. For sizes &gt;= 1 MB, preview cap may kick in with download CTA. UI remains responsive; no freeze.</t>
        </is>
      </c>
      <c r="J2342" s="16" t="inlineStr"/>
      <c r="K2342" s="16" t="inlineStr">
        <is>
          <t>Not Run</t>
        </is>
      </c>
      <c r="L2342" s="16" t="inlineStr">
        <is>
          <t>Low</t>
        </is>
      </c>
      <c r="M2342" s="16" t="inlineStr"/>
      <c r="N2342" s="16" t="inlineStr"/>
      <c r="O2342" s="16" t="inlineStr"/>
    </row>
    <row r="2343" ht="72" customHeight="1">
      <c r="A2343" s="16" t="inlineStr">
        <is>
          <t>TC-RP-0289</t>
        </is>
      </c>
      <c r="B2343" s="16" t="inlineStr">
        <is>
          <t>Response Panel</t>
        </is>
      </c>
      <c r="C2343" s="16" t="inlineStr">
        <is>
          <t>Viewer Matrix</t>
        </is>
      </c>
      <c r="D2343" s="16" t="inlineStr">
        <is>
          <t>Performance</t>
        </is>
      </c>
      <c r="E2343" s="16" t="inlineStr">
        <is>
          <t>Response body text/plain at 100 MB in Pretty viewer</t>
        </is>
      </c>
      <c r="F2343" s="16" t="inlineStr">
        <is>
          <t>-</t>
        </is>
      </c>
      <c r="G2343" s="16" t="inlineStr">
        <is>
          <t>1. Send request returning text/plain body of size 100 MB.
2. Switch viewer to Pretty.
3. Inspect rendering and responsiveness.</t>
        </is>
      </c>
      <c r="H2343" s="16" t="inlineStr">
        <is>
          <t>ct=text/plain size=100 MB view=Pretty</t>
        </is>
      </c>
      <c r="I2343" s="16" t="inlineStr">
        <is>
          <t>Pretty renders appropriately for text/plain at 100 MB. For sizes &gt;= 1 MB, preview cap may kick in with download CTA. UI remains responsive; no freeze.</t>
        </is>
      </c>
      <c r="J2343" s="16" t="inlineStr"/>
      <c r="K2343" s="16" t="inlineStr">
        <is>
          <t>Not Run</t>
        </is>
      </c>
      <c r="L2343" s="16" t="inlineStr">
        <is>
          <t>Low</t>
        </is>
      </c>
      <c r="M2343" s="16" t="inlineStr"/>
      <c r="N2343" s="16" t="inlineStr"/>
      <c r="O2343" s="16" t="inlineStr"/>
    </row>
    <row r="2344" ht="72" customHeight="1">
      <c r="A2344" s="16" t="inlineStr">
        <is>
          <t>TC-RP-0290</t>
        </is>
      </c>
      <c r="B2344" s="16" t="inlineStr">
        <is>
          <t>Response Panel</t>
        </is>
      </c>
      <c r="C2344" s="16" t="inlineStr">
        <is>
          <t>Viewer Matrix</t>
        </is>
      </c>
      <c r="D2344" s="16" t="inlineStr">
        <is>
          <t>Performance</t>
        </is>
      </c>
      <c r="E2344" s="16" t="inlineStr">
        <is>
          <t>Response body text/plain at 100 MB in Raw viewer</t>
        </is>
      </c>
      <c r="F2344" s="16" t="inlineStr">
        <is>
          <t>-</t>
        </is>
      </c>
      <c r="G2344" s="16" t="inlineStr">
        <is>
          <t>1. Send request returning text/plain body of size 100 MB.
2. Switch viewer to Raw.
3. Inspect rendering and responsiveness.</t>
        </is>
      </c>
      <c r="H2344" s="16" t="inlineStr">
        <is>
          <t>ct=text/plain size=100 MB view=Raw</t>
        </is>
      </c>
      <c r="I2344" s="16" t="inlineStr">
        <is>
          <t>Raw renders appropriately for text/plain at 100 MB. For sizes &gt;= 1 MB, preview cap may kick in with download CTA. UI remains responsive; no freeze.</t>
        </is>
      </c>
      <c r="J2344" s="16" t="inlineStr"/>
      <c r="K2344" s="16" t="inlineStr">
        <is>
          <t>Not Run</t>
        </is>
      </c>
      <c r="L2344" s="16" t="inlineStr">
        <is>
          <t>Low</t>
        </is>
      </c>
      <c r="M2344" s="16" t="inlineStr"/>
      <c r="N2344" s="16" t="inlineStr"/>
      <c r="O2344" s="16" t="inlineStr"/>
    </row>
    <row r="2345" ht="72" customHeight="1">
      <c r="A2345" s="16" t="inlineStr">
        <is>
          <t>TC-RP-0291</t>
        </is>
      </c>
      <c r="B2345" s="16" t="inlineStr">
        <is>
          <t>Response Panel</t>
        </is>
      </c>
      <c r="C2345" s="16" t="inlineStr">
        <is>
          <t>Viewer Matrix</t>
        </is>
      </c>
      <c r="D2345" s="16" t="inlineStr">
        <is>
          <t>Performance</t>
        </is>
      </c>
      <c r="E2345" s="16" t="inlineStr">
        <is>
          <t>Response body text/plain at 100 MB in Preview viewer</t>
        </is>
      </c>
      <c r="F2345" s="16" t="inlineStr">
        <is>
          <t>-</t>
        </is>
      </c>
      <c r="G2345" s="16" t="inlineStr">
        <is>
          <t>1. Send request returning text/plain body of size 100 MB.
2. Switch viewer to Preview.
3. Inspect rendering and responsiveness.</t>
        </is>
      </c>
      <c r="H2345" s="16" t="inlineStr">
        <is>
          <t>ct=text/plain size=100 MB view=Preview</t>
        </is>
      </c>
      <c r="I2345" s="16" t="inlineStr">
        <is>
          <t>Preview renders appropriately for text/plain at 100 MB. For sizes &gt;= 1 MB, preview cap may kick in with download CTA. UI remains responsive; no freeze.</t>
        </is>
      </c>
      <c r="J2345" s="16" t="inlineStr"/>
      <c r="K2345" s="16" t="inlineStr">
        <is>
          <t>Not Run</t>
        </is>
      </c>
      <c r="L2345" s="16" t="inlineStr">
        <is>
          <t>Low</t>
        </is>
      </c>
      <c r="M2345" s="16" t="inlineStr"/>
      <c r="N2345" s="16" t="inlineStr"/>
      <c r="O2345" s="16" t="inlineStr"/>
    </row>
    <row r="2346" ht="72" customHeight="1">
      <c r="A2346" s="16" t="inlineStr">
        <is>
          <t>TC-RP-0292</t>
        </is>
      </c>
      <c r="B2346" s="16" t="inlineStr">
        <is>
          <t>Response Panel</t>
        </is>
      </c>
      <c r="C2346" s="16" t="inlineStr">
        <is>
          <t>Viewer Matrix</t>
        </is>
      </c>
      <c r="D2346" s="16" t="inlineStr">
        <is>
          <t>Performance</t>
        </is>
      </c>
      <c r="E2346" s="16" t="inlineStr">
        <is>
          <t>Response body application/octet-stream at 100 MB in Pretty viewer</t>
        </is>
      </c>
      <c r="F2346" s="16" t="inlineStr">
        <is>
          <t>-</t>
        </is>
      </c>
      <c r="G2346" s="16" t="inlineStr">
        <is>
          <t>1. Send request returning application/octet-stream body of size 100 MB.
2. Switch viewer to Pretty.
3. Inspect rendering and responsiveness.</t>
        </is>
      </c>
      <c r="H2346" s="16" t="inlineStr">
        <is>
          <t>ct=application/octet-stream size=100 MB view=Pretty</t>
        </is>
      </c>
      <c r="I2346" s="16" t="inlineStr">
        <is>
          <t>Pretty renders appropriately for application/octet-stream at 100 MB. For sizes &gt;= 1 MB, preview cap may kick in with download CTA. UI remains responsive; no freeze.</t>
        </is>
      </c>
      <c r="J2346" s="16" t="inlineStr"/>
      <c r="K2346" s="16" t="inlineStr">
        <is>
          <t>Not Run</t>
        </is>
      </c>
      <c r="L2346" s="16" t="inlineStr">
        <is>
          <t>Low</t>
        </is>
      </c>
      <c r="M2346" s="16" t="inlineStr"/>
      <c r="N2346" s="16" t="inlineStr"/>
      <c r="O2346" s="16" t="inlineStr"/>
    </row>
    <row r="2347" ht="72" customHeight="1">
      <c r="A2347" s="16" t="inlineStr">
        <is>
          <t>TC-RP-0293</t>
        </is>
      </c>
      <c r="B2347" s="16" t="inlineStr">
        <is>
          <t>Response Panel</t>
        </is>
      </c>
      <c r="C2347" s="16" t="inlineStr">
        <is>
          <t>Viewer Matrix</t>
        </is>
      </c>
      <c r="D2347" s="16" t="inlineStr">
        <is>
          <t>Performance</t>
        </is>
      </c>
      <c r="E2347" s="16" t="inlineStr">
        <is>
          <t>Response body application/octet-stream at 100 MB in Raw viewer</t>
        </is>
      </c>
      <c r="F2347" s="16" t="inlineStr">
        <is>
          <t>-</t>
        </is>
      </c>
      <c r="G2347" s="16" t="inlineStr">
        <is>
          <t>1. Send request returning application/octet-stream body of size 100 MB.
2. Switch viewer to Raw.
3. Inspect rendering and responsiveness.</t>
        </is>
      </c>
      <c r="H2347" s="16" t="inlineStr">
        <is>
          <t>ct=application/octet-stream size=100 MB view=Raw</t>
        </is>
      </c>
      <c r="I2347" s="16" t="inlineStr">
        <is>
          <t>Raw renders appropriately for application/octet-stream at 100 MB. For sizes &gt;= 1 MB, preview cap may kick in with download CTA. UI remains responsive; no freeze.</t>
        </is>
      </c>
      <c r="J2347" s="16" t="inlineStr"/>
      <c r="K2347" s="16" t="inlineStr">
        <is>
          <t>Not Run</t>
        </is>
      </c>
      <c r="L2347" s="16" t="inlineStr">
        <is>
          <t>Low</t>
        </is>
      </c>
      <c r="M2347" s="16" t="inlineStr"/>
      <c r="N2347" s="16" t="inlineStr"/>
      <c r="O2347" s="16" t="inlineStr"/>
    </row>
    <row r="2348" ht="72" customHeight="1">
      <c r="A2348" s="16" t="inlineStr">
        <is>
          <t>TC-RP-0294</t>
        </is>
      </c>
      <c r="B2348" s="16" t="inlineStr">
        <is>
          <t>Response Panel</t>
        </is>
      </c>
      <c r="C2348" s="16" t="inlineStr">
        <is>
          <t>Viewer Matrix</t>
        </is>
      </c>
      <c r="D2348" s="16" t="inlineStr">
        <is>
          <t>Performance</t>
        </is>
      </c>
      <c r="E2348" s="16" t="inlineStr">
        <is>
          <t>Response body application/octet-stream at 100 MB in Preview viewer</t>
        </is>
      </c>
      <c r="F2348" s="16" t="inlineStr">
        <is>
          <t>-</t>
        </is>
      </c>
      <c r="G2348" s="16" t="inlineStr">
        <is>
          <t>1. Send request returning application/octet-stream body of size 100 MB.
2. Switch viewer to Preview.
3. Inspect rendering and responsiveness.</t>
        </is>
      </c>
      <c r="H2348" s="16" t="inlineStr">
        <is>
          <t>ct=application/octet-stream size=100 MB view=Preview</t>
        </is>
      </c>
      <c r="I2348" s="16" t="inlineStr">
        <is>
          <t>Preview renders appropriately for application/octet-stream at 100 MB. For sizes &gt;= 1 MB, preview cap may kick in with download CTA. UI remains responsive; no freeze.</t>
        </is>
      </c>
      <c r="J2348" s="16" t="inlineStr"/>
      <c r="K2348" s="16" t="inlineStr">
        <is>
          <t>Not Run</t>
        </is>
      </c>
      <c r="L2348" s="16" t="inlineStr">
        <is>
          <t>Low</t>
        </is>
      </c>
      <c r="M2348" s="16" t="inlineStr"/>
      <c r="N2348" s="16" t="inlineStr"/>
      <c r="O2348" s="16" t="inlineStr"/>
    </row>
    <row r="2349" ht="72" customHeight="1">
      <c r="A2349" s="16" t="inlineStr">
        <is>
          <t>TC-RP-0295</t>
        </is>
      </c>
      <c r="B2349" s="16" t="inlineStr">
        <is>
          <t>Response Panel</t>
        </is>
      </c>
      <c r="C2349" s="16" t="inlineStr">
        <is>
          <t>Viewer Matrix</t>
        </is>
      </c>
      <c r="D2349" s="16" t="inlineStr">
        <is>
          <t>Performance</t>
        </is>
      </c>
      <c r="E2349" s="16" t="inlineStr">
        <is>
          <t>Response body text/csv at 100 MB in Pretty viewer</t>
        </is>
      </c>
      <c r="F2349" s="16" t="inlineStr">
        <is>
          <t>-</t>
        </is>
      </c>
      <c r="G2349" s="16" t="inlineStr">
        <is>
          <t>1. Send request returning text/csv body of size 100 MB.
2. Switch viewer to Pretty.
3. Inspect rendering and responsiveness.</t>
        </is>
      </c>
      <c r="H2349" s="16" t="inlineStr">
        <is>
          <t>ct=text/csv size=100 MB view=Pretty</t>
        </is>
      </c>
      <c r="I2349" s="16" t="inlineStr">
        <is>
          <t>Pretty renders appropriately for text/csv at 100 MB. For sizes &gt;= 1 MB, preview cap may kick in with download CTA. UI remains responsive; no freeze.</t>
        </is>
      </c>
      <c r="J2349" s="16" t="inlineStr"/>
      <c r="K2349" s="16" t="inlineStr">
        <is>
          <t>Not Run</t>
        </is>
      </c>
      <c r="L2349" s="16" t="inlineStr">
        <is>
          <t>Low</t>
        </is>
      </c>
      <c r="M2349" s="16" t="inlineStr"/>
      <c r="N2349" s="16" t="inlineStr"/>
      <c r="O2349" s="16" t="inlineStr"/>
    </row>
    <row r="2350" ht="72" customHeight="1">
      <c r="A2350" s="16" t="inlineStr">
        <is>
          <t>TC-RP-0296</t>
        </is>
      </c>
      <c r="B2350" s="16" t="inlineStr">
        <is>
          <t>Response Panel</t>
        </is>
      </c>
      <c r="C2350" s="16" t="inlineStr">
        <is>
          <t>Viewer Matrix</t>
        </is>
      </c>
      <c r="D2350" s="16" t="inlineStr">
        <is>
          <t>Performance</t>
        </is>
      </c>
      <c r="E2350" s="16" t="inlineStr">
        <is>
          <t>Response body text/csv at 100 MB in Raw viewer</t>
        </is>
      </c>
      <c r="F2350" s="16" t="inlineStr">
        <is>
          <t>-</t>
        </is>
      </c>
      <c r="G2350" s="16" t="inlineStr">
        <is>
          <t>1. Send request returning text/csv body of size 100 MB.
2. Switch viewer to Raw.
3. Inspect rendering and responsiveness.</t>
        </is>
      </c>
      <c r="H2350" s="16" t="inlineStr">
        <is>
          <t>ct=text/csv size=100 MB view=Raw</t>
        </is>
      </c>
      <c r="I2350" s="16" t="inlineStr">
        <is>
          <t>Raw renders appropriately for text/csv at 100 MB. For sizes &gt;= 1 MB, preview cap may kick in with download CTA. UI remains responsive; no freeze.</t>
        </is>
      </c>
      <c r="J2350" s="16" t="inlineStr"/>
      <c r="K2350" s="16" t="inlineStr">
        <is>
          <t>Not Run</t>
        </is>
      </c>
      <c r="L2350" s="16" t="inlineStr">
        <is>
          <t>Low</t>
        </is>
      </c>
      <c r="M2350" s="16" t="inlineStr"/>
      <c r="N2350" s="16" t="inlineStr"/>
      <c r="O2350" s="16" t="inlineStr"/>
    </row>
    <row r="2351" ht="72" customHeight="1">
      <c r="A2351" s="16" t="inlineStr">
        <is>
          <t>TC-RP-0297</t>
        </is>
      </c>
      <c r="B2351" s="16" t="inlineStr">
        <is>
          <t>Response Panel</t>
        </is>
      </c>
      <c r="C2351" s="16" t="inlineStr">
        <is>
          <t>Viewer Matrix</t>
        </is>
      </c>
      <c r="D2351" s="16" t="inlineStr">
        <is>
          <t>Performance</t>
        </is>
      </c>
      <c r="E2351" s="16" t="inlineStr">
        <is>
          <t>Response body text/csv at 100 MB in Preview viewer</t>
        </is>
      </c>
      <c r="F2351" s="16" t="inlineStr">
        <is>
          <t>-</t>
        </is>
      </c>
      <c r="G2351" s="16" t="inlineStr">
        <is>
          <t>1. Send request returning text/csv body of size 100 MB.
2. Switch viewer to Preview.
3. Inspect rendering and responsiveness.</t>
        </is>
      </c>
      <c r="H2351" s="16" t="inlineStr">
        <is>
          <t>ct=text/csv size=100 MB view=Preview</t>
        </is>
      </c>
      <c r="I2351" s="16" t="inlineStr">
        <is>
          <t>Preview renders appropriately for text/csv at 100 MB. For sizes &gt;= 1 MB, preview cap may kick in with download CTA. UI remains responsive; no freeze.</t>
        </is>
      </c>
      <c r="J2351" s="16" t="inlineStr"/>
      <c r="K2351" s="16" t="inlineStr">
        <is>
          <t>Not Run</t>
        </is>
      </c>
      <c r="L2351" s="16" t="inlineStr">
        <is>
          <t>Low</t>
        </is>
      </c>
      <c r="M2351" s="16" t="inlineStr"/>
      <c r="N2351" s="16" t="inlineStr"/>
      <c r="O2351" s="16" t="inlineStr"/>
    </row>
    <row r="2352" ht="72" customHeight="1">
      <c r="A2352" s="16" t="inlineStr">
        <is>
          <t>TC-RP-0298</t>
        </is>
      </c>
      <c r="B2352" s="16" t="inlineStr">
        <is>
          <t>Response Panel</t>
        </is>
      </c>
      <c r="C2352" s="16" t="inlineStr">
        <is>
          <t>Viewer Matrix</t>
        </is>
      </c>
      <c r="D2352" s="16" t="inlineStr">
        <is>
          <t>Performance</t>
        </is>
      </c>
      <c r="E2352" s="16" t="inlineStr">
        <is>
          <t>Response body image/png at 100 MB in Pretty viewer</t>
        </is>
      </c>
      <c r="F2352" s="16" t="inlineStr">
        <is>
          <t>-</t>
        </is>
      </c>
      <c r="G2352" s="16" t="inlineStr">
        <is>
          <t>1. Send request returning image/png body of size 100 MB.
2. Switch viewer to Pretty.
3. Inspect rendering and responsiveness.</t>
        </is>
      </c>
      <c r="H2352" s="16" t="inlineStr">
        <is>
          <t>ct=image/png size=100 MB view=Pretty</t>
        </is>
      </c>
      <c r="I2352" s="16" t="inlineStr">
        <is>
          <t>Pretty renders appropriately for image/png at 100 MB. For sizes &gt;= 1 MB, preview cap may kick in with download CTA. UI remains responsive; no freeze.</t>
        </is>
      </c>
      <c r="J2352" s="16" t="inlineStr"/>
      <c r="K2352" s="16" t="inlineStr">
        <is>
          <t>Not Run</t>
        </is>
      </c>
      <c r="L2352" s="16" t="inlineStr">
        <is>
          <t>Low</t>
        </is>
      </c>
      <c r="M2352" s="16" t="inlineStr"/>
      <c r="N2352" s="16" t="inlineStr"/>
      <c r="O2352" s="16" t="inlineStr"/>
    </row>
    <row r="2353" ht="72" customHeight="1">
      <c r="A2353" s="16" t="inlineStr">
        <is>
          <t>TC-RP-0299</t>
        </is>
      </c>
      <c r="B2353" s="16" t="inlineStr">
        <is>
          <t>Response Panel</t>
        </is>
      </c>
      <c r="C2353" s="16" t="inlineStr">
        <is>
          <t>Viewer Matrix</t>
        </is>
      </c>
      <c r="D2353" s="16" t="inlineStr">
        <is>
          <t>Performance</t>
        </is>
      </c>
      <c r="E2353" s="16" t="inlineStr">
        <is>
          <t>Response body image/png at 100 MB in Raw viewer</t>
        </is>
      </c>
      <c r="F2353" s="16" t="inlineStr">
        <is>
          <t>-</t>
        </is>
      </c>
      <c r="G2353" s="16" t="inlineStr">
        <is>
          <t>1. Send request returning image/png body of size 100 MB.
2. Switch viewer to Raw.
3. Inspect rendering and responsiveness.</t>
        </is>
      </c>
      <c r="H2353" s="16" t="inlineStr">
        <is>
          <t>ct=image/png size=100 MB view=Raw</t>
        </is>
      </c>
      <c r="I2353" s="16" t="inlineStr">
        <is>
          <t>Raw renders appropriately for image/png at 100 MB. For sizes &gt;= 1 MB, preview cap may kick in with download CTA. UI remains responsive; no freeze.</t>
        </is>
      </c>
      <c r="J2353" s="16" t="inlineStr"/>
      <c r="K2353" s="16" t="inlineStr">
        <is>
          <t>Not Run</t>
        </is>
      </c>
      <c r="L2353" s="16" t="inlineStr">
        <is>
          <t>Low</t>
        </is>
      </c>
      <c r="M2353" s="16" t="inlineStr"/>
      <c r="N2353" s="16" t="inlineStr"/>
      <c r="O2353" s="16" t="inlineStr"/>
    </row>
    <row r="2354" ht="72" customHeight="1">
      <c r="A2354" s="16" t="inlineStr">
        <is>
          <t>TC-RP-0300</t>
        </is>
      </c>
      <c r="B2354" s="16" t="inlineStr">
        <is>
          <t>Response Panel</t>
        </is>
      </c>
      <c r="C2354" s="16" t="inlineStr">
        <is>
          <t>Viewer Matrix</t>
        </is>
      </c>
      <c r="D2354" s="16" t="inlineStr">
        <is>
          <t>Performance</t>
        </is>
      </c>
      <c r="E2354" s="16" t="inlineStr">
        <is>
          <t>Response body image/png at 100 MB in Preview viewer</t>
        </is>
      </c>
      <c r="F2354" s="16" t="inlineStr">
        <is>
          <t>-</t>
        </is>
      </c>
      <c r="G2354" s="16" t="inlineStr">
        <is>
          <t>1. Send request returning image/png body of size 100 MB.
2. Switch viewer to Preview.
3. Inspect rendering and responsiveness.</t>
        </is>
      </c>
      <c r="H2354" s="16" t="inlineStr">
        <is>
          <t>ct=image/png size=100 MB view=Preview</t>
        </is>
      </c>
      <c r="I2354" s="16" t="inlineStr">
        <is>
          <t>Preview renders appropriately for image/png at 100 MB. For sizes &gt;= 1 MB, preview cap may kick in with download CTA. UI remains responsive; no freeze.</t>
        </is>
      </c>
      <c r="J2354" s="16" t="inlineStr"/>
      <c r="K2354" s="16" t="inlineStr">
        <is>
          <t>Not Run</t>
        </is>
      </c>
      <c r="L2354" s="16" t="inlineStr">
        <is>
          <t>Low</t>
        </is>
      </c>
      <c r="M2354" s="16" t="inlineStr"/>
      <c r="N2354" s="16" t="inlineStr"/>
      <c r="O2354" s="16" t="inlineStr"/>
    </row>
    <row r="2355" ht="72" customHeight="1">
      <c r="A2355" s="16" t="inlineStr">
        <is>
          <t>TC-RP-0301</t>
        </is>
      </c>
      <c r="B2355" s="16" t="inlineStr">
        <is>
          <t>Response Panel</t>
        </is>
      </c>
      <c r="C2355" s="16" t="inlineStr">
        <is>
          <t>Viewer Matrix</t>
        </is>
      </c>
      <c r="D2355" s="16" t="inlineStr">
        <is>
          <t>Performance</t>
        </is>
      </c>
      <c r="E2355" s="16" t="inlineStr">
        <is>
          <t>Response body image/jpeg at 100 MB in Pretty viewer</t>
        </is>
      </c>
      <c r="F2355" s="16" t="inlineStr">
        <is>
          <t>-</t>
        </is>
      </c>
      <c r="G2355" s="16" t="inlineStr">
        <is>
          <t>1. Send request returning image/jpeg body of size 100 MB.
2. Switch viewer to Pretty.
3. Inspect rendering and responsiveness.</t>
        </is>
      </c>
      <c r="H2355" s="16" t="inlineStr">
        <is>
          <t>ct=image/jpeg size=100 MB view=Pretty</t>
        </is>
      </c>
      <c r="I2355" s="16" t="inlineStr">
        <is>
          <t>Pretty renders appropriately for image/jpeg at 100 MB. For sizes &gt;= 1 MB, preview cap may kick in with download CTA. UI remains responsive; no freeze.</t>
        </is>
      </c>
      <c r="J2355" s="16" t="inlineStr"/>
      <c r="K2355" s="16" t="inlineStr">
        <is>
          <t>Not Run</t>
        </is>
      </c>
      <c r="L2355" s="16" t="inlineStr">
        <is>
          <t>Low</t>
        </is>
      </c>
      <c r="M2355" s="16" t="inlineStr"/>
      <c r="N2355" s="16" t="inlineStr"/>
      <c r="O2355" s="16" t="inlineStr"/>
    </row>
    <row r="2356" ht="72" customHeight="1">
      <c r="A2356" s="16" t="inlineStr">
        <is>
          <t>TC-RP-0302</t>
        </is>
      </c>
      <c r="B2356" s="16" t="inlineStr">
        <is>
          <t>Response Panel</t>
        </is>
      </c>
      <c r="C2356" s="16" t="inlineStr">
        <is>
          <t>Viewer Matrix</t>
        </is>
      </c>
      <c r="D2356" s="16" t="inlineStr">
        <is>
          <t>Performance</t>
        </is>
      </c>
      <c r="E2356" s="16" t="inlineStr">
        <is>
          <t>Response body image/jpeg at 100 MB in Raw viewer</t>
        </is>
      </c>
      <c r="F2356" s="16" t="inlineStr">
        <is>
          <t>-</t>
        </is>
      </c>
      <c r="G2356" s="16" t="inlineStr">
        <is>
          <t>1. Send request returning image/jpeg body of size 100 MB.
2. Switch viewer to Raw.
3. Inspect rendering and responsiveness.</t>
        </is>
      </c>
      <c r="H2356" s="16" t="inlineStr">
        <is>
          <t>ct=image/jpeg size=100 MB view=Raw</t>
        </is>
      </c>
      <c r="I2356" s="16" t="inlineStr">
        <is>
          <t>Raw renders appropriately for image/jpeg at 100 MB. For sizes &gt;= 1 MB, preview cap may kick in with download CTA. UI remains responsive; no freeze.</t>
        </is>
      </c>
      <c r="J2356" s="16" t="inlineStr"/>
      <c r="K2356" s="16" t="inlineStr">
        <is>
          <t>Not Run</t>
        </is>
      </c>
      <c r="L2356" s="16" t="inlineStr">
        <is>
          <t>Low</t>
        </is>
      </c>
      <c r="M2356" s="16" t="inlineStr"/>
      <c r="N2356" s="16" t="inlineStr"/>
      <c r="O2356" s="16" t="inlineStr"/>
    </row>
    <row r="2357" ht="72" customHeight="1">
      <c r="A2357" s="16" t="inlineStr">
        <is>
          <t>TC-RP-0303</t>
        </is>
      </c>
      <c r="B2357" s="16" t="inlineStr">
        <is>
          <t>Response Panel</t>
        </is>
      </c>
      <c r="C2357" s="16" t="inlineStr">
        <is>
          <t>Viewer Matrix</t>
        </is>
      </c>
      <c r="D2357" s="16" t="inlineStr">
        <is>
          <t>Performance</t>
        </is>
      </c>
      <c r="E2357" s="16" t="inlineStr">
        <is>
          <t>Response body image/jpeg at 100 MB in Preview viewer</t>
        </is>
      </c>
      <c r="F2357" s="16" t="inlineStr">
        <is>
          <t>-</t>
        </is>
      </c>
      <c r="G2357" s="16" t="inlineStr">
        <is>
          <t>1. Send request returning image/jpeg body of size 100 MB.
2. Switch viewer to Preview.
3. Inspect rendering and responsiveness.</t>
        </is>
      </c>
      <c r="H2357" s="16" t="inlineStr">
        <is>
          <t>ct=image/jpeg size=100 MB view=Preview</t>
        </is>
      </c>
      <c r="I2357" s="16" t="inlineStr">
        <is>
          <t>Preview renders appropriately for image/jpeg at 100 MB. For sizes &gt;= 1 MB, preview cap may kick in with download CTA. UI remains responsive; no freeze.</t>
        </is>
      </c>
      <c r="J2357" s="16" t="inlineStr"/>
      <c r="K2357" s="16" t="inlineStr">
        <is>
          <t>Not Run</t>
        </is>
      </c>
      <c r="L2357" s="16" t="inlineStr">
        <is>
          <t>Low</t>
        </is>
      </c>
      <c r="M2357" s="16" t="inlineStr"/>
      <c r="N2357" s="16" t="inlineStr"/>
      <c r="O2357" s="16" t="inlineStr"/>
    </row>
    <row r="2358" ht="72" customHeight="1">
      <c r="A2358" s="16" t="inlineStr">
        <is>
          <t>TC-RP-0304</t>
        </is>
      </c>
      <c r="B2358" s="16" t="inlineStr">
        <is>
          <t>Response Panel</t>
        </is>
      </c>
      <c r="C2358" s="16" t="inlineStr">
        <is>
          <t>Viewer Matrix</t>
        </is>
      </c>
      <c r="D2358" s="16" t="inlineStr">
        <is>
          <t>Performance</t>
        </is>
      </c>
      <c r="E2358" s="16" t="inlineStr">
        <is>
          <t>Response body application/pdf at 100 MB in Pretty viewer</t>
        </is>
      </c>
      <c r="F2358" s="16" t="inlineStr">
        <is>
          <t>-</t>
        </is>
      </c>
      <c r="G2358" s="16" t="inlineStr">
        <is>
          <t>1. Send request returning application/pdf body of size 100 MB.
2. Switch viewer to Pretty.
3. Inspect rendering and responsiveness.</t>
        </is>
      </c>
      <c r="H2358" s="16" t="inlineStr">
        <is>
          <t>ct=application/pdf size=100 MB view=Pretty</t>
        </is>
      </c>
      <c r="I2358" s="16" t="inlineStr">
        <is>
          <t>Pretty renders appropriately for application/pdf at 100 MB. For sizes &gt;= 1 MB, preview cap may kick in with download CTA. UI remains responsive; no freeze.</t>
        </is>
      </c>
      <c r="J2358" s="16" t="inlineStr"/>
      <c r="K2358" s="16" t="inlineStr">
        <is>
          <t>Not Run</t>
        </is>
      </c>
      <c r="L2358" s="16" t="inlineStr">
        <is>
          <t>Low</t>
        </is>
      </c>
      <c r="M2358" s="16" t="inlineStr"/>
      <c r="N2358" s="16" t="inlineStr"/>
      <c r="O2358" s="16" t="inlineStr"/>
    </row>
    <row r="2359" ht="72" customHeight="1">
      <c r="A2359" s="16" t="inlineStr">
        <is>
          <t>TC-RP-0305</t>
        </is>
      </c>
      <c r="B2359" s="16" t="inlineStr">
        <is>
          <t>Response Panel</t>
        </is>
      </c>
      <c r="C2359" s="16" t="inlineStr">
        <is>
          <t>Viewer Matrix</t>
        </is>
      </c>
      <c r="D2359" s="16" t="inlineStr">
        <is>
          <t>Performance</t>
        </is>
      </c>
      <c r="E2359" s="16" t="inlineStr">
        <is>
          <t>Response body application/pdf at 100 MB in Raw viewer</t>
        </is>
      </c>
      <c r="F2359" s="16" t="inlineStr">
        <is>
          <t>-</t>
        </is>
      </c>
      <c r="G2359" s="16" t="inlineStr">
        <is>
          <t>1. Send request returning application/pdf body of size 100 MB.
2. Switch viewer to Raw.
3. Inspect rendering and responsiveness.</t>
        </is>
      </c>
      <c r="H2359" s="16" t="inlineStr">
        <is>
          <t>ct=application/pdf size=100 MB view=Raw</t>
        </is>
      </c>
      <c r="I2359" s="16" t="inlineStr">
        <is>
          <t>Raw renders appropriately for application/pdf at 100 MB. For sizes &gt;= 1 MB, preview cap may kick in with download CTA. UI remains responsive; no freeze.</t>
        </is>
      </c>
      <c r="J2359" s="16" t="inlineStr"/>
      <c r="K2359" s="16" t="inlineStr">
        <is>
          <t>Not Run</t>
        </is>
      </c>
      <c r="L2359" s="16" t="inlineStr">
        <is>
          <t>Low</t>
        </is>
      </c>
      <c r="M2359" s="16" t="inlineStr"/>
      <c r="N2359" s="16" t="inlineStr"/>
      <c r="O2359" s="16" t="inlineStr"/>
    </row>
    <row r="2360" ht="72" customHeight="1">
      <c r="A2360" s="16" t="inlineStr">
        <is>
          <t>TC-RP-0306</t>
        </is>
      </c>
      <c r="B2360" s="16" t="inlineStr">
        <is>
          <t>Response Panel</t>
        </is>
      </c>
      <c r="C2360" s="16" t="inlineStr">
        <is>
          <t>Viewer Matrix</t>
        </is>
      </c>
      <c r="D2360" s="16" t="inlineStr">
        <is>
          <t>Performance</t>
        </is>
      </c>
      <c r="E2360" s="16" t="inlineStr">
        <is>
          <t>Response body application/pdf at 100 MB in Preview viewer</t>
        </is>
      </c>
      <c r="F2360" s="16" t="inlineStr">
        <is>
          <t>-</t>
        </is>
      </c>
      <c r="G2360" s="16" t="inlineStr">
        <is>
          <t>1. Send request returning application/pdf body of size 100 MB.
2. Switch viewer to Preview.
3. Inspect rendering and responsiveness.</t>
        </is>
      </c>
      <c r="H2360" s="16" t="inlineStr">
        <is>
          <t>ct=application/pdf size=100 MB view=Preview</t>
        </is>
      </c>
      <c r="I2360" s="16" t="inlineStr">
        <is>
          <t>Preview renders appropriately for application/pdf at 100 MB. For sizes &gt;= 1 MB, preview cap may kick in with download CTA. UI remains responsive; no freeze.</t>
        </is>
      </c>
      <c r="J2360" s="16" t="inlineStr"/>
      <c r="K2360" s="16" t="inlineStr">
        <is>
          <t>Not Run</t>
        </is>
      </c>
      <c r="L2360" s="16" t="inlineStr">
        <is>
          <t>Low</t>
        </is>
      </c>
      <c r="M2360" s="16" t="inlineStr"/>
      <c r="N2360" s="16" t="inlineStr"/>
      <c r="O2360" s="16" t="inlineStr"/>
    </row>
    <row r="2361" ht="72" customHeight="1">
      <c r="A2361" s="16" t="inlineStr">
        <is>
          <t>TC-RP-0307</t>
        </is>
      </c>
      <c r="B2361" s="16" t="inlineStr">
        <is>
          <t>Response Panel</t>
        </is>
      </c>
      <c r="C2361" s="16" t="inlineStr">
        <is>
          <t>Viewer Matrix</t>
        </is>
      </c>
      <c r="D2361" s="16" t="inlineStr">
        <is>
          <t>Performance</t>
        </is>
      </c>
      <c r="E2361" s="16" t="inlineStr">
        <is>
          <t>Response body text/event-stream at 100 MB in Pretty viewer</t>
        </is>
      </c>
      <c r="F2361" s="16" t="inlineStr">
        <is>
          <t>-</t>
        </is>
      </c>
      <c r="G2361" s="16" t="inlineStr">
        <is>
          <t>1. Send request returning text/event-stream body of size 100 MB.
2. Switch viewer to Pretty.
3. Inspect rendering and responsiveness.</t>
        </is>
      </c>
      <c r="H2361" s="16" t="inlineStr">
        <is>
          <t>ct=text/event-stream size=100 MB view=Pretty</t>
        </is>
      </c>
      <c r="I2361" s="16" t="inlineStr">
        <is>
          <t>Pretty renders appropriately for text/event-stream at 100 MB. For sizes &gt;= 1 MB, preview cap may kick in with download CTA. UI remains responsive; no freeze.</t>
        </is>
      </c>
      <c r="J2361" s="16" t="inlineStr"/>
      <c r="K2361" s="16" t="inlineStr">
        <is>
          <t>Not Run</t>
        </is>
      </c>
      <c r="L2361" s="16" t="inlineStr">
        <is>
          <t>Low</t>
        </is>
      </c>
      <c r="M2361" s="16" t="inlineStr"/>
      <c r="N2361" s="16" t="inlineStr"/>
      <c r="O2361" s="16" t="inlineStr"/>
    </row>
    <row r="2362" ht="72" customHeight="1">
      <c r="A2362" s="16" t="inlineStr">
        <is>
          <t>TC-RP-0308</t>
        </is>
      </c>
      <c r="B2362" s="16" t="inlineStr">
        <is>
          <t>Response Panel</t>
        </is>
      </c>
      <c r="C2362" s="16" t="inlineStr">
        <is>
          <t>Viewer Matrix</t>
        </is>
      </c>
      <c r="D2362" s="16" t="inlineStr">
        <is>
          <t>Performance</t>
        </is>
      </c>
      <c r="E2362" s="16" t="inlineStr">
        <is>
          <t>Response body text/event-stream at 100 MB in Raw viewer</t>
        </is>
      </c>
      <c r="F2362" s="16" t="inlineStr">
        <is>
          <t>-</t>
        </is>
      </c>
      <c r="G2362" s="16" t="inlineStr">
        <is>
          <t>1. Send request returning text/event-stream body of size 100 MB.
2. Switch viewer to Raw.
3. Inspect rendering and responsiveness.</t>
        </is>
      </c>
      <c r="H2362" s="16" t="inlineStr">
        <is>
          <t>ct=text/event-stream size=100 MB view=Raw</t>
        </is>
      </c>
      <c r="I2362" s="16" t="inlineStr">
        <is>
          <t>Raw renders appropriately for text/event-stream at 100 MB. For sizes &gt;= 1 MB, preview cap may kick in with download CTA. UI remains responsive; no freeze.</t>
        </is>
      </c>
      <c r="J2362" s="16" t="inlineStr"/>
      <c r="K2362" s="16" t="inlineStr">
        <is>
          <t>Not Run</t>
        </is>
      </c>
      <c r="L2362" s="16" t="inlineStr">
        <is>
          <t>Low</t>
        </is>
      </c>
      <c r="M2362" s="16" t="inlineStr"/>
      <c r="N2362" s="16" t="inlineStr"/>
      <c r="O2362" s="16" t="inlineStr"/>
    </row>
    <row r="2363" ht="72" customHeight="1">
      <c r="A2363" s="16" t="inlineStr">
        <is>
          <t>TC-RP-0309</t>
        </is>
      </c>
      <c r="B2363" s="16" t="inlineStr">
        <is>
          <t>Response Panel</t>
        </is>
      </c>
      <c r="C2363" s="16" t="inlineStr">
        <is>
          <t>Viewer Matrix</t>
        </is>
      </c>
      <c r="D2363" s="16" t="inlineStr">
        <is>
          <t>Performance</t>
        </is>
      </c>
      <c r="E2363" s="16" t="inlineStr">
        <is>
          <t>Response body text/event-stream at 100 MB in Preview viewer</t>
        </is>
      </c>
      <c r="F2363" s="16" t="inlineStr">
        <is>
          <t>-</t>
        </is>
      </c>
      <c r="G2363" s="16" t="inlineStr">
        <is>
          <t>1. Send request returning text/event-stream body of size 100 MB.
2. Switch viewer to Preview.
3. Inspect rendering and responsiveness.</t>
        </is>
      </c>
      <c r="H2363" s="16" t="inlineStr">
        <is>
          <t>ct=text/event-stream size=100 MB view=Preview</t>
        </is>
      </c>
      <c r="I2363" s="16" t="inlineStr">
        <is>
          <t>Preview renders appropriately for text/event-stream at 100 MB. For sizes &gt;= 1 MB, preview cap may kick in with download CTA. UI remains responsive; no freeze.</t>
        </is>
      </c>
      <c r="J2363" s="16" t="inlineStr"/>
      <c r="K2363" s="16" t="inlineStr">
        <is>
          <t>Not Run</t>
        </is>
      </c>
      <c r="L2363" s="16" t="inlineStr">
        <is>
          <t>Low</t>
        </is>
      </c>
      <c r="M2363" s="16" t="inlineStr"/>
      <c r="N2363" s="16" t="inlineStr"/>
      <c r="O2363" s="16" t="inlineStr"/>
    </row>
    <row r="2364" ht="72" customHeight="1">
      <c r="A2364" s="16" t="inlineStr">
        <is>
          <t>TC-RP-0310</t>
        </is>
      </c>
      <c r="B2364" s="16" t="inlineStr">
        <is>
          <t>Response Panel</t>
        </is>
      </c>
      <c r="C2364" s="16" t="inlineStr">
        <is>
          <t>Viewer Matrix</t>
        </is>
      </c>
      <c r="D2364" s="16" t="inlineStr">
        <is>
          <t>Performance</t>
        </is>
      </c>
      <c r="E2364" s="16" t="inlineStr">
        <is>
          <t>Response body application/x-yaml at 100 MB in Pretty viewer</t>
        </is>
      </c>
      <c r="F2364" s="16" t="inlineStr">
        <is>
          <t>-</t>
        </is>
      </c>
      <c r="G2364" s="16" t="inlineStr">
        <is>
          <t>1. Send request returning application/x-yaml body of size 100 MB.
2. Switch viewer to Pretty.
3. Inspect rendering and responsiveness.</t>
        </is>
      </c>
      <c r="H2364" s="16" t="inlineStr">
        <is>
          <t>ct=application/x-yaml size=100 MB view=Pretty</t>
        </is>
      </c>
      <c r="I2364" s="16" t="inlineStr">
        <is>
          <t>Pretty renders appropriately for application/x-yaml at 100 MB. For sizes &gt;= 1 MB, preview cap may kick in with download CTA. UI remains responsive; no freeze.</t>
        </is>
      </c>
      <c r="J2364" s="16" t="inlineStr"/>
      <c r="K2364" s="16" t="inlineStr">
        <is>
          <t>Not Run</t>
        </is>
      </c>
      <c r="L2364" s="16" t="inlineStr">
        <is>
          <t>Low</t>
        </is>
      </c>
      <c r="M2364" s="16" t="inlineStr"/>
      <c r="N2364" s="16" t="inlineStr"/>
      <c r="O2364" s="16" t="inlineStr"/>
    </row>
    <row r="2365" ht="72" customHeight="1">
      <c r="A2365" s="16" t="inlineStr">
        <is>
          <t>TC-RP-0311</t>
        </is>
      </c>
      <c r="B2365" s="16" t="inlineStr">
        <is>
          <t>Response Panel</t>
        </is>
      </c>
      <c r="C2365" s="16" t="inlineStr">
        <is>
          <t>Viewer Matrix</t>
        </is>
      </c>
      <c r="D2365" s="16" t="inlineStr">
        <is>
          <t>Performance</t>
        </is>
      </c>
      <c r="E2365" s="16" t="inlineStr">
        <is>
          <t>Response body application/x-yaml at 100 MB in Raw viewer</t>
        </is>
      </c>
      <c r="F2365" s="16" t="inlineStr">
        <is>
          <t>-</t>
        </is>
      </c>
      <c r="G2365" s="16" t="inlineStr">
        <is>
          <t>1. Send request returning application/x-yaml body of size 100 MB.
2. Switch viewer to Raw.
3. Inspect rendering and responsiveness.</t>
        </is>
      </c>
      <c r="H2365" s="16" t="inlineStr">
        <is>
          <t>ct=application/x-yaml size=100 MB view=Raw</t>
        </is>
      </c>
      <c r="I2365" s="16" t="inlineStr">
        <is>
          <t>Raw renders appropriately for application/x-yaml at 100 MB. For sizes &gt;= 1 MB, preview cap may kick in with download CTA. UI remains responsive; no freeze.</t>
        </is>
      </c>
      <c r="J2365" s="16" t="inlineStr"/>
      <c r="K2365" s="16" t="inlineStr">
        <is>
          <t>Not Run</t>
        </is>
      </c>
      <c r="L2365" s="16" t="inlineStr">
        <is>
          <t>Low</t>
        </is>
      </c>
      <c r="M2365" s="16" t="inlineStr"/>
      <c r="N2365" s="16" t="inlineStr"/>
      <c r="O2365" s="16" t="inlineStr"/>
    </row>
    <row r="2366" ht="72" customHeight="1">
      <c r="A2366" s="16" t="inlineStr">
        <is>
          <t>TC-RP-0312</t>
        </is>
      </c>
      <c r="B2366" s="16" t="inlineStr">
        <is>
          <t>Response Panel</t>
        </is>
      </c>
      <c r="C2366" s="16" t="inlineStr">
        <is>
          <t>Viewer Matrix</t>
        </is>
      </c>
      <c r="D2366" s="16" t="inlineStr">
        <is>
          <t>Performance</t>
        </is>
      </c>
      <c r="E2366" s="16" t="inlineStr">
        <is>
          <t>Response body application/x-yaml at 100 MB in Preview viewer</t>
        </is>
      </c>
      <c r="F2366" s="16" t="inlineStr">
        <is>
          <t>-</t>
        </is>
      </c>
      <c r="G2366" s="16" t="inlineStr">
        <is>
          <t>1. Send request returning application/x-yaml body of size 100 MB.
2. Switch viewer to Preview.
3. Inspect rendering and responsiveness.</t>
        </is>
      </c>
      <c r="H2366" s="16" t="inlineStr">
        <is>
          <t>ct=application/x-yaml size=100 MB view=Preview</t>
        </is>
      </c>
      <c r="I2366" s="16" t="inlineStr">
        <is>
          <t>Preview renders appropriately for application/x-yaml at 100 MB. For sizes &gt;= 1 MB, preview cap may kick in with download CTA. UI remains responsive; no freeze.</t>
        </is>
      </c>
      <c r="J2366" s="16" t="inlineStr"/>
      <c r="K2366" s="16" t="inlineStr">
        <is>
          <t>Not Run</t>
        </is>
      </c>
      <c r="L2366" s="16" t="inlineStr">
        <is>
          <t>Low</t>
        </is>
      </c>
      <c r="M2366" s="16" t="inlineStr"/>
      <c r="N2366" s="16" t="inlineStr"/>
      <c r="O2366" s="16" t="inlineStr"/>
    </row>
    <row r="2367" ht="72" customHeight="1">
      <c r="A2367" s="16" t="inlineStr">
        <is>
          <t>TC-RE-0027</t>
        </is>
      </c>
      <c r="B2367" s="16" t="inlineStr">
        <is>
          <t>Request Editor</t>
        </is>
      </c>
      <c r="C2367" s="16" t="inlineStr">
        <is>
          <t>Params Matrix</t>
        </is>
      </c>
      <c r="D2367" s="16" t="inlineStr">
        <is>
          <t>Functional</t>
        </is>
      </c>
      <c r="E2367" s="16" t="inlineStr">
        <is>
          <t>Query params: Single param on GET</t>
        </is>
      </c>
      <c r="F2367" s="16" t="inlineStr">
        <is>
          <t>-</t>
        </is>
      </c>
      <c r="G2367" s="16" t="inlineStr">
        <is>
          <t>1. Build request with params: name=alice.
2. Send GET.</t>
        </is>
      </c>
      <c r="H2367" s="16" t="inlineStr">
        <is>
          <t>method=GET params=Single param</t>
        </is>
      </c>
      <c r="I2367" s="16" t="inlineStr">
        <is>
          <t>Echo confirms ?name=alice. Verified on GET.</t>
        </is>
      </c>
      <c r="J2367" s="16" t="inlineStr"/>
      <c r="K2367" s="16" t="inlineStr">
        <is>
          <t>Not Run</t>
        </is>
      </c>
      <c r="L2367" s="16" t="inlineStr">
        <is>
          <t>Medium</t>
        </is>
      </c>
      <c r="M2367" s="16" t="inlineStr"/>
      <c r="N2367" s="16" t="inlineStr"/>
      <c r="O2367" s="16" t="inlineStr"/>
    </row>
    <row r="2368" ht="72" customHeight="1">
      <c r="A2368" s="16" t="inlineStr">
        <is>
          <t>TC-RE-0028</t>
        </is>
      </c>
      <c r="B2368" s="16" t="inlineStr">
        <is>
          <t>Request Editor</t>
        </is>
      </c>
      <c r="C2368" s="16" t="inlineStr">
        <is>
          <t>Params Matrix</t>
        </is>
      </c>
      <c r="D2368" s="16" t="inlineStr">
        <is>
          <t>Functional</t>
        </is>
      </c>
      <c r="E2368" s="16" t="inlineStr">
        <is>
          <t>Query params: Multiple params on GET</t>
        </is>
      </c>
      <c r="F2368" s="16" t="inlineStr">
        <is>
          <t>-</t>
        </is>
      </c>
      <c r="G2368" s="16" t="inlineStr">
        <is>
          <t>1. Build request with params: a=1, b=2, c=3.
2. Send GET.</t>
        </is>
      </c>
      <c r="H2368" s="16" t="inlineStr">
        <is>
          <t>method=GET params=Multiple params</t>
        </is>
      </c>
      <c r="I2368" s="16" t="inlineStr">
        <is>
          <t>All in URL. Verified on GET.</t>
        </is>
      </c>
      <c r="J2368" s="16" t="inlineStr"/>
      <c r="K2368" s="16" t="inlineStr">
        <is>
          <t>Not Run</t>
        </is>
      </c>
      <c r="L2368" s="16" t="inlineStr">
        <is>
          <t>Medium</t>
        </is>
      </c>
      <c r="M2368" s="16" t="inlineStr"/>
      <c r="N2368" s="16" t="inlineStr"/>
      <c r="O2368" s="16" t="inlineStr"/>
    </row>
    <row r="2369" ht="72" customHeight="1">
      <c r="A2369" s="16" t="inlineStr">
        <is>
          <t>TC-RE-0029</t>
        </is>
      </c>
      <c r="B2369" s="16" t="inlineStr">
        <is>
          <t>Request Editor</t>
        </is>
      </c>
      <c r="C2369" s="16" t="inlineStr">
        <is>
          <t>Params Matrix</t>
        </is>
      </c>
      <c r="D2369" s="16" t="inlineStr">
        <is>
          <t>Functional</t>
        </is>
      </c>
      <c r="E2369" s="16" t="inlineStr">
        <is>
          <t>Query params: Duplicate keys on GET</t>
        </is>
      </c>
      <c r="F2369" s="16" t="inlineStr">
        <is>
          <t>-</t>
        </is>
      </c>
      <c r="G2369" s="16" t="inlineStr">
        <is>
          <t>1. Build request with params: foo=1, foo=2.
2. Send GET.</t>
        </is>
      </c>
      <c r="H2369" s="16" t="inlineStr">
        <is>
          <t>method=GET params=Duplicate keys</t>
        </is>
      </c>
      <c r="I2369" s="16" t="inlineStr">
        <is>
          <t>Both sent. Verified on GET.</t>
        </is>
      </c>
      <c r="J2369" s="16" t="inlineStr"/>
      <c r="K2369" s="16" t="inlineStr">
        <is>
          <t>Not Run</t>
        </is>
      </c>
      <c r="L2369" s="16" t="inlineStr">
        <is>
          <t>Low</t>
        </is>
      </c>
      <c r="M2369" s="16" t="inlineStr"/>
      <c r="N2369" s="16" t="inlineStr"/>
      <c r="O2369" s="16" t="inlineStr"/>
    </row>
    <row r="2370" ht="72" customHeight="1">
      <c r="A2370" s="16" t="inlineStr">
        <is>
          <t>TC-RE-0030</t>
        </is>
      </c>
      <c r="B2370" s="16" t="inlineStr">
        <is>
          <t>Request Editor</t>
        </is>
      </c>
      <c r="C2370" s="16" t="inlineStr">
        <is>
          <t>Params Matrix</t>
        </is>
      </c>
      <c r="D2370" s="16" t="inlineStr">
        <is>
          <t>Functional</t>
        </is>
      </c>
      <c r="E2370" s="16" t="inlineStr">
        <is>
          <t>Query params: Unicode value on GET</t>
        </is>
      </c>
      <c r="F2370" s="16" t="inlineStr">
        <is>
          <t>-</t>
        </is>
      </c>
      <c r="G2370" s="16" t="inlineStr">
        <is>
          <t>1. Build request with params: q=测试.
2. Send GET.</t>
        </is>
      </c>
      <c r="H2370" s="16" t="inlineStr">
        <is>
          <t>method=GET params=Unicode value</t>
        </is>
      </c>
      <c r="I2370" s="16" t="inlineStr">
        <is>
          <t>Percent-encoded; server confirms. Verified on GET.</t>
        </is>
      </c>
      <c r="J2370" s="16" t="inlineStr"/>
      <c r="K2370" s="16" t="inlineStr">
        <is>
          <t>Not Run</t>
        </is>
      </c>
      <c r="L2370" s="16" t="inlineStr">
        <is>
          <t>Low</t>
        </is>
      </c>
      <c r="M2370" s="16" t="inlineStr"/>
      <c r="N2370" s="16" t="inlineStr"/>
      <c r="O2370" s="16" t="inlineStr"/>
    </row>
    <row r="2371" ht="72" customHeight="1">
      <c r="A2371" s="16" t="inlineStr">
        <is>
          <t>TC-RE-0031</t>
        </is>
      </c>
      <c r="B2371" s="16" t="inlineStr">
        <is>
          <t>Request Editor</t>
        </is>
      </c>
      <c r="C2371" s="16" t="inlineStr">
        <is>
          <t>Params Matrix</t>
        </is>
      </c>
      <c r="D2371" s="16" t="inlineStr">
        <is>
          <t>Functional</t>
        </is>
      </c>
      <c r="E2371" s="16" t="inlineStr">
        <is>
          <t>Query params: Empty value on GET</t>
        </is>
      </c>
      <c r="F2371" s="16" t="inlineStr">
        <is>
          <t>-</t>
        </is>
      </c>
      <c r="G2371" s="16" t="inlineStr">
        <is>
          <t>1. Build request with params: a=.
2. Send GET.</t>
        </is>
      </c>
      <c r="H2371" s="16" t="inlineStr">
        <is>
          <t>method=GET params=Empty value</t>
        </is>
      </c>
      <c r="I2371" s="16" t="inlineStr">
        <is>
          <t>Sent as a=. Verified on GET.</t>
        </is>
      </c>
      <c r="J2371" s="16" t="inlineStr"/>
      <c r="K2371" s="16" t="inlineStr">
        <is>
          <t>Not Run</t>
        </is>
      </c>
      <c r="L2371" s="16" t="inlineStr">
        <is>
          <t>Low</t>
        </is>
      </c>
      <c r="M2371" s="16" t="inlineStr"/>
      <c r="N2371" s="16" t="inlineStr"/>
      <c r="O2371" s="16" t="inlineStr"/>
    </row>
    <row r="2372" ht="72" customHeight="1">
      <c r="A2372" s="16" t="inlineStr">
        <is>
          <t>TC-RE-0032</t>
        </is>
      </c>
      <c r="B2372" s="16" t="inlineStr">
        <is>
          <t>Request Editor</t>
        </is>
      </c>
      <c r="C2372" s="16" t="inlineStr">
        <is>
          <t>Params Matrix</t>
        </is>
      </c>
      <c r="D2372" s="16" t="inlineStr">
        <is>
          <t>Functional</t>
        </is>
      </c>
      <c r="E2372" s="16" t="inlineStr">
        <is>
          <t>Query params: Reserved chars in value on GET</t>
        </is>
      </c>
      <c r="F2372" s="16" t="inlineStr">
        <is>
          <t>-</t>
        </is>
      </c>
      <c r="G2372" s="16" t="inlineStr">
        <is>
          <t>1. Build request with params: q=a&amp;b=c.
2. Send GET.</t>
        </is>
      </c>
      <c r="H2372" s="16" t="inlineStr">
        <is>
          <t>method=GET params=Reserved chars in value</t>
        </is>
      </c>
      <c r="I2372" s="16" t="inlineStr">
        <is>
          <t>Encoded as a%26b%3Dc. Verified on GET.</t>
        </is>
      </c>
      <c r="J2372" s="16" t="inlineStr"/>
      <c r="K2372" s="16" t="inlineStr">
        <is>
          <t>Not Run</t>
        </is>
      </c>
      <c r="L2372" s="16" t="inlineStr">
        <is>
          <t>Low</t>
        </is>
      </c>
      <c r="M2372" s="16" t="inlineStr"/>
      <c r="N2372" s="16" t="inlineStr"/>
      <c r="O2372" s="16" t="inlineStr"/>
    </row>
    <row r="2373" ht="72" customHeight="1">
      <c r="A2373" s="16" t="inlineStr">
        <is>
          <t>TC-RE-0033</t>
        </is>
      </c>
      <c r="B2373" s="16" t="inlineStr">
        <is>
          <t>Request Editor</t>
        </is>
      </c>
      <c r="C2373" s="16" t="inlineStr">
        <is>
          <t>Params Matrix</t>
        </is>
      </c>
      <c r="D2373" s="16" t="inlineStr">
        <is>
          <t>Functional</t>
        </is>
      </c>
      <c r="E2373" s="16" t="inlineStr">
        <is>
          <t>Query params: Disabled row on GET</t>
        </is>
      </c>
      <c r="F2373" s="16" t="inlineStr">
        <is>
          <t>-</t>
        </is>
      </c>
      <c r="G2373" s="16" t="inlineStr">
        <is>
          <t>1. Build request with params: a=1 disabled, b=2.
2. Send GET.</t>
        </is>
      </c>
      <c r="H2373" s="16" t="inlineStr">
        <is>
          <t>method=GET params=Disabled row</t>
        </is>
      </c>
      <c r="I2373" s="16" t="inlineStr">
        <is>
          <t>Only b=2 sent. Verified on GET.</t>
        </is>
      </c>
      <c r="J2373" s="16" t="inlineStr"/>
      <c r="K2373" s="16" t="inlineStr">
        <is>
          <t>Not Run</t>
        </is>
      </c>
      <c r="L2373" s="16" t="inlineStr">
        <is>
          <t>Low</t>
        </is>
      </c>
      <c r="M2373" s="16" t="inlineStr"/>
      <c r="N2373" s="16" t="inlineStr"/>
      <c r="O2373" s="16" t="inlineStr"/>
    </row>
    <row r="2374" ht="72" customHeight="1">
      <c r="A2374" s="16" t="inlineStr">
        <is>
          <t>TC-RE-0034</t>
        </is>
      </c>
      <c r="B2374" s="16" t="inlineStr">
        <is>
          <t>Request Editor</t>
        </is>
      </c>
      <c r="C2374" s="16" t="inlineStr">
        <is>
          <t>Params Matrix</t>
        </is>
      </c>
      <c r="D2374" s="16" t="inlineStr">
        <is>
          <t>Functional</t>
        </is>
      </c>
      <c r="E2374" s="16" t="inlineStr">
        <is>
          <t>Query params: Variable in value on GET</t>
        </is>
      </c>
      <c r="F2374" s="16" t="inlineStr">
        <is>
          <t>-</t>
        </is>
      </c>
      <c r="G2374" s="16" t="inlineStr">
        <is>
          <t>1. Build request with params: q={{search}}.
2. Send GET.</t>
        </is>
      </c>
      <c r="H2374" s="16" t="inlineStr">
        <is>
          <t>method=GET params=Variable in value</t>
        </is>
      </c>
      <c r="I2374" s="16" t="inlineStr">
        <is>
          <t>Resolved value transmitted. Verified on GET.</t>
        </is>
      </c>
      <c r="J2374" s="16" t="inlineStr"/>
      <c r="K2374" s="16" t="inlineStr">
        <is>
          <t>Not Run</t>
        </is>
      </c>
      <c r="L2374" s="16" t="inlineStr">
        <is>
          <t>Low</t>
        </is>
      </c>
      <c r="M2374" s="16" t="inlineStr"/>
      <c r="N2374" s="16" t="inlineStr"/>
      <c r="O2374" s="16" t="inlineStr"/>
    </row>
    <row r="2375" ht="72" customHeight="1">
      <c r="A2375" s="16" t="inlineStr">
        <is>
          <t>TC-RE-0035</t>
        </is>
      </c>
      <c r="B2375" s="16" t="inlineStr">
        <is>
          <t>Request Editor</t>
        </is>
      </c>
      <c r="C2375" s="16" t="inlineStr">
        <is>
          <t>Params Matrix</t>
        </is>
      </c>
      <c r="D2375" s="16" t="inlineStr">
        <is>
          <t>Functional</t>
        </is>
      </c>
      <c r="E2375" s="16" t="inlineStr">
        <is>
          <t>Query params: Path with query already on GET</t>
        </is>
      </c>
      <c r="F2375" s="16" t="inlineStr">
        <is>
          <t>-</t>
        </is>
      </c>
      <c r="G2375" s="16" t="inlineStr">
        <is>
          <t>1. Build request with params: URL?x=1; add y=2.
2. Send GET.</t>
        </is>
      </c>
      <c r="H2375" s="16" t="inlineStr">
        <is>
          <t>method=GET params=Path with query already</t>
        </is>
      </c>
      <c r="I2375" s="16" t="inlineStr">
        <is>
          <t>?x=1&amp;y=2. Verified on GET.</t>
        </is>
      </c>
      <c r="J2375" s="16" t="inlineStr"/>
      <c r="K2375" s="16" t="inlineStr">
        <is>
          <t>Not Run</t>
        </is>
      </c>
      <c r="L2375" s="16" t="inlineStr">
        <is>
          <t>Low</t>
        </is>
      </c>
      <c r="M2375" s="16" t="inlineStr"/>
      <c r="N2375" s="16" t="inlineStr"/>
      <c r="O2375" s="16" t="inlineStr"/>
    </row>
    <row r="2376" ht="72" customHeight="1">
      <c r="A2376" s="16" t="inlineStr">
        <is>
          <t>TC-RE-0036</t>
        </is>
      </c>
      <c r="B2376" s="16" t="inlineStr">
        <is>
          <t>Request Editor</t>
        </is>
      </c>
      <c r="C2376" s="16" t="inlineStr">
        <is>
          <t>Params Matrix</t>
        </is>
      </c>
      <c r="D2376" s="16" t="inlineStr">
        <is>
          <t>Functional</t>
        </is>
      </c>
      <c r="E2376" s="16" t="inlineStr">
        <is>
          <t>Query params: Long param value (4KB) on GET</t>
        </is>
      </c>
      <c r="F2376" s="16" t="inlineStr">
        <is>
          <t>-</t>
        </is>
      </c>
      <c r="G2376" s="16" t="inlineStr">
        <is>
          <t>1. Build request with params: q=&lt;4KB&gt;.
2. Send GET.</t>
        </is>
      </c>
      <c r="H2376" s="16" t="inlineStr">
        <is>
          <t>method=GET params=Long param value (4KB)</t>
        </is>
      </c>
      <c r="I2376" s="16" t="inlineStr">
        <is>
          <t>Sent; may be rejected by server. Verified on GET.</t>
        </is>
      </c>
      <c r="J2376" s="16" t="inlineStr"/>
      <c r="K2376" s="16" t="inlineStr">
        <is>
          <t>Not Run</t>
        </is>
      </c>
      <c r="L2376" s="16" t="inlineStr">
        <is>
          <t>Low</t>
        </is>
      </c>
      <c r="M2376" s="16" t="inlineStr"/>
      <c r="N2376" s="16" t="inlineStr"/>
      <c r="O2376" s="16" t="inlineStr"/>
    </row>
    <row r="2377" ht="72" customHeight="1">
      <c r="A2377" s="16" t="inlineStr">
        <is>
          <t>TC-RE-0037</t>
        </is>
      </c>
      <c r="B2377" s="16" t="inlineStr">
        <is>
          <t>Request Editor</t>
        </is>
      </c>
      <c r="C2377" s="16" t="inlineStr">
        <is>
          <t>Params Matrix</t>
        </is>
      </c>
      <c r="D2377" s="16" t="inlineStr">
        <is>
          <t>Functional</t>
        </is>
      </c>
      <c r="E2377" s="16" t="inlineStr">
        <is>
          <t>Query params: Null value (treat as empty) on GET</t>
        </is>
      </c>
      <c r="F2377" s="16" t="inlineStr">
        <is>
          <t>-</t>
        </is>
      </c>
      <c r="G2377" s="16" t="inlineStr">
        <is>
          <t>1. Build request with params: a=null literal.
2. Send GET.</t>
        </is>
      </c>
      <c r="H2377" s="16" t="inlineStr">
        <is>
          <t>method=GET params=Null value (treat as empty)</t>
        </is>
      </c>
      <c r="I2377" s="16" t="inlineStr">
        <is>
          <t>Sent as 'null' string. Verified on GET.</t>
        </is>
      </c>
      <c r="J2377" s="16" t="inlineStr"/>
      <c r="K2377" s="16" t="inlineStr">
        <is>
          <t>Not Run</t>
        </is>
      </c>
      <c r="L2377" s="16" t="inlineStr">
        <is>
          <t>Low</t>
        </is>
      </c>
      <c r="M2377" s="16" t="inlineStr"/>
      <c r="N2377" s="16" t="inlineStr"/>
      <c r="O2377" s="16" t="inlineStr"/>
    </row>
    <row r="2378" ht="72" customHeight="1">
      <c r="A2378" s="16" t="inlineStr">
        <is>
          <t>TC-RE-0038</t>
        </is>
      </c>
      <c r="B2378" s="16" t="inlineStr">
        <is>
          <t>Request Editor</t>
        </is>
      </c>
      <c r="C2378" s="16" t="inlineStr">
        <is>
          <t>Params Matrix</t>
        </is>
      </c>
      <c r="D2378" s="16" t="inlineStr">
        <is>
          <t>Functional</t>
        </is>
      </c>
      <c r="E2378" s="16" t="inlineStr">
        <is>
          <t>Query params: Boolean-ish value on GET</t>
        </is>
      </c>
      <c r="F2378" s="16" t="inlineStr">
        <is>
          <t>-</t>
        </is>
      </c>
      <c r="G2378" s="16" t="inlineStr">
        <is>
          <t>1. Build request with params: active=true.
2. Send GET.</t>
        </is>
      </c>
      <c r="H2378" s="16" t="inlineStr">
        <is>
          <t>method=GET params=Boolean-ish value</t>
        </is>
      </c>
      <c r="I2378" s="16" t="inlineStr">
        <is>
          <t>Sent verbatim 'true'. Verified on GET.</t>
        </is>
      </c>
      <c r="J2378" s="16" t="inlineStr"/>
      <c r="K2378" s="16" t="inlineStr">
        <is>
          <t>Not Run</t>
        </is>
      </c>
      <c r="L2378" s="16" t="inlineStr">
        <is>
          <t>Low</t>
        </is>
      </c>
      <c r="M2378" s="16" t="inlineStr"/>
      <c r="N2378" s="16" t="inlineStr"/>
      <c r="O2378" s="16" t="inlineStr"/>
    </row>
    <row r="2379" ht="72" customHeight="1">
      <c r="A2379" s="16" t="inlineStr">
        <is>
          <t>TC-RE-0039</t>
        </is>
      </c>
      <c r="B2379" s="16" t="inlineStr">
        <is>
          <t>Request Editor</t>
        </is>
      </c>
      <c r="C2379" s="16" t="inlineStr">
        <is>
          <t>Params Matrix</t>
        </is>
      </c>
      <c r="D2379" s="16" t="inlineStr">
        <is>
          <t>Functional</t>
        </is>
      </c>
      <c r="E2379" s="16" t="inlineStr">
        <is>
          <t>Query params: Single param on POST</t>
        </is>
      </c>
      <c r="F2379" s="16" t="inlineStr">
        <is>
          <t>-</t>
        </is>
      </c>
      <c r="G2379" s="16" t="inlineStr">
        <is>
          <t>1. Build request with params: name=alice.
2. Send POST.</t>
        </is>
      </c>
      <c r="H2379" s="16" t="inlineStr">
        <is>
          <t>method=POST params=Single param</t>
        </is>
      </c>
      <c r="I2379" s="16" t="inlineStr">
        <is>
          <t>Echo confirms ?name=alice. Verified on POST.</t>
        </is>
      </c>
      <c r="J2379" s="16" t="inlineStr"/>
      <c r="K2379" s="16" t="inlineStr">
        <is>
          <t>Not Run</t>
        </is>
      </c>
      <c r="L2379" s="16" t="inlineStr">
        <is>
          <t>Medium</t>
        </is>
      </c>
      <c r="M2379" s="16" t="inlineStr"/>
      <c r="N2379" s="16" t="inlineStr"/>
      <c r="O2379" s="16" t="inlineStr"/>
    </row>
    <row r="2380" ht="72" customHeight="1">
      <c r="A2380" s="16" t="inlineStr">
        <is>
          <t>TC-RE-0040</t>
        </is>
      </c>
      <c r="B2380" s="16" t="inlineStr">
        <is>
          <t>Request Editor</t>
        </is>
      </c>
      <c r="C2380" s="16" t="inlineStr">
        <is>
          <t>Params Matrix</t>
        </is>
      </c>
      <c r="D2380" s="16" t="inlineStr">
        <is>
          <t>Functional</t>
        </is>
      </c>
      <c r="E2380" s="16" t="inlineStr">
        <is>
          <t>Query params: Multiple params on POST</t>
        </is>
      </c>
      <c r="F2380" s="16" t="inlineStr">
        <is>
          <t>-</t>
        </is>
      </c>
      <c r="G2380" s="16" t="inlineStr">
        <is>
          <t>1. Build request with params: a=1, b=2, c=3.
2. Send POST.</t>
        </is>
      </c>
      <c r="H2380" s="16" t="inlineStr">
        <is>
          <t>method=POST params=Multiple params</t>
        </is>
      </c>
      <c r="I2380" s="16" t="inlineStr">
        <is>
          <t>All in URL. Verified on POST.</t>
        </is>
      </c>
      <c r="J2380" s="16" t="inlineStr"/>
      <c r="K2380" s="16" t="inlineStr">
        <is>
          <t>Not Run</t>
        </is>
      </c>
      <c r="L2380" s="16" t="inlineStr">
        <is>
          <t>Medium</t>
        </is>
      </c>
      <c r="M2380" s="16" t="inlineStr"/>
      <c r="N2380" s="16" t="inlineStr"/>
      <c r="O2380" s="16" t="inlineStr"/>
    </row>
    <row r="2381" ht="72" customHeight="1">
      <c r="A2381" s="16" t="inlineStr">
        <is>
          <t>TC-RE-0041</t>
        </is>
      </c>
      <c r="B2381" s="16" t="inlineStr">
        <is>
          <t>Request Editor</t>
        </is>
      </c>
      <c r="C2381" s="16" t="inlineStr">
        <is>
          <t>Params Matrix</t>
        </is>
      </c>
      <c r="D2381" s="16" t="inlineStr">
        <is>
          <t>Functional</t>
        </is>
      </c>
      <c r="E2381" s="16" t="inlineStr">
        <is>
          <t>Query params: Duplicate keys on POST</t>
        </is>
      </c>
      <c r="F2381" s="16" t="inlineStr">
        <is>
          <t>-</t>
        </is>
      </c>
      <c r="G2381" s="16" t="inlineStr">
        <is>
          <t>1. Build request with params: foo=1, foo=2.
2. Send POST.</t>
        </is>
      </c>
      <c r="H2381" s="16" t="inlineStr">
        <is>
          <t>method=POST params=Duplicate keys</t>
        </is>
      </c>
      <c r="I2381" s="16" t="inlineStr">
        <is>
          <t>Both sent. Verified on POST.</t>
        </is>
      </c>
      <c r="J2381" s="16" t="inlineStr"/>
      <c r="K2381" s="16" t="inlineStr">
        <is>
          <t>Not Run</t>
        </is>
      </c>
      <c r="L2381" s="16" t="inlineStr">
        <is>
          <t>Low</t>
        </is>
      </c>
      <c r="M2381" s="16" t="inlineStr"/>
      <c r="N2381" s="16" t="inlineStr"/>
      <c r="O2381" s="16" t="inlineStr"/>
    </row>
    <row r="2382" ht="72" customHeight="1">
      <c r="A2382" s="16" t="inlineStr">
        <is>
          <t>TC-RE-0042</t>
        </is>
      </c>
      <c r="B2382" s="16" t="inlineStr">
        <is>
          <t>Request Editor</t>
        </is>
      </c>
      <c r="C2382" s="16" t="inlineStr">
        <is>
          <t>Params Matrix</t>
        </is>
      </c>
      <c r="D2382" s="16" t="inlineStr">
        <is>
          <t>Functional</t>
        </is>
      </c>
      <c r="E2382" s="16" t="inlineStr">
        <is>
          <t>Query params: Unicode value on POST</t>
        </is>
      </c>
      <c r="F2382" s="16" t="inlineStr">
        <is>
          <t>-</t>
        </is>
      </c>
      <c r="G2382" s="16" t="inlineStr">
        <is>
          <t>1. Build request with params: q=测试.
2. Send POST.</t>
        </is>
      </c>
      <c r="H2382" s="16" t="inlineStr">
        <is>
          <t>method=POST params=Unicode value</t>
        </is>
      </c>
      <c r="I2382" s="16" t="inlineStr">
        <is>
          <t>Percent-encoded; server confirms. Verified on POST.</t>
        </is>
      </c>
      <c r="J2382" s="16" t="inlineStr"/>
      <c r="K2382" s="16" t="inlineStr">
        <is>
          <t>Not Run</t>
        </is>
      </c>
      <c r="L2382" s="16" t="inlineStr">
        <is>
          <t>Low</t>
        </is>
      </c>
      <c r="M2382" s="16" t="inlineStr"/>
      <c r="N2382" s="16" t="inlineStr"/>
      <c r="O2382" s="16" t="inlineStr"/>
    </row>
    <row r="2383" ht="72" customHeight="1">
      <c r="A2383" s="16" t="inlineStr">
        <is>
          <t>TC-RE-0043</t>
        </is>
      </c>
      <c r="B2383" s="16" t="inlineStr">
        <is>
          <t>Request Editor</t>
        </is>
      </c>
      <c r="C2383" s="16" t="inlineStr">
        <is>
          <t>Params Matrix</t>
        </is>
      </c>
      <c r="D2383" s="16" t="inlineStr">
        <is>
          <t>Functional</t>
        </is>
      </c>
      <c r="E2383" s="16" t="inlineStr">
        <is>
          <t>Query params: Empty value on POST</t>
        </is>
      </c>
      <c r="F2383" s="16" t="inlineStr">
        <is>
          <t>-</t>
        </is>
      </c>
      <c r="G2383" s="16" t="inlineStr">
        <is>
          <t>1. Build request with params: a=.
2. Send POST.</t>
        </is>
      </c>
      <c r="H2383" s="16" t="inlineStr">
        <is>
          <t>method=POST params=Empty value</t>
        </is>
      </c>
      <c r="I2383" s="16" t="inlineStr">
        <is>
          <t>Sent as a=. Verified on POST.</t>
        </is>
      </c>
      <c r="J2383" s="16" t="inlineStr"/>
      <c r="K2383" s="16" t="inlineStr">
        <is>
          <t>Not Run</t>
        </is>
      </c>
      <c r="L2383" s="16" t="inlineStr">
        <is>
          <t>Low</t>
        </is>
      </c>
      <c r="M2383" s="16" t="inlineStr"/>
      <c r="N2383" s="16" t="inlineStr"/>
      <c r="O2383" s="16" t="inlineStr"/>
    </row>
    <row r="2384" ht="72" customHeight="1">
      <c r="A2384" s="16" t="inlineStr">
        <is>
          <t>TC-RE-0044</t>
        </is>
      </c>
      <c r="B2384" s="16" t="inlineStr">
        <is>
          <t>Request Editor</t>
        </is>
      </c>
      <c r="C2384" s="16" t="inlineStr">
        <is>
          <t>Params Matrix</t>
        </is>
      </c>
      <c r="D2384" s="16" t="inlineStr">
        <is>
          <t>Functional</t>
        </is>
      </c>
      <c r="E2384" s="16" t="inlineStr">
        <is>
          <t>Query params: Reserved chars in value on POST</t>
        </is>
      </c>
      <c r="F2384" s="16" t="inlineStr">
        <is>
          <t>-</t>
        </is>
      </c>
      <c r="G2384" s="16" t="inlineStr">
        <is>
          <t>1. Build request with params: q=a&amp;b=c.
2. Send POST.</t>
        </is>
      </c>
      <c r="H2384" s="16" t="inlineStr">
        <is>
          <t>method=POST params=Reserved chars in value</t>
        </is>
      </c>
      <c r="I2384" s="16" t="inlineStr">
        <is>
          <t>Encoded as a%26b%3Dc. Verified on POST.</t>
        </is>
      </c>
      <c r="J2384" s="16" t="inlineStr"/>
      <c r="K2384" s="16" t="inlineStr">
        <is>
          <t>Not Run</t>
        </is>
      </c>
      <c r="L2384" s="16" t="inlineStr">
        <is>
          <t>Low</t>
        </is>
      </c>
      <c r="M2384" s="16" t="inlineStr"/>
      <c r="N2384" s="16" t="inlineStr"/>
      <c r="O2384" s="16" t="inlineStr"/>
    </row>
    <row r="2385" ht="72" customHeight="1">
      <c r="A2385" s="16" t="inlineStr">
        <is>
          <t>TC-RE-0045</t>
        </is>
      </c>
      <c r="B2385" s="16" t="inlineStr">
        <is>
          <t>Request Editor</t>
        </is>
      </c>
      <c r="C2385" s="16" t="inlineStr">
        <is>
          <t>Params Matrix</t>
        </is>
      </c>
      <c r="D2385" s="16" t="inlineStr">
        <is>
          <t>Functional</t>
        </is>
      </c>
      <c r="E2385" s="16" t="inlineStr">
        <is>
          <t>Query params: Disabled row on POST</t>
        </is>
      </c>
      <c r="F2385" s="16" t="inlineStr">
        <is>
          <t>-</t>
        </is>
      </c>
      <c r="G2385" s="16" t="inlineStr">
        <is>
          <t>1. Build request with params: a=1 disabled, b=2.
2. Send POST.</t>
        </is>
      </c>
      <c r="H2385" s="16" t="inlineStr">
        <is>
          <t>method=POST params=Disabled row</t>
        </is>
      </c>
      <c r="I2385" s="16" t="inlineStr">
        <is>
          <t>Only b=2 sent. Verified on POST.</t>
        </is>
      </c>
      <c r="J2385" s="16" t="inlineStr"/>
      <c r="K2385" s="16" t="inlineStr">
        <is>
          <t>Not Run</t>
        </is>
      </c>
      <c r="L2385" s="16" t="inlineStr">
        <is>
          <t>Low</t>
        </is>
      </c>
      <c r="M2385" s="16" t="inlineStr"/>
      <c r="N2385" s="16" t="inlineStr"/>
      <c r="O2385" s="16" t="inlineStr"/>
    </row>
    <row r="2386" ht="72" customHeight="1">
      <c r="A2386" s="16" t="inlineStr">
        <is>
          <t>TC-RE-0046</t>
        </is>
      </c>
      <c r="B2386" s="16" t="inlineStr">
        <is>
          <t>Request Editor</t>
        </is>
      </c>
      <c r="C2386" s="16" t="inlineStr">
        <is>
          <t>Params Matrix</t>
        </is>
      </c>
      <c r="D2386" s="16" t="inlineStr">
        <is>
          <t>Functional</t>
        </is>
      </c>
      <c r="E2386" s="16" t="inlineStr">
        <is>
          <t>Query params: Variable in value on POST</t>
        </is>
      </c>
      <c r="F2386" s="16" t="inlineStr">
        <is>
          <t>-</t>
        </is>
      </c>
      <c r="G2386" s="16" t="inlineStr">
        <is>
          <t>1. Build request with params: q={{search}}.
2. Send POST.</t>
        </is>
      </c>
      <c r="H2386" s="16" t="inlineStr">
        <is>
          <t>method=POST params=Variable in value</t>
        </is>
      </c>
      <c r="I2386" s="16" t="inlineStr">
        <is>
          <t>Resolved value transmitted. Verified on POST.</t>
        </is>
      </c>
      <c r="J2386" s="16" t="inlineStr"/>
      <c r="K2386" s="16" t="inlineStr">
        <is>
          <t>Not Run</t>
        </is>
      </c>
      <c r="L2386" s="16" t="inlineStr">
        <is>
          <t>Low</t>
        </is>
      </c>
      <c r="M2386" s="16" t="inlineStr"/>
      <c r="N2386" s="16" t="inlineStr"/>
      <c r="O2386" s="16" t="inlineStr"/>
    </row>
    <row r="2387" ht="72" customHeight="1">
      <c r="A2387" s="16" t="inlineStr">
        <is>
          <t>TC-RE-0047</t>
        </is>
      </c>
      <c r="B2387" s="16" t="inlineStr">
        <is>
          <t>Request Editor</t>
        </is>
      </c>
      <c r="C2387" s="16" t="inlineStr">
        <is>
          <t>Params Matrix</t>
        </is>
      </c>
      <c r="D2387" s="16" t="inlineStr">
        <is>
          <t>Functional</t>
        </is>
      </c>
      <c r="E2387" s="16" t="inlineStr">
        <is>
          <t>Query params: Path with query already on POST</t>
        </is>
      </c>
      <c r="F2387" s="16" t="inlineStr">
        <is>
          <t>-</t>
        </is>
      </c>
      <c r="G2387" s="16" t="inlineStr">
        <is>
          <t>1. Build request with params: URL?x=1; add y=2.
2. Send POST.</t>
        </is>
      </c>
      <c r="H2387" s="16" t="inlineStr">
        <is>
          <t>method=POST params=Path with query already</t>
        </is>
      </c>
      <c r="I2387" s="16" t="inlineStr">
        <is>
          <t>?x=1&amp;y=2. Verified on POST.</t>
        </is>
      </c>
      <c r="J2387" s="16" t="inlineStr"/>
      <c r="K2387" s="16" t="inlineStr">
        <is>
          <t>Not Run</t>
        </is>
      </c>
      <c r="L2387" s="16" t="inlineStr">
        <is>
          <t>Low</t>
        </is>
      </c>
      <c r="M2387" s="16" t="inlineStr"/>
      <c r="N2387" s="16" t="inlineStr"/>
      <c r="O2387" s="16" t="inlineStr"/>
    </row>
    <row r="2388" ht="72" customHeight="1">
      <c r="A2388" s="16" t="inlineStr">
        <is>
          <t>TC-RE-0048</t>
        </is>
      </c>
      <c r="B2388" s="16" t="inlineStr">
        <is>
          <t>Request Editor</t>
        </is>
      </c>
      <c r="C2388" s="16" t="inlineStr">
        <is>
          <t>Params Matrix</t>
        </is>
      </c>
      <c r="D2388" s="16" t="inlineStr">
        <is>
          <t>Functional</t>
        </is>
      </c>
      <c r="E2388" s="16" t="inlineStr">
        <is>
          <t>Query params: Long param value (4KB) on POST</t>
        </is>
      </c>
      <c r="F2388" s="16" t="inlineStr">
        <is>
          <t>-</t>
        </is>
      </c>
      <c r="G2388" s="16" t="inlineStr">
        <is>
          <t>1. Build request with params: q=&lt;4KB&gt;.
2. Send POST.</t>
        </is>
      </c>
      <c r="H2388" s="16" t="inlineStr">
        <is>
          <t>method=POST params=Long param value (4KB)</t>
        </is>
      </c>
      <c r="I2388" s="16" t="inlineStr">
        <is>
          <t>Sent; may be rejected by server. Verified on POST.</t>
        </is>
      </c>
      <c r="J2388" s="16" t="inlineStr"/>
      <c r="K2388" s="16" t="inlineStr">
        <is>
          <t>Not Run</t>
        </is>
      </c>
      <c r="L2388" s="16" t="inlineStr">
        <is>
          <t>Low</t>
        </is>
      </c>
      <c r="M2388" s="16" t="inlineStr"/>
      <c r="N2388" s="16" t="inlineStr"/>
      <c r="O2388" s="16" t="inlineStr"/>
    </row>
    <row r="2389" ht="72" customHeight="1">
      <c r="A2389" s="16" t="inlineStr">
        <is>
          <t>TC-RE-0049</t>
        </is>
      </c>
      <c r="B2389" s="16" t="inlineStr">
        <is>
          <t>Request Editor</t>
        </is>
      </c>
      <c r="C2389" s="16" t="inlineStr">
        <is>
          <t>Params Matrix</t>
        </is>
      </c>
      <c r="D2389" s="16" t="inlineStr">
        <is>
          <t>Functional</t>
        </is>
      </c>
      <c r="E2389" s="16" t="inlineStr">
        <is>
          <t>Query params: Null value (treat as empty) on POST</t>
        </is>
      </c>
      <c r="F2389" s="16" t="inlineStr">
        <is>
          <t>-</t>
        </is>
      </c>
      <c r="G2389" s="16" t="inlineStr">
        <is>
          <t>1. Build request with params: a=null literal.
2. Send POST.</t>
        </is>
      </c>
      <c r="H2389" s="16" t="inlineStr">
        <is>
          <t>method=POST params=Null value (treat as empty)</t>
        </is>
      </c>
      <c r="I2389" s="16" t="inlineStr">
        <is>
          <t>Sent as 'null' string. Verified on POST.</t>
        </is>
      </c>
      <c r="J2389" s="16" t="inlineStr"/>
      <c r="K2389" s="16" t="inlineStr">
        <is>
          <t>Not Run</t>
        </is>
      </c>
      <c r="L2389" s="16" t="inlineStr">
        <is>
          <t>Low</t>
        </is>
      </c>
      <c r="M2389" s="16" t="inlineStr"/>
      <c r="N2389" s="16" t="inlineStr"/>
      <c r="O2389" s="16" t="inlineStr"/>
    </row>
    <row r="2390" ht="72" customHeight="1">
      <c r="A2390" s="16" t="inlineStr">
        <is>
          <t>TC-RE-0050</t>
        </is>
      </c>
      <c r="B2390" s="16" t="inlineStr">
        <is>
          <t>Request Editor</t>
        </is>
      </c>
      <c r="C2390" s="16" t="inlineStr">
        <is>
          <t>Params Matrix</t>
        </is>
      </c>
      <c r="D2390" s="16" t="inlineStr">
        <is>
          <t>Functional</t>
        </is>
      </c>
      <c r="E2390" s="16" t="inlineStr">
        <is>
          <t>Query params: Boolean-ish value on POST</t>
        </is>
      </c>
      <c r="F2390" s="16" t="inlineStr">
        <is>
          <t>-</t>
        </is>
      </c>
      <c r="G2390" s="16" t="inlineStr">
        <is>
          <t>1. Build request with params: active=true.
2. Send POST.</t>
        </is>
      </c>
      <c r="H2390" s="16" t="inlineStr">
        <is>
          <t>method=POST params=Boolean-ish value</t>
        </is>
      </c>
      <c r="I2390" s="16" t="inlineStr">
        <is>
          <t>Sent verbatim 'true'. Verified on POST.</t>
        </is>
      </c>
      <c r="J2390" s="16" t="inlineStr"/>
      <c r="K2390" s="16" t="inlineStr">
        <is>
          <t>Not Run</t>
        </is>
      </c>
      <c r="L2390" s="16" t="inlineStr">
        <is>
          <t>Low</t>
        </is>
      </c>
      <c r="M2390" s="16" t="inlineStr"/>
      <c r="N2390" s="16" t="inlineStr"/>
      <c r="O2390" s="16" t="inlineStr"/>
    </row>
    <row r="2391" ht="72" customHeight="1">
      <c r="A2391" s="16" t="inlineStr">
        <is>
          <t>TC-RE-0051</t>
        </is>
      </c>
      <c r="B2391" s="16" t="inlineStr">
        <is>
          <t>Request Editor</t>
        </is>
      </c>
      <c r="C2391" s="16" t="inlineStr">
        <is>
          <t>Params Matrix</t>
        </is>
      </c>
      <c r="D2391" s="16" t="inlineStr">
        <is>
          <t>Functional</t>
        </is>
      </c>
      <c r="E2391" s="16" t="inlineStr">
        <is>
          <t>Query params: Single param on PUT</t>
        </is>
      </c>
      <c r="F2391" s="16" t="inlineStr">
        <is>
          <t>-</t>
        </is>
      </c>
      <c r="G2391" s="16" t="inlineStr">
        <is>
          <t>1. Build request with params: name=alice.
2. Send PUT.</t>
        </is>
      </c>
      <c r="H2391" s="16" t="inlineStr">
        <is>
          <t>method=PUT params=Single param</t>
        </is>
      </c>
      <c r="I2391" s="16" t="inlineStr">
        <is>
          <t>Echo confirms ?name=alice. Verified on PUT.</t>
        </is>
      </c>
      <c r="J2391" s="16" t="inlineStr"/>
      <c r="K2391" s="16" t="inlineStr">
        <is>
          <t>Not Run</t>
        </is>
      </c>
      <c r="L2391" s="16" t="inlineStr">
        <is>
          <t>Medium</t>
        </is>
      </c>
      <c r="M2391" s="16" t="inlineStr"/>
      <c r="N2391" s="16" t="inlineStr"/>
      <c r="O2391" s="16" t="inlineStr"/>
    </row>
    <row r="2392" ht="72" customHeight="1">
      <c r="A2392" s="16" t="inlineStr">
        <is>
          <t>TC-RE-0052</t>
        </is>
      </c>
      <c r="B2392" s="16" t="inlineStr">
        <is>
          <t>Request Editor</t>
        </is>
      </c>
      <c r="C2392" s="16" t="inlineStr">
        <is>
          <t>Params Matrix</t>
        </is>
      </c>
      <c r="D2392" s="16" t="inlineStr">
        <is>
          <t>Functional</t>
        </is>
      </c>
      <c r="E2392" s="16" t="inlineStr">
        <is>
          <t>Query params: Multiple params on PUT</t>
        </is>
      </c>
      <c r="F2392" s="16" t="inlineStr">
        <is>
          <t>-</t>
        </is>
      </c>
      <c r="G2392" s="16" t="inlineStr">
        <is>
          <t>1. Build request with params: a=1, b=2, c=3.
2. Send PUT.</t>
        </is>
      </c>
      <c r="H2392" s="16" t="inlineStr">
        <is>
          <t>method=PUT params=Multiple params</t>
        </is>
      </c>
      <c r="I2392" s="16" t="inlineStr">
        <is>
          <t>All in URL. Verified on PUT.</t>
        </is>
      </c>
      <c r="J2392" s="16" t="inlineStr"/>
      <c r="K2392" s="16" t="inlineStr">
        <is>
          <t>Not Run</t>
        </is>
      </c>
      <c r="L2392" s="16" t="inlineStr">
        <is>
          <t>Medium</t>
        </is>
      </c>
      <c r="M2392" s="16" t="inlineStr"/>
      <c r="N2392" s="16" t="inlineStr"/>
      <c r="O2392" s="16" t="inlineStr"/>
    </row>
    <row r="2393" ht="72" customHeight="1">
      <c r="A2393" s="16" t="inlineStr">
        <is>
          <t>TC-RE-0053</t>
        </is>
      </c>
      <c r="B2393" s="16" t="inlineStr">
        <is>
          <t>Request Editor</t>
        </is>
      </c>
      <c r="C2393" s="16" t="inlineStr">
        <is>
          <t>Params Matrix</t>
        </is>
      </c>
      <c r="D2393" s="16" t="inlineStr">
        <is>
          <t>Functional</t>
        </is>
      </c>
      <c r="E2393" s="16" t="inlineStr">
        <is>
          <t>Query params: Duplicate keys on PUT</t>
        </is>
      </c>
      <c r="F2393" s="16" t="inlineStr">
        <is>
          <t>-</t>
        </is>
      </c>
      <c r="G2393" s="16" t="inlineStr">
        <is>
          <t>1. Build request with params: foo=1, foo=2.
2. Send PUT.</t>
        </is>
      </c>
      <c r="H2393" s="16" t="inlineStr">
        <is>
          <t>method=PUT params=Duplicate keys</t>
        </is>
      </c>
      <c r="I2393" s="16" t="inlineStr">
        <is>
          <t>Both sent. Verified on PUT.</t>
        </is>
      </c>
      <c r="J2393" s="16" t="inlineStr"/>
      <c r="K2393" s="16" t="inlineStr">
        <is>
          <t>Not Run</t>
        </is>
      </c>
      <c r="L2393" s="16" t="inlineStr">
        <is>
          <t>Low</t>
        </is>
      </c>
      <c r="M2393" s="16" t="inlineStr"/>
      <c r="N2393" s="16" t="inlineStr"/>
      <c r="O2393" s="16" t="inlineStr"/>
    </row>
    <row r="2394" ht="72" customHeight="1">
      <c r="A2394" s="16" t="inlineStr">
        <is>
          <t>TC-RE-0054</t>
        </is>
      </c>
      <c r="B2394" s="16" t="inlineStr">
        <is>
          <t>Request Editor</t>
        </is>
      </c>
      <c r="C2394" s="16" t="inlineStr">
        <is>
          <t>Params Matrix</t>
        </is>
      </c>
      <c r="D2394" s="16" t="inlineStr">
        <is>
          <t>Functional</t>
        </is>
      </c>
      <c r="E2394" s="16" t="inlineStr">
        <is>
          <t>Query params: Unicode value on PUT</t>
        </is>
      </c>
      <c r="F2394" s="16" t="inlineStr">
        <is>
          <t>-</t>
        </is>
      </c>
      <c r="G2394" s="16" t="inlineStr">
        <is>
          <t>1. Build request with params: q=测试.
2. Send PUT.</t>
        </is>
      </c>
      <c r="H2394" s="16" t="inlineStr">
        <is>
          <t>method=PUT params=Unicode value</t>
        </is>
      </c>
      <c r="I2394" s="16" t="inlineStr">
        <is>
          <t>Percent-encoded; server confirms. Verified on PUT.</t>
        </is>
      </c>
      <c r="J2394" s="16" t="inlineStr"/>
      <c r="K2394" s="16" t="inlineStr">
        <is>
          <t>Not Run</t>
        </is>
      </c>
      <c r="L2394" s="16" t="inlineStr">
        <is>
          <t>Low</t>
        </is>
      </c>
      <c r="M2394" s="16" t="inlineStr"/>
      <c r="N2394" s="16" t="inlineStr"/>
      <c r="O2394" s="16" t="inlineStr"/>
    </row>
    <row r="2395" ht="72" customHeight="1">
      <c r="A2395" s="16" t="inlineStr">
        <is>
          <t>TC-RE-0055</t>
        </is>
      </c>
      <c r="B2395" s="16" t="inlineStr">
        <is>
          <t>Request Editor</t>
        </is>
      </c>
      <c r="C2395" s="16" t="inlineStr">
        <is>
          <t>Params Matrix</t>
        </is>
      </c>
      <c r="D2395" s="16" t="inlineStr">
        <is>
          <t>Functional</t>
        </is>
      </c>
      <c r="E2395" s="16" t="inlineStr">
        <is>
          <t>Query params: Empty value on PUT</t>
        </is>
      </c>
      <c r="F2395" s="16" t="inlineStr">
        <is>
          <t>-</t>
        </is>
      </c>
      <c r="G2395" s="16" t="inlineStr">
        <is>
          <t>1. Build request with params: a=.
2. Send PUT.</t>
        </is>
      </c>
      <c r="H2395" s="16" t="inlineStr">
        <is>
          <t>method=PUT params=Empty value</t>
        </is>
      </c>
      <c r="I2395" s="16" t="inlineStr">
        <is>
          <t>Sent as a=. Verified on PUT.</t>
        </is>
      </c>
      <c r="J2395" s="16" t="inlineStr"/>
      <c r="K2395" s="16" t="inlineStr">
        <is>
          <t>Not Run</t>
        </is>
      </c>
      <c r="L2395" s="16" t="inlineStr">
        <is>
          <t>Low</t>
        </is>
      </c>
      <c r="M2395" s="16" t="inlineStr"/>
      <c r="N2395" s="16" t="inlineStr"/>
      <c r="O2395" s="16" t="inlineStr"/>
    </row>
    <row r="2396" ht="72" customHeight="1">
      <c r="A2396" s="16" t="inlineStr">
        <is>
          <t>TC-RE-0056</t>
        </is>
      </c>
      <c r="B2396" s="16" t="inlineStr">
        <is>
          <t>Request Editor</t>
        </is>
      </c>
      <c r="C2396" s="16" t="inlineStr">
        <is>
          <t>Params Matrix</t>
        </is>
      </c>
      <c r="D2396" s="16" t="inlineStr">
        <is>
          <t>Functional</t>
        </is>
      </c>
      <c r="E2396" s="16" t="inlineStr">
        <is>
          <t>Query params: Reserved chars in value on PUT</t>
        </is>
      </c>
      <c r="F2396" s="16" t="inlineStr">
        <is>
          <t>-</t>
        </is>
      </c>
      <c r="G2396" s="16" t="inlineStr">
        <is>
          <t>1. Build request with params: q=a&amp;b=c.
2. Send PUT.</t>
        </is>
      </c>
      <c r="H2396" s="16" t="inlineStr">
        <is>
          <t>method=PUT params=Reserved chars in value</t>
        </is>
      </c>
      <c r="I2396" s="16" t="inlineStr">
        <is>
          <t>Encoded as a%26b%3Dc. Verified on PUT.</t>
        </is>
      </c>
      <c r="J2396" s="16" t="inlineStr"/>
      <c r="K2396" s="16" t="inlineStr">
        <is>
          <t>Not Run</t>
        </is>
      </c>
      <c r="L2396" s="16" t="inlineStr">
        <is>
          <t>Low</t>
        </is>
      </c>
      <c r="M2396" s="16" t="inlineStr"/>
      <c r="N2396" s="16" t="inlineStr"/>
      <c r="O2396" s="16" t="inlineStr"/>
    </row>
    <row r="2397" ht="72" customHeight="1">
      <c r="A2397" s="16" t="inlineStr">
        <is>
          <t>TC-RE-0057</t>
        </is>
      </c>
      <c r="B2397" s="16" t="inlineStr">
        <is>
          <t>Request Editor</t>
        </is>
      </c>
      <c r="C2397" s="16" t="inlineStr">
        <is>
          <t>Params Matrix</t>
        </is>
      </c>
      <c r="D2397" s="16" t="inlineStr">
        <is>
          <t>Functional</t>
        </is>
      </c>
      <c r="E2397" s="16" t="inlineStr">
        <is>
          <t>Query params: Disabled row on PUT</t>
        </is>
      </c>
      <c r="F2397" s="16" t="inlineStr">
        <is>
          <t>-</t>
        </is>
      </c>
      <c r="G2397" s="16" t="inlineStr">
        <is>
          <t>1. Build request with params: a=1 disabled, b=2.
2. Send PUT.</t>
        </is>
      </c>
      <c r="H2397" s="16" t="inlineStr">
        <is>
          <t>method=PUT params=Disabled row</t>
        </is>
      </c>
      <c r="I2397" s="16" t="inlineStr">
        <is>
          <t>Only b=2 sent. Verified on PUT.</t>
        </is>
      </c>
      <c r="J2397" s="16" t="inlineStr"/>
      <c r="K2397" s="16" t="inlineStr">
        <is>
          <t>Not Run</t>
        </is>
      </c>
      <c r="L2397" s="16" t="inlineStr">
        <is>
          <t>Low</t>
        </is>
      </c>
      <c r="M2397" s="16" t="inlineStr"/>
      <c r="N2397" s="16" t="inlineStr"/>
      <c r="O2397" s="16" t="inlineStr"/>
    </row>
    <row r="2398" ht="72" customHeight="1">
      <c r="A2398" s="16" t="inlineStr">
        <is>
          <t>TC-RE-0058</t>
        </is>
      </c>
      <c r="B2398" s="16" t="inlineStr">
        <is>
          <t>Request Editor</t>
        </is>
      </c>
      <c r="C2398" s="16" t="inlineStr">
        <is>
          <t>Params Matrix</t>
        </is>
      </c>
      <c r="D2398" s="16" t="inlineStr">
        <is>
          <t>Functional</t>
        </is>
      </c>
      <c r="E2398" s="16" t="inlineStr">
        <is>
          <t>Query params: Variable in value on PUT</t>
        </is>
      </c>
      <c r="F2398" s="16" t="inlineStr">
        <is>
          <t>-</t>
        </is>
      </c>
      <c r="G2398" s="16" t="inlineStr">
        <is>
          <t>1. Build request with params: q={{search}}.
2. Send PUT.</t>
        </is>
      </c>
      <c r="H2398" s="16" t="inlineStr">
        <is>
          <t>method=PUT params=Variable in value</t>
        </is>
      </c>
      <c r="I2398" s="16" t="inlineStr">
        <is>
          <t>Resolved value transmitted. Verified on PUT.</t>
        </is>
      </c>
      <c r="J2398" s="16" t="inlineStr"/>
      <c r="K2398" s="16" t="inlineStr">
        <is>
          <t>Not Run</t>
        </is>
      </c>
      <c r="L2398" s="16" t="inlineStr">
        <is>
          <t>Low</t>
        </is>
      </c>
      <c r="M2398" s="16" t="inlineStr"/>
      <c r="N2398" s="16" t="inlineStr"/>
      <c r="O2398" s="16" t="inlineStr"/>
    </row>
    <row r="2399" ht="72" customHeight="1">
      <c r="A2399" s="16" t="inlineStr">
        <is>
          <t>TC-RE-0059</t>
        </is>
      </c>
      <c r="B2399" s="16" t="inlineStr">
        <is>
          <t>Request Editor</t>
        </is>
      </c>
      <c r="C2399" s="16" t="inlineStr">
        <is>
          <t>Params Matrix</t>
        </is>
      </c>
      <c r="D2399" s="16" t="inlineStr">
        <is>
          <t>Functional</t>
        </is>
      </c>
      <c r="E2399" s="16" t="inlineStr">
        <is>
          <t>Query params: Path with query already on PUT</t>
        </is>
      </c>
      <c r="F2399" s="16" t="inlineStr">
        <is>
          <t>-</t>
        </is>
      </c>
      <c r="G2399" s="16" t="inlineStr">
        <is>
          <t>1. Build request with params: URL?x=1; add y=2.
2. Send PUT.</t>
        </is>
      </c>
      <c r="H2399" s="16" t="inlineStr">
        <is>
          <t>method=PUT params=Path with query already</t>
        </is>
      </c>
      <c r="I2399" s="16" t="inlineStr">
        <is>
          <t>?x=1&amp;y=2. Verified on PUT.</t>
        </is>
      </c>
      <c r="J2399" s="16" t="inlineStr"/>
      <c r="K2399" s="16" t="inlineStr">
        <is>
          <t>Not Run</t>
        </is>
      </c>
      <c r="L2399" s="16" t="inlineStr">
        <is>
          <t>Low</t>
        </is>
      </c>
      <c r="M2399" s="16" t="inlineStr"/>
      <c r="N2399" s="16" t="inlineStr"/>
      <c r="O2399" s="16" t="inlineStr"/>
    </row>
    <row r="2400" ht="72" customHeight="1">
      <c r="A2400" s="16" t="inlineStr">
        <is>
          <t>TC-RE-0060</t>
        </is>
      </c>
      <c r="B2400" s="16" t="inlineStr">
        <is>
          <t>Request Editor</t>
        </is>
      </c>
      <c r="C2400" s="16" t="inlineStr">
        <is>
          <t>Params Matrix</t>
        </is>
      </c>
      <c r="D2400" s="16" t="inlineStr">
        <is>
          <t>Functional</t>
        </is>
      </c>
      <c r="E2400" s="16" t="inlineStr">
        <is>
          <t>Query params: Long param value (4KB) on PUT</t>
        </is>
      </c>
      <c r="F2400" s="16" t="inlineStr">
        <is>
          <t>-</t>
        </is>
      </c>
      <c r="G2400" s="16" t="inlineStr">
        <is>
          <t>1. Build request with params: q=&lt;4KB&gt;.
2. Send PUT.</t>
        </is>
      </c>
      <c r="H2400" s="16" t="inlineStr">
        <is>
          <t>method=PUT params=Long param value (4KB)</t>
        </is>
      </c>
      <c r="I2400" s="16" t="inlineStr">
        <is>
          <t>Sent; may be rejected by server. Verified on PUT.</t>
        </is>
      </c>
      <c r="J2400" s="16" t="inlineStr"/>
      <c r="K2400" s="16" t="inlineStr">
        <is>
          <t>Not Run</t>
        </is>
      </c>
      <c r="L2400" s="16" t="inlineStr">
        <is>
          <t>Low</t>
        </is>
      </c>
      <c r="M2400" s="16" t="inlineStr"/>
      <c r="N2400" s="16" t="inlineStr"/>
      <c r="O2400" s="16" t="inlineStr"/>
    </row>
    <row r="2401" ht="72" customHeight="1">
      <c r="A2401" s="16" t="inlineStr">
        <is>
          <t>TC-RE-0061</t>
        </is>
      </c>
      <c r="B2401" s="16" t="inlineStr">
        <is>
          <t>Request Editor</t>
        </is>
      </c>
      <c r="C2401" s="16" t="inlineStr">
        <is>
          <t>Params Matrix</t>
        </is>
      </c>
      <c r="D2401" s="16" t="inlineStr">
        <is>
          <t>Functional</t>
        </is>
      </c>
      <c r="E2401" s="16" t="inlineStr">
        <is>
          <t>Query params: Null value (treat as empty) on PUT</t>
        </is>
      </c>
      <c r="F2401" s="16" t="inlineStr">
        <is>
          <t>-</t>
        </is>
      </c>
      <c r="G2401" s="16" t="inlineStr">
        <is>
          <t>1. Build request with params: a=null literal.
2. Send PUT.</t>
        </is>
      </c>
      <c r="H2401" s="16" t="inlineStr">
        <is>
          <t>method=PUT params=Null value (treat as empty)</t>
        </is>
      </c>
      <c r="I2401" s="16" t="inlineStr">
        <is>
          <t>Sent as 'null' string. Verified on PUT.</t>
        </is>
      </c>
      <c r="J2401" s="16" t="inlineStr"/>
      <c r="K2401" s="16" t="inlineStr">
        <is>
          <t>Not Run</t>
        </is>
      </c>
      <c r="L2401" s="16" t="inlineStr">
        <is>
          <t>Low</t>
        </is>
      </c>
      <c r="M2401" s="16" t="inlineStr"/>
      <c r="N2401" s="16" t="inlineStr"/>
      <c r="O2401" s="16" t="inlineStr"/>
    </row>
    <row r="2402" ht="72" customHeight="1">
      <c r="A2402" s="16" t="inlineStr">
        <is>
          <t>TC-RE-0062</t>
        </is>
      </c>
      <c r="B2402" s="16" t="inlineStr">
        <is>
          <t>Request Editor</t>
        </is>
      </c>
      <c r="C2402" s="16" t="inlineStr">
        <is>
          <t>Params Matrix</t>
        </is>
      </c>
      <c r="D2402" s="16" t="inlineStr">
        <is>
          <t>Functional</t>
        </is>
      </c>
      <c r="E2402" s="16" t="inlineStr">
        <is>
          <t>Query params: Boolean-ish value on PUT</t>
        </is>
      </c>
      <c r="F2402" s="16" t="inlineStr">
        <is>
          <t>-</t>
        </is>
      </c>
      <c r="G2402" s="16" t="inlineStr">
        <is>
          <t>1. Build request with params: active=true.
2. Send PUT.</t>
        </is>
      </c>
      <c r="H2402" s="16" t="inlineStr">
        <is>
          <t>method=PUT params=Boolean-ish value</t>
        </is>
      </c>
      <c r="I2402" s="16" t="inlineStr">
        <is>
          <t>Sent verbatim 'true'. Verified on PUT.</t>
        </is>
      </c>
      <c r="J2402" s="16" t="inlineStr"/>
      <c r="K2402" s="16" t="inlineStr">
        <is>
          <t>Not Run</t>
        </is>
      </c>
      <c r="L2402" s="16" t="inlineStr">
        <is>
          <t>Low</t>
        </is>
      </c>
      <c r="M2402" s="16" t="inlineStr"/>
      <c r="N2402" s="16" t="inlineStr"/>
      <c r="O2402" s="16" t="inlineStr"/>
    </row>
    <row r="2403" ht="72" customHeight="1">
      <c r="A2403" s="16" t="inlineStr">
        <is>
          <t>TC-RE-0063</t>
        </is>
      </c>
      <c r="B2403" s="16" t="inlineStr">
        <is>
          <t>Request Editor</t>
        </is>
      </c>
      <c r="C2403" s="16" t="inlineStr">
        <is>
          <t>Params Matrix</t>
        </is>
      </c>
      <c r="D2403" s="16" t="inlineStr">
        <is>
          <t>Functional</t>
        </is>
      </c>
      <c r="E2403" s="16" t="inlineStr">
        <is>
          <t>Query params: Single param on PATCH</t>
        </is>
      </c>
      <c r="F2403" s="16" t="inlineStr">
        <is>
          <t>-</t>
        </is>
      </c>
      <c r="G2403" s="16" t="inlineStr">
        <is>
          <t>1. Build request with params: name=alice.
2. Send PATCH.</t>
        </is>
      </c>
      <c r="H2403" s="16" t="inlineStr">
        <is>
          <t>method=PATCH params=Single param</t>
        </is>
      </c>
      <c r="I2403" s="16" t="inlineStr">
        <is>
          <t>Echo confirms ?name=alice. Verified on PATCH.</t>
        </is>
      </c>
      <c r="J2403" s="16" t="inlineStr"/>
      <c r="K2403" s="16" t="inlineStr">
        <is>
          <t>Not Run</t>
        </is>
      </c>
      <c r="L2403" s="16" t="inlineStr">
        <is>
          <t>Medium</t>
        </is>
      </c>
      <c r="M2403" s="16" t="inlineStr"/>
      <c r="N2403" s="16" t="inlineStr"/>
      <c r="O2403" s="16" t="inlineStr"/>
    </row>
    <row r="2404" ht="72" customHeight="1">
      <c r="A2404" s="16" t="inlineStr">
        <is>
          <t>TC-RE-0064</t>
        </is>
      </c>
      <c r="B2404" s="16" t="inlineStr">
        <is>
          <t>Request Editor</t>
        </is>
      </c>
      <c r="C2404" s="16" t="inlineStr">
        <is>
          <t>Params Matrix</t>
        </is>
      </c>
      <c r="D2404" s="16" t="inlineStr">
        <is>
          <t>Functional</t>
        </is>
      </c>
      <c r="E2404" s="16" t="inlineStr">
        <is>
          <t>Query params: Multiple params on PATCH</t>
        </is>
      </c>
      <c r="F2404" s="16" t="inlineStr">
        <is>
          <t>-</t>
        </is>
      </c>
      <c r="G2404" s="16" t="inlineStr">
        <is>
          <t>1. Build request with params: a=1, b=2, c=3.
2. Send PATCH.</t>
        </is>
      </c>
      <c r="H2404" s="16" t="inlineStr">
        <is>
          <t>method=PATCH params=Multiple params</t>
        </is>
      </c>
      <c r="I2404" s="16" t="inlineStr">
        <is>
          <t>All in URL. Verified on PATCH.</t>
        </is>
      </c>
      <c r="J2404" s="16" t="inlineStr"/>
      <c r="K2404" s="16" t="inlineStr">
        <is>
          <t>Not Run</t>
        </is>
      </c>
      <c r="L2404" s="16" t="inlineStr">
        <is>
          <t>Medium</t>
        </is>
      </c>
      <c r="M2404" s="16" t="inlineStr"/>
      <c r="N2404" s="16" t="inlineStr"/>
      <c r="O2404" s="16" t="inlineStr"/>
    </row>
    <row r="2405" ht="72" customHeight="1">
      <c r="A2405" s="16" t="inlineStr">
        <is>
          <t>TC-RE-0065</t>
        </is>
      </c>
      <c r="B2405" s="16" t="inlineStr">
        <is>
          <t>Request Editor</t>
        </is>
      </c>
      <c r="C2405" s="16" t="inlineStr">
        <is>
          <t>Params Matrix</t>
        </is>
      </c>
      <c r="D2405" s="16" t="inlineStr">
        <is>
          <t>Functional</t>
        </is>
      </c>
      <c r="E2405" s="16" t="inlineStr">
        <is>
          <t>Query params: Duplicate keys on PATCH</t>
        </is>
      </c>
      <c r="F2405" s="16" t="inlineStr">
        <is>
          <t>-</t>
        </is>
      </c>
      <c r="G2405" s="16" t="inlineStr">
        <is>
          <t>1. Build request with params: foo=1, foo=2.
2. Send PATCH.</t>
        </is>
      </c>
      <c r="H2405" s="16" t="inlineStr">
        <is>
          <t>method=PATCH params=Duplicate keys</t>
        </is>
      </c>
      <c r="I2405" s="16" t="inlineStr">
        <is>
          <t>Both sent. Verified on PATCH.</t>
        </is>
      </c>
      <c r="J2405" s="16" t="inlineStr"/>
      <c r="K2405" s="16" t="inlineStr">
        <is>
          <t>Not Run</t>
        </is>
      </c>
      <c r="L2405" s="16" t="inlineStr">
        <is>
          <t>Low</t>
        </is>
      </c>
      <c r="M2405" s="16" t="inlineStr"/>
      <c r="N2405" s="16" t="inlineStr"/>
      <c r="O2405" s="16" t="inlineStr"/>
    </row>
    <row r="2406" ht="72" customHeight="1">
      <c r="A2406" s="16" t="inlineStr">
        <is>
          <t>TC-RE-0066</t>
        </is>
      </c>
      <c r="B2406" s="16" t="inlineStr">
        <is>
          <t>Request Editor</t>
        </is>
      </c>
      <c r="C2406" s="16" t="inlineStr">
        <is>
          <t>Params Matrix</t>
        </is>
      </c>
      <c r="D2406" s="16" t="inlineStr">
        <is>
          <t>Functional</t>
        </is>
      </c>
      <c r="E2406" s="16" t="inlineStr">
        <is>
          <t>Query params: Unicode value on PATCH</t>
        </is>
      </c>
      <c r="F2406" s="16" t="inlineStr">
        <is>
          <t>-</t>
        </is>
      </c>
      <c r="G2406" s="16" t="inlineStr">
        <is>
          <t>1. Build request with params: q=测试.
2. Send PATCH.</t>
        </is>
      </c>
      <c r="H2406" s="16" t="inlineStr">
        <is>
          <t>method=PATCH params=Unicode value</t>
        </is>
      </c>
      <c r="I2406" s="16" t="inlineStr">
        <is>
          <t>Percent-encoded; server confirms. Verified on PATCH.</t>
        </is>
      </c>
      <c r="J2406" s="16" t="inlineStr"/>
      <c r="K2406" s="16" t="inlineStr">
        <is>
          <t>Not Run</t>
        </is>
      </c>
      <c r="L2406" s="16" t="inlineStr">
        <is>
          <t>Low</t>
        </is>
      </c>
      <c r="M2406" s="16" t="inlineStr"/>
      <c r="N2406" s="16" t="inlineStr"/>
      <c r="O2406" s="16" t="inlineStr"/>
    </row>
    <row r="2407" ht="72" customHeight="1">
      <c r="A2407" s="16" t="inlineStr">
        <is>
          <t>TC-RE-0067</t>
        </is>
      </c>
      <c r="B2407" s="16" t="inlineStr">
        <is>
          <t>Request Editor</t>
        </is>
      </c>
      <c r="C2407" s="16" t="inlineStr">
        <is>
          <t>Params Matrix</t>
        </is>
      </c>
      <c r="D2407" s="16" t="inlineStr">
        <is>
          <t>Functional</t>
        </is>
      </c>
      <c r="E2407" s="16" t="inlineStr">
        <is>
          <t>Query params: Empty value on PATCH</t>
        </is>
      </c>
      <c r="F2407" s="16" t="inlineStr">
        <is>
          <t>-</t>
        </is>
      </c>
      <c r="G2407" s="16" t="inlineStr">
        <is>
          <t>1. Build request with params: a=.
2. Send PATCH.</t>
        </is>
      </c>
      <c r="H2407" s="16" t="inlineStr">
        <is>
          <t>method=PATCH params=Empty value</t>
        </is>
      </c>
      <c r="I2407" s="16" t="inlineStr">
        <is>
          <t>Sent as a=. Verified on PATCH.</t>
        </is>
      </c>
      <c r="J2407" s="16" t="inlineStr"/>
      <c r="K2407" s="16" t="inlineStr">
        <is>
          <t>Not Run</t>
        </is>
      </c>
      <c r="L2407" s="16" t="inlineStr">
        <is>
          <t>Low</t>
        </is>
      </c>
      <c r="M2407" s="16" t="inlineStr"/>
      <c r="N2407" s="16" t="inlineStr"/>
      <c r="O2407" s="16" t="inlineStr"/>
    </row>
    <row r="2408" ht="72" customHeight="1">
      <c r="A2408" s="16" t="inlineStr">
        <is>
          <t>TC-RE-0068</t>
        </is>
      </c>
      <c r="B2408" s="16" t="inlineStr">
        <is>
          <t>Request Editor</t>
        </is>
      </c>
      <c r="C2408" s="16" t="inlineStr">
        <is>
          <t>Params Matrix</t>
        </is>
      </c>
      <c r="D2408" s="16" t="inlineStr">
        <is>
          <t>Functional</t>
        </is>
      </c>
      <c r="E2408" s="16" t="inlineStr">
        <is>
          <t>Query params: Reserved chars in value on PATCH</t>
        </is>
      </c>
      <c r="F2408" s="16" t="inlineStr">
        <is>
          <t>-</t>
        </is>
      </c>
      <c r="G2408" s="16" t="inlineStr">
        <is>
          <t>1. Build request with params: q=a&amp;b=c.
2. Send PATCH.</t>
        </is>
      </c>
      <c r="H2408" s="16" t="inlineStr">
        <is>
          <t>method=PATCH params=Reserved chars in value</t>
        </is>
      </c>
      <c r="I2408" s="16" t="inlineStr">
        <is>
          <t>Encoded as a%26b%3Dc. Verified on PATCH.</t>
        </is>
      </c>
      <c r="J2408" s="16" t="inlineStr"/>
      <c r="K2408" s="16" t="inlineStr">
        <is>
          <t>Not Run</t>
        </is>
      </c>
      <c r="L2408" s="16" t="inlineStr">
        <is>
          <t>Low</t>
        </is>
      </c>
      <c r="M2408" s="16" t="inlineStr"/>
      <c r="N2408" s="16" t="inlineStr"/>
      <c r="O2408" s="16" t="inlineStr"/>
    </row>
    <row r="2409" ht="72" customHeight="1">
      <c r="A2409" s="16" t="inlineStr">
        <is>
          <t>TC-RE-0069</t>
        </is>
      </c>
      <c r="B2409" s="16" t="inlineStr">
        <is>
          <t>Request Editor</t>
        </is>
      </c>
      <c r="C2409" s="16" t="inlineStr">
        <is>
          <t>Params Matrix</t>
        </is>
      </c>
      <c r="D2409" s="16" t="inlineStr">
        <is>
          <t>Functional</t>
        </is>
      </c>
      <c r="E2409" s="16" t="inlineStr">
        <is>
          <t>Query params: Disabled row on PATCH</t>
        </is>
      </c>
      <c r="F2409" s="16" t="inlineStr">
        <is>
          <t>-</t>
        </is>
      </c>
      <c r="G2409" s="16" t="inlineStr">
        <is>
          <t>1. Build request with params: a=1 disabled, b=2.
2. Send PATCH.</t>
        </is>
      </c>
      <c r="H2409" s="16" t="inlineStr">
        <is>
          <t>method=PATCH params=Disabled row</t>
        </is>
      </c>
      <c r="I2409" s="16" t="inlineStr">
        <is>
          <t>Only b=2 sent. Verified on PATCH.</t>
        </is>
      </c>
      <c r="J2409" s="16" t="inlineStr"/>
      <c r="K2409" s="16" t="inlineStr">
        <is>
          <t>Not Run</t>
        </is>
      </c>
      <c r="L2409" s="16" t="inlineStr">
        <is>
          <t>Low</t>
        </is>
      </c>
      <c r="M2409" s="16" t="inlineStr"/>
      <c r="N2409" s="16" t="inlineStr"/>
      <c r="O2409" s="16" t="inlineStr"/>
    </row>
    <row r="2410" ht="72" customHeight="1">
      <c r="A2410" s="16" t="inlineStr">
        <is>
          <t>TC-RE-0070</t>
        </is>
      </c>
      <c r="B2410" s="16" t="inlineStr">
        <is>
          <t>Request Editor</t>
        </is>
      </c>
      <c r="C2410" s="16" t="inlineStr">
        <is>
          <t>Params Matrix</t>
        </is>
      </c>
      <c r="D2410" s="16" t="inlineStr">
        <is>
          <t>Functional</t>
        </is>
      </c>
      <c r="E2410" s="16" t="inlineStr">
        <is>
          <t>Query params: Variable in value on PATCH</t>
        </is>
      </c>
      <c r="F2410" s="16" t="inlineStr">
        <is>
          <t>-</t>
        </is>
      </c>
      <c r="G2410" s="16" t="inlineStr">
        <is>
          <t>1. Build request with params: q={{search}}.
2. Send PATCH.</t>
        </is>
      </c>
      <c r="H2410" s="16" t="inlineStr">
        <is>
          <t>method=PATCH params=Variable in value</t>
        </is>
      </c>
      <c r="I2410" s="16" t="inlineStr">
        <is>
          <t>Resolved value transmitted. Verified on PATCH.</t>
        </is>
      </c>
      <c r="J2410" s="16" t="inlineStr"/>
      <c r="K2410" s="16" t="inlineStr">
        <is>
          <t>Not Run</t>
        </is>
      </c>
      <c r="L2410" s="16" t="inlineStr">
        <is>
          <t>Low</t>
        </is>
      </c>
      <c r="M2410" s="16" t="inlineStr"/>
      <c r="N2410" s="16" t="inlineStr"/>
      <c r="O2410" s="16" t="inlineStr"/>
    </row>
    <row r="2411" ht="72" customHeight="1">
      <c r="A2411" s="16" t="inlineStr">
        <is>
          <t>TC-RE-0071</t>
        </is>
      </c>
      <c r="B2411" s="16" t="inlineStr">
        <is>
          <t>Request Editor</t>
        </is>
      </c>
      <c r="C2411" s="16" t="inlineStr">
        <is>
          <t>Params Matrix</t>
        </is>
      </c>
      <c r="D2411" s="16" t="inlineStr">
        <is>
          <t>Functional</t>
        </is>
      </c>
      <c r="E2411" s="16" t="inlineStr">
        <is>
          <t>Query params: Path with query already on PATCH</t>
        </is>
      </c>
      <c r="F2411" s="16" t="inlineStr">
        <is>
          <t>-</t>
        </is>
      </c>
      <c r="G2411" s="16" t="inlineStr">
        <is>
          <t>1. Build request with params: URL?x=1; add y=2.
2. Send PATCH.</t>
        </is>
      </c>
      <c r="H2411" s="16" t="inlineStr">
        <is>
          <t>method=PATCH params=Path with query already</t>
        </is>
      </c>
      <c r="I2411" s="16" t="inlineStr">
        <is>
          <t>?x=1&amp;y=2. Verified on PATCH.</t>
        </is>
      </c>
      <c r="J2411" s="16" t="inlineStr"/>
      <c r="K2411" s="16" t="inlineStr">
        <is>
          <t>Not Run</t>
        </is>
      </c>
      <c r="L2411" s="16" t="inlineStr">
        <is>
          <t>Low</t>
        </is>
      </c>
      <c r="M2411" s="16" t="inlineStr"/>
      <c r="N2411" s="16" t="inlineStr"/>
      <c r="O2411" s="16" t="inlineStr"/>
    </row>
    <row r="2412" ht="72" customHeight="1">
      <c r="A2412" s="16" t="inlineStr">
        <is>
          <t>TC-RE-0072</t>
        </is>
      </c>
      <c r="B2412" s="16" t="inlineStr">
        <is>
          <t>Request Editor</t>
        </is>
      </c>
      <c r="C2412" s="16" t="inlineStr">
        <is>
          <t>Params Matrix</t>
        </is>
      </c>
      <c r="D2412" s="16" t="inlineStr">
        <is>
          <t>Functional</t>
        </is>
      </c>
      <c r="E2412" s="16" t="inlineStr">
        <is>
          <t>Query params: Long param value (4KB) on PATCH</t>
        </is>
      </c>
      <c r="F2412" s="16" t="inlineStr">
        <is>
          <t>-</t>
        </is>
      </c>
      <c r="G2412" s="16" t="inlineStr">
        <is>
          <t>1. Build request with params: q=&lt;4KB&gt;.
2. Send PATCH.</t>
        </is>
      </c>
      <c r="H2412" s="16" t="inlineStr">
        <is>
          <t>method=PATCH params=Long param value (4KB)</t>
        </is>
      </c>
      <c r="I2412" s="16" t="inlineStr">
        <is>
          <t>Sent; may be rejected by server. Verified on PATCH.</t>
        </is>
      </c>
      <c r="J2412" s="16" t="inlineStr"/>
      <c r="K2412" s="16" t="inlineStr">
        <is>
          <t>Not Run</t>
        </is>
      </c>
      <c r="L2412" s="16" t="inlineStr">
        <is>
          <t>Low</t>
        </is>
      </c>
      <c r="M2412" s="16" t="inlineStr"/>
      <c r="N2412" s="16" t="inlineStr"/>
      <c r="O2412" s="16" t="inlineStr"/>
    </row>
    <row r="2413" ht="72" customHeight="1">
      <c r="A2413" s="16" t="inlineStr">
        <is>
          <t>TC-RE-0073</t>
        </is>
      </c>
      <c r="B2413" s="16" t="inlineStr">
        <is>
          <t>Request Editor</t>
        </is>
      </c>
      <c r="C2413" s="16" t="inlineStr">
        <is>
          <t>Params Matrix</t>
        </is>
      </c>
      <c r="D2413" s="16" t="inlineStr">
        <is>
          <t>Functional</t>
        </is>
      </c>
      <c r="E2413" s="16" t="inlineStr">
        <is>
          <t>Query params: Null value (treat as empty) on PATCH</t>
        </is>
      </c>
      <c r="F2413" s="16" t="inlineStr">
        <is>
          <t>-</t>
        </is>
      </c>
      <c r="G2413" s="16" t="inlineStr">
        <is>
          <t>1. Build request with params: a=null literal.
2. Send PATCH.</t>
        </is>
      </c>
      <c r="H2413" s="16" t="inlineStr">
        <is>
          <t>method=PATCH params=Null value (treat as empty)</t>
        </is>
      </c>
      <c r="I2413" s="16" t="inlineStr">
        <is>
          <t>Sent as 'null' string. Verified on PATCH.</t>
        </is>
      </c>
      <c r="J2413" s="16" t="inlineStr"/>
      <c r="K2413" s="16" t="inlineStr">
        <is>
          <t>Not Run</t>
        </is>
      </c>
      <c r="L2413" s="16" t="inlineStr">
        <is>
          <t>Low</t>
        </is>
      </c>
      <c r="M2413" s="16" t="inlineStr"/>
      <c r="N2413" s="16" t="inlineStr"/>
      <c r="O2413" s="16" t="inlineStr"/>
    </row>
    <row r="2414" ht="72" customHeight="1">
      <c r="A2414" s="16" t="inlineStr">
        <is>
          <t>TC-RE-0074</t>
        </is>
      </c>
      <c r="B2414" s="16" t="inlineStr">
        <is>
          <t>Request Editor</t>
        </is>
      </c>
      <c r="C2414" s="16" t="inlineStr">
        <is>
          <t>Params Matrix</t>
        </is>
      </c>
      <c r="D2414" s="16" t="inlineStr">
        <is>
          <t>Functional</t>
        </is>
      </c>
      <c r="E2414" s="16" t="inlineStr">
        <is>
          <t>Query params: Boolean-ish value on PATCH</t>
        </is>
      </c>
      <c r="F2414" s="16" t="inlineStr">
        <is>
          <t>-</t>
        </is>
      </c>
      <c r="G2414" s="16" t="inlineStr">
        <is>
          <t>1. Build request with params: active=true.
2. Send PATCH.</t>
        </is>
      </c>
      <c r="H2414" s="16" t="inlineStr">
        <is>
          <t>method=PATCH params=Boolean-ish value</t>
        </is>
      </c>
      <c r="I2414" s="16" t="inlineStr">
        <is>
          <t>Sent verbatim 'true'. Verified on PATCH.</t>
        </is>
      </c>
      <c r="J2414" s="16" t="inlineStr"/>
      <c r="K2414" s="16" t="inlineStr">
        <is>
          <t>Not Run</t>
        </is>
      </c>
      <c r="L2414" s="16" t="inlineStr">
        <is>
          <t>Low</t>
        </is>
      </c>
      <c r="M2414" s="16" t="inlineStr"/>
      <c r="N2414" s="16" t="inlineStr"/>
      <c r="O2414" s="16" t="inlineStr"/>
    </row>
    <row r="2415" ht="72" customHeight="1">
      <c r="A2415" s="16" t="inlineStr">
        <is>
          <t>TC-RE-0075</t>
        </is>
      </c>
      <c r="B2415" s="16" t="inlineStr">
        <is>
          <t>Request Editor</t>
        </is>
      </c>
      <c r="C2415" s="16" t="inlineStr">
        <is>
          <t>Params Matrix</t>
        </is>
      </c>
      <c r="D2415" s="16" t="inlineStr">
        <is>
          <t>Functional</t>
        </is>
      </c>
      <c r="E2415" s="16" t="inlineStr">
        <is>
          <t>Query params: Single param on DELETE</t>
        </is>
      </c>
      <c r="F2415" s="16" t="inlineStr">
        <is>
          <t>-</t>
        </is>
      </c>
      <c r="G2415" s="16" t="inlineStr">
        <is>
          <t>1. Build request with params: name=alice.
2. Send DELETE.</t>
        </is>
      </c>
      <c r="H2415" s="16" t="inlineStr">
        <is>
          <t>method=DELETE params=Single param</t>
        </is>
      </c>
      <c r="I2415" s="16" t="inlineStr">
        <is>
          <t>Echo confirms ?name=alice. Verified on DELETE.</t>
        </is>
      </c>
      <c r="J2415" s="16" t="inlineStr"/>
      <c r="K2415" s="16" t="inlineStr">
        <is>
          <t>Not Run</t>
        </is>
      </c>
      <c r="L2415" s="16" t="inlineStr">
        <is>
          <t>Medium</t>
        </is>
      </c>
      <c r="M2415" s="16" t="inlineStr"/>
      <c r="N2415" s="16" t="inlineStr"/>
      <c r="O2415" s="16" t="inlineStr"/>
    </row>
    <row r="2416" ht="72" customHeight="1">
      <c r="A2416" s="16" t="inlineStr">
        <is>
          <t>TC-RE-0076</t>
        </is>
      </c>
      <c r="B2416" s="16" t="inlineStr">
        <is>
          <t>Request Editor</t>
        </is>
      </c>
      <c r="C2416" s="16" t="inlineStr">
        <is>
          <t>Params Matrix</t>
        </is>
      </c>
      <c r="D2416" s="16" t="inlineStr">
        <is>
          <t>Functional</t>
        </is>
      </c>
      <c r="E2416" s="16" t="inlineStr">
        <is>
          <t>Query params: Multiple params on DELETE</t>
        </is>
      </c>
      <c r="F2416" s="16" t="inlineStr">
        <is>
          <t>-</t>
        </is>
      </c>
      <c r="G2416" s="16" t="inlineStr">
        <is>
          <t>1. Build request with params: a=1, b=2, c=3.
2. Send DELETE.</t>
        </is>
      </c>
      <c r="H2416" s="16" t="inlineStr">
        <is>
          <t>method=DELETE params=Multiple params</t>
        </is>
      </c>
      <c r="I2416" s="16" t="inlineStr">
        <is>
          <t>All in URL. Verified on DELETE.</t>
        </is>
      </c>
      <c r="J2416" s="16" t="inlineStr"/>
      <c r="K2416" s="16" t="inlineStr">
        <is>
          <t>Not Run</t>
        </is>
      </c>
      <c r="L2416" s="16" t="inlineStr">
        <is>
          <t>Medium</t>
        </is>
      </c>
      <c r="M2416" s="16" t="inlineStr"/>
      <c r="N2416" s="16" t="inlineStr"/>
      <c r="O2416" s="16" t="inlineStr"/>
    </row>
    <row r="2417" ht="72" customHeight="1">
      <c r="A2417" s="16" t="inlineStr">
        <is>
          <t>TC-RE-0077</t>
        </is>
      </c>
      <c r="B2417" s="16" t="inlineStr">
        <is>
          <t>Request Editor</t>
        </is>
      </c>
      <c r="C2417" s="16" t="inlineStr">
        <is>
          <t>Params Matrix</t>
        </is>
      </c>
      <c r="D2417" s="16" t="inlineStr">
        <is>
          <t>Functional</t>
        </is>
      </c>
      <c r="E2417" s="16" t="inlineStr">
        <is>
          <t>Query params: Duplicate keys on DELETE</t>
        </is>
      </c>
      <c r="F2417" s="16" t="inlineStr">
        <is>
          <t>-</t>
        </is>
      </c>
      <c r="G2417" s="16" t="inlineStr">
        <is>
          <t>1. Build request with params: foo=1, foo=2.
2. Send DELETE.</t>
        </is>
      </c>
      <c r="H2417" s="16" t="inlineStr">
        <is>
          <t>method=DELETE params=Duplicate keys</t>
        </is>
      </c>
      <c r="I2417" s="16" t="inlineStr">
        <is>
          <t>Both sent. Verified on DELETE.</t>
        </is>
      </c>
      <c r="J2417" s="16" t="inlineStr"/>
      <c r="K2417" s="16" t="inlineStr">
        <is>
          <t>Not Run</t>
        </is>
      </c>
      <c r="L2417" s="16" t="inlineStr">
        <is>
          <t>Low</t>
        </is>
      </c>
      <c r="M2417" s="16" t="inlineStr"/>
      <c r="N2417" s="16" t="inlineStr"/>
      <c r="O2417" s="16" t="inlineStr"/>
    </row>
    <row r="2418" ht="72" customHeight="1">
      <c r="A2418" s="16" t="inlineStr">
        <is>
          <t>TC-RE-0078</t>
        </is>
      </c>
      <c r="B2418" s="16" t="inlineStr">
        <is>
          <t>Request Editor</t>
        </is>
      </c>
      <c r="C2418" s="16" t="inlineStr">
        <is>
          <t>Params Matrix</t>
        </is>
      </c>
      <c r="D2418" s="16" t="inlineStr">
        <is>
          <t>Functional</t>
        </is>
      </c>
      <c r="E2418" s="16" t="inlineStr">
        <is>
          <t>Query params: Unicode value on DELETE</t>
        </is>
      </c>
      <c r="F2418" s="16" t="inlineStr">
        <is>
          <t>-</t>
        </is>
      </c>
      <c r="G2418" s="16" t="inlineStr">
        <is>
          <t>1. Build request with params: q=测试.
2. Send DELETE.</t>
        </is>
      </c>
      <c r="H2418" s="16" t="inlineStr">
        <is>
          <t>method=DELETE params=Unicode value</t>
        </is>
      </c>
      <c r="I2418" s="16" t="inlineStr">
        <is>
          <t>Percent-encoded; server confirms. Verified on DELETE.</t>
        </is>
      </c>
      <c r="J2418" s="16" t="inlineStr"/>
      <c r="K2418" s="16" t="inlineStr">
        <is>
          <t>Not Run</t>
        </is>
      </c>
      <c r="L2418" s="16" t="inlineStr">
        <is>
          <t>Low</t>
        </is>
      </c>
      <c r="M2418" s="16" t="inlineStr"/>
      <c r="N2418" s="16" t="inlineStr"/>
      <c r="O2418" s="16" t="inlineStr"/>
    </row>
    <row r="2419" ht="72" customHeight="1">
      <c r="A2419" s="16" t="inlineStr">
        <is>
          <t>TC-RE-0079</t>
        </is>
      </c>
      <c r="B2419" s="16" t="inlineStr">
        <is>
          <t>Request Editor</t>
        </is>
      </c>
      <c r="C2419" s="16" t="inlineStr">
        <is>
          <t>Params Matrix</t>
        </is>
      </c>
      <c r="D2419" s="16" t="inlineStr">
        <is>
          <t>Functional</t>
        </is>
      </c>
      <c r="E2419" s="16" t="inlineStr">
        <is>
          <t>Query params: Empty value on DELETE</t>
        </is>
      </c>
      <c r="F2419" s="16" t="inlineStr">
        <is>
          <t>-</t>
        </is>
      </c>
      <c r="G2419" s="16" t="inlineStr">
        <is>
          <t>1. Build request with params: a=.
2. Send DELETE.</t>
        </is>
      </c>
      <c r="H2419" s="16" t="inlineStr">
        <is>
          <t>method=DELETE params=Empty value</t>
        </is>
      </c>
      <c r="I2419" s="16" t="inlineStr">
        <is>
          <t>Sent as a=. Verified on DELETE.</t>
        </is>
      </c>
      <c r="J2419" s="16" t="inlineStr"/>
      <c r="K2419" s="16" t="inlineStr">
        <is>
          <t>Not Run</t>
        </is>
      </c>
      <c r="L2419" s="16" t="inlineStr">
        <is>
          <t>Low</t>
        </is>
      </c>
      <c r="M2419" s="16" t="inlineStr"/>
      <c r="N2419" s="16" t="inlineStr"/>
      <c r="O2419" s="16" t="inlineStr"/>
    </row>
    <row r="2420" ht="72" customHeight="1">
      <c r="A2420" s="16" t="inlineStr">
        <is>
          <t>TC-RE-0080</t>
        </is>
      </c>
      <c r="B2420" s="16" t="inlineStr">
        <is>
          <t>Request Editor</t>
        </is>
      </c>
      <c r="C2420" s="16" t="inlineStr">
        <is>
          <t>Params Matrix</t>
        </is>
      </c>
      <c r="D2420" s="16" t="inlineStr">
        <is>
          <t>Functional</t>
        </is>
      </c>
      <c r="E2420" s="16" t="inlineStr">
        <is>
          <t>Query params: Reserved chars in value on DELETE</t>
        </is>
      </c>
      <c r="F2420" s="16" t="inlineStr">
        <is>
          <t>-</t>
        </is>
      </c>
      <c r="G2420" s="16" t="inlineStr">
        <is>
          <t>1. Build request with params: q=a&amp;b=c.
2. Send DELETE.</t>
        </is>
      </c>
      <c r="H2420" s="16" t="inlineStr">
        <is>
          <t>method=DELETE params=Reserved chars in value</t>
        </is>
      </c>
      <c r="I2420" s="16" t="inlineStr">
        <is>
          <t>Encoded as a%26b%3Dc. Verified on DELETE.</t>
        </is>
      </c>
      <c r="J2420" s="16" t="inlineStr"/>
      <c r="K2420" s="16" t="inlineStr">
        <is>
          <t>Not Run</t>
        </is>
      </c>
      <c r="L2420" s="16" t="inlineStr">
        <is>
          <t>Low</t>
        </is>
      </c>
      <c r="M2420" s="16" t="inlineStr"/>
      <c r="N2420" s="16" t="inlineStr"/>
      <c r="O2420" s="16" t="inlineStr"/>
    </row>
    <row r="2421" ht="72" customHeight="1">
      <c r="A2421" s="16" t="inlineStr">
        <is>
          <t>TC-RE-0081</t>
        </is>
      </c>
      <c r="B2421" s="16" t="inlineStr">
        <is>
          <t>Request Editor</t>
        </is>
      </c>
      <c r="C2421" s="16" t="inlineStr">
        <is>
          <t>Params Matrix</t>
        </is>
      </c>
      <c r="D2421" s="16" t="inlineStr">
        <is>
          <t>Functional</t>
        </is>
      </c>
      <c r="E2421" s="16" t="inlineStr">
        <is>
          <t>Query params: Disabled row on DELETE</t>
        </is>
      </c>
      <c r="F2421" s="16" t="inlineStr">
        <is>
          <t>-</t>
        </is>
      </c>
      <c r="G2421" s="16" t="inlineStr">
        <is>
          <t>1. Build request with params: a=1 disabled, b=2.
2. Send DELETE.</t>
        </is>
      </c>
      <c r="H2421" s="16" t="inlineStr">
        <is>
          <t>method=DELETE params=Disabled row</t>
        </is>
      </c>
      <c r="I2421" s="16" t="inlineStr">
        <is>
          <t>Only b=2 sent. Verified on DELETE.</t>
        </is>
      </c>
      <c r="J2421" s="16" t="inlineStr"/>
      <c r="K2421" s="16" t="inlineStr">
        <is>
          <t>Not Run</t>
        </is>
      </c>
      <c r="L2421" s="16" t="inlineStr">
        <is>
          <t>Low</t>
        </is>
      </c>
      <c r="M2421" s="16" t="inlineStr"/>
      <c r="N2421" s="16" t="inlineStr"/>
      <c r="O2421" s="16" t="inlineStr"/>
    </row>
    <row r="2422" ht="72" customHeight="1">
      <c r="A2422" s="16" t="inlineStr">
        <is>
          <t>TC-RE-0082</t>
        </is>
      </c>
      <c r="B2422" s="16" t="inlineStr">
        <is>
          <t>Request Editor</t>
        </is>
      </c>
      <c r="C2422" s="16" t="inlineStr">
        <is>
          <t>Params Matrix</t>
        </is>
      </c>
      <c r="D2422" s="16" t="inlineStr">
        <is>
          <t>Functional</t>
        </is>
      </c>
      <c r="E2422" s="16" t="inlineStr">
        <is>
          <t>Query params: Variable in value on DELETE</t>
        </is>
      </c>
      <c r="F2422" s="16" t="inlineStr">
        <is>
          <t>-</t>
        </is>
      </c>
      <c r="G2422" s="16" t="inlineStr">
        <is>
          <t>1. Build request with params: q={{search}}.
2. Send DELETE.</t>
        </is>
      </c>
      <c r="H2422" s="16" t="inlineStr">
        <is>
          <t>method=DELETE params=Variable in value</t>
        </is>
      </c>
      <c r="I2422" s="16" t="inlineStr">
        <is>
          <t>Resolved value transmitted. Verified on DELETE.</t>
        </is>
      </c>
      <c r="J2422" s="16" t="inlineStr"/>
      <c r="K2422" s="16" t="inlineStr">
        <is>
          <t>Not Run</t>
        </is>
      </c>
      <c r="L2422" s="16" t="inlineStr">
        <is>
          <t>Low</t>
        </is>
      </c>
      <c r="M2422" s="16" t="inlineStr"/>
      <c r="N2422" s="16" t="inlineStr"/>
      <c r="O2422" s="16" t="inlineStr"/>
    </row>
    <row r="2423" ht="72" customHeight="1">
      <c r="A2423" s="16" t="inlineStr">
        <is>
          <t>TC-RE-0083</t>
        </is>
      </c>
      <c r="B2423" s="16" t="inlineStr">
        <is>
          <t>Request Editor</t>
        </is>
      </c>
      <c r="C2423" s="16" t="inlineStr">
        <is>
          <t>Params Matrix</t>
        </is>
      </c>
      <c r="D2423" s="16" t="inlineStr">
        <is>
          <t>Functional</t>
        </is>
      </c>
      <c r="E2423" s="16" t="inlineStr">
        <is>
          <t>Query params: Path with query already on DELETE</t>
        </is>
      </c>
      <c r="F2423" s="16" t="inlineStr">
        <is>
          <t>-</t>
        </is>
      </c>
      <c r="G2423" s="16" t="inlineStr">
        <is>
          <t>1. Build request with params: URL?x=1; add y=2.
2. Send DELETE.</t>
        </is>
      </c>
      <c r="H2423" s="16" t="inlineStr">
        <is>
          <t>method=DELETE params=Path with query already</t>
        </is>
      </c>
      <c r="I2423" s="16" t="inlineStr">
        <is>
          <t>?x=1&amp;y=2. Verified on DELETE.</t>
        </is>
      </c>
      <c r="J2423" s="16" t="inlineStr"/>
      <c r="K2423" s="16" t="inlineStr">
        <is>
          <t>Not Run</t>
        </is>
      </c>
      <c r="L2423" s="16" t="inlineStr">
        <is>
          <t>Low</t>
        </is>
      </c>
      <c r="M2423" s="16" t="inlineStr"/>
      <c r="N2423" s="16" t="inlineStr"/>
      <c r="O2423" s="16" t="inlineStr"/>
    </row>
    <row r="2424" ht="72" customHeight="1">
      <c r="A2424" s="16" t="inlineStr">
        <is>
          <t>TC-RE-0084</t>
        </is>
      </c>
      <c r="B2424" s="16" t="inlineStr">
        <is>
          <t>Request Editor</t>
        </is>
      </c>
      <c r="C2424" s="16" t="inlineStr">
        <is>
          <t>Params Matrix</t>
        </is>
      </c>
      <c r="D2424" s="16" t="inlineStr">
        <is>
          <t>Functional</t>
        </is>
      </c>
      <c r="E2424" s="16" t="inlineStr">
        <is>
          <t>Query params: Long param value (4KB) on DELETE</t>
        </is>
      </c>
      <c r="F2424" s="16" t="inlineStr">
        <is>
          <t>-</t>
        </is>
      </c>
      <c r="G2424" s="16" t="inlineStr">
        <is>
          <t>1. Build request with params: q=&lt;4KB&gt;.
2. Send DELETE.</t>
        </is>
      </c>
      <c r="H2424" s="16" t="inlineStr">
        <is>
          <t>method=DELETE params=Long param value (4KB)</t>
        </is>
      </c>
      <c r="I2424" s="16" t="inlineStr">
        <is>
          <t>Sent; may be rejected by server. Verified on DELETE.</t>
        </is>
      </c>
      <c r="J2424" s="16" t="inlineStr"/>
      <c r="K2424" s="16" t="inlineStr">
        <is>
          <t>Not Run</t>
        </is>
      </c>
      <c r="L2424" s="16" t="inlineStr">
        <is>
          <t>Low</t>
        </is>
      </c>
      <c r="M2424" s="16" t="inlineStr"/>
      <c r="N2424" s="16" t="inlineStr"/>
      <c r="O2424" s="16" t="inlineStr"/>
    </row>
    <row r="2425" ht="72" customHeight="1">
      <c r="A2425" s="16" t="inlineStr">
        <is>
          <t>TC-RE-0085</t>
        </is>
      </c>
      <c r="B2425" s="16" t="inlineStr">
        <is>
          <t>Request Editor</t>
        </is>
      </c>
      <c r="C2425" s="16" t="inlineStr">
        <is>
          <t>Params Matrix</t>
        </is>
      </c>
      <c r="D2425" s="16" t="inlineStr">
        <is>
          <t>Functional</t>
        </is>
      </c>
      <c r="E2425" s="16" t="inlineStr">
        <is>
          <t>Query params: Null value (treat as empty) on DELETE</t>
        </is>
      </c>
      <c r="F2425" s="16" t="inlineStr">
        <is>
          <t>-</t>
        </is>
      </c>
      <c r="G2425" s="16" t="inlineStr">
        <is>
          <t>1. Build request with params: a=null literal.
2. Send DELETE.</t>
        </is>
      </c>
      <c r="H2425" s="16" t="inlineStr">
        <is>
          <t>method=DELETE params=Null value (treat as empty)</t>
        </is>
      </c>
      <c r="I2425" s="16" t="inlineStr">
        <is>
          <t>Sent as 'null' string. Verified on DELETE.</t>
        </is>
      </c>
      <c r="J2425" s="16" t="inlineStr"/>
      <c r="K2425" s="16" t="inlineStr">
        <is>
          <t>Not Run</t>
        </is>
      </c>
      <c r="L2425" s="16" t="inlineStr">
        <is>
          <t>Low</t>
        </is>
      </c>
      <c r="M2425" s="16" t="inlineStr"/>
      <c r="N2425" s="16" t="inlineStr"/>
      <c r="O2425" s="16" t="inlineStr"/>
    </row>
    <row r="2426" ht="72" customHeight="1">
      <c r="A2426" s="16" t="inlineStr">
        <is>
          <t>TC-RE-0086</t>
        </is>
      </c>
      <c r="B2426" s="16" t="inlineStr">
        <is>
          <t>Request Editor</t>
        </is>
      </c>
      <c r="C2426" s="16" t="inlineStr">
        <is>
          <t>Params Matrix</t>
        </is>
      </c>
      <c r="D2426" s="16" t="inlineStr">
        <is>
          <t>Functional</t>
        </is>
      </c>
      <c r="E2426" s="16" t="inlineStr">
        <is>
          <t>Query params: Boolean-ish value on DELETE</t>
        </is>
      </c>
      <c r="F2426" s="16" t="inlineStr">
        <is>
          <t>-</t>
        </is>
      </c>
      <c r="G2426" s="16" t="inlineStr">
        <is>
          <t>1. Build request with params: active=true.
2. Send DELETE.</t>
        </is>
      </c>
      <c r="H2426" s="16" t="inlineStr">
        <is>
          <t>method=DELETE params=Boolean-ish value</t>
        </is>
      </c>
      <c r="I2426" s="16" t="inlineStr">
        <is>
          <t>Sent verbatim 'true'. Verified on DELETE.</t>
        </is>
      </c>
      <c r="J2426" s="16" t="inlineStr"/>
      <c r="K2426" s="16" t="inlineStr">
        <is>
          <t>Not Run</t>
        </is>
      </c>
      <c r="L2426" s="16" t="inlineStr">
        <is>
          <t>Low</t>
        </is>
      </c>
      <c r="M2426" s="16" t="inlineStr"/>
      <c r="N2426" s="16" t="inlineStr"/>
      <c r="O2426" s="16" t="inlineStr"/>
    </row>
    <row r="2427" ht="72" customHeight="1">
      <c r="A2427" s="16" t="inlineStr">
        <is>
          <t>TC-AU-0032</t>
        </is>
      </c>
      <c r="B2427" s="16" t="inlineStr">
        <is>
          <t>Authentication</t>
        </is>
      </c>
      <c r="C2427" s="16" t="inlineStr">
        <is>
          <t>Refresh Matrix</t>
        </is>
      </c>
      <c r="D2427" s="16" t="inlineStr">
        <is>
          <t>Functional</t>
        </is>
      </c>
      <c r="E2427" s="16" t="inlineStr">
        <is>
          <t>Auth refresh: OAuth2 token unexpired (GET)</t>
        </is>
      </c>
      <c r="F2427" s="16" t="inlineStr">
        <is>
          <t>Token still valid</t>
        </is>
      </c>
      <c r="G2427" s="16" t="inlineStr">
        <is>
          <t>1. Send.</t>
        </is>
      </c>
      <c r="H2427" s="16" t="inlineStr">
        <is>
          <t>refresh method=GET</t>
        </is>
      </c>
      <c r="I2427" s="16" t="inlineStr">
        <is>
          <t>Token used as-is; no refresh call.</t>
        </is>
      </c>
      <c r="J2427" s="16" t="inlineStr"/>
      <c r="K2427" s="16" t="inlineStr">
        <is>
          <t>Not Run</t>
        </is>
      </c>
      <c r="L2427" s="16" t="inlineStr">
        <is>
          <t>High</t>
        </is>
      </c>
      <c r="M2427" s="16" t="inlineStr"/>
      <c r="N2427" s="16" t="inlineStr"/>
      <c r="O2427" s="16" t="inlineStr"/>
    </row>
    <row r="2428" ht="72" customHeight="1">
      <c r="A2428" s="16" t="inlineStr">
        <is>
          <t>TC-AU-0033</t>
        </is>
      </c>
      <c r="B2428" s="16" t="inlineStr">
        <is>
          <t>Authentication</t>
        </is>
      </c>
      <c r="C2428" s="16" t="inlineStr">
        <is>
          <t>Refresh Matrix</t>
        </is>
      </c>
      <c r="D2428" s="16" t="inlineStr">
        <is>
          <t>Functional</t>
        </is>
      </c>
      <c r="E2428" s="16" t="inlineStr">
        <is>
          <t>Auth refresh: OAuth2 token expired with refresh_token (GET)</t>
        </is>
      </c>
      <c r="F2428" s="16" t="inlineStr">
        <is>
          <t>Expired</t>
        </is>
      </c>
      <c r="G2428" s="16" t="inlineStr">
        <is>
          <t>1. Send.</t>
        </is>
      </c>
      <c r="H2428" s="16" t="inlineStr">
        <is>
          <t>refresh method=GET</t>
        </is>
      </c>
      <c r="I2428" s="16" t="inlineStr">
        <is>
          <t>Auto-refresh; new token used.</t>
        </is>
      </c>
      <c r="J2428" s="16" t="inlineStr"/>
      <c r="K2428" s="16" t="inlineStr">
        <is>
          <t>Not Run</t>
        </is>
      </c>
      <c r="L2428" s="16" t="inlineStr">
        <is>
          <t>High</t>
        </is>
      </c>
      <c r="M2428" s="16" t="inlineStr"/>
      <c r="N2428" s="16" t="inlineStr"/>
      <c r="O2428" s="16" t="inlineStr"/>
    </row>
    <row r="2429" ht="72" customHeight="1">
      <c r="A2429" s="16" t="inlineStr">
        <is>
          <t>TC-AU-0034</t>
        </is>
      </c>
      <c r="B2429" s="16" t="inlineStr">
        <is>
          <t>Authentication</t>
        </is>
      </c>
      <c r="C2429" s="16" t="inlineStr">
        <is>
          <t>Refresh Matrix</t>
        </is>
      </c>
      <c r="D2429" s="16" t="inlineStr">
        <is>
          <t>Functional</t>
        </is>
      </c>
      <c r="E2429" s="16" t="inlineStr">
        <is>
          <t>Auth refresh: OAuth2 token expired without refresh_token (GET)</t>
        </is>
      </c>
      <c r="F2429" s="16" t="inlineStr">
        <is>
          <t>Expired no refresh</t>
        </is>
      </c>
      <c r="G2429" s="16" t="inlineStr">
        <is>
          <t>1. Send.</t>
        </is>
      </c>
      <c r="H2429" s="16" t="inlineStr">
        <is>
          <t>refresh method=GET</t>
        </is>
      </c>
      <c r="I2429" s="16" t="inlineStr">
        <is>
          <t>Send fails with auth error or prompts user; clear UI.</t>
        </is>
      </c>
      <c r="J2429" s="16" t="inlineStr"/>
      <c r="K2429" s="16" t="inlineStr">
        <is>
          <t>Not Run</t>
        </is>
      </c>
      <c r="L2429" s="16" t="inlineStr">
        <is>
          <t>High</t>
        </is>
      </c>
      <c r="M2429" s="16" t="inlineStr"/>
      <c r="N2429" s="16" t="inlineStr"/>
      <c r="O2429" s="16" t="inlineStr"/>
    </row>
    <row r="2430" ht="72" customHeight="1">
      <c r="A2430" s="16" t="inlineStr">
        <is>
          <t>TC-AU-0035</t>
        </is>
      </c>
      <c r="B2430" s="16" t="inlineStr">
        <is>
          <t>Authentication</t>
        </is>
      </c>
      <c r="C2430" s="16" t="inlineStr">
        <is>
          <t>Refresh Matrix</t>
        </is>
      </c>
      <c r="D2430" s="16" t="inlineStr">
        <is>
          <t>Functional</t>
        </is>
      </c>
      <c r="E2430" s="16" t="inlineStr">
        <is>
          <t>Auth refresh: OAuth2 refresh fails (IdP 4xx) (GET)</t>
        </is>
      </c>
      <c r="F2430" s="16" t="inlineStr">
        <is>
          <t>IdP rejects refresh</t>
        </is>
      </c>
      <c r="G2430" s="16" t="inlineStr">
        <is>
          <t>1. Send.</t>
        </is>
      </c>
      <c r="H2430" s="16" t="inlineStr">
        <is>
          <t>refresh method=GET</t>
        </is>
      </c>
      <c r="I2430" s="16" t="inlineStr">
        <is>
          <t>Error surfaced; user prompted to re-authorize.</t>
        </is>
      </c>
      <c r="J2430" s="16" t="inlineStr"/>
      <c r="K2430" s="16" t="inlineStr">
        <is>
          <t>Not Run</t>
        </is>
      </c>
      <c r="L2430" s="16" t="inlineStr">
        <is>
          <t>High</t>
        </is>
      </c>
      <c r="M2430" s="16" t="inlineStr"/>
      <c r="N2430" s="16" t="inlineStr"/>
      <c r="O2430" s="16" t="inlineStr"/>
    </row>
    <row r="2431" ht="72" customHeight="1">
      <c r="A2431" s="16" t="inlineStr">
        <is>
          <t>TC-AU-0036</t>
        </is>
      </c>
      <c r="B2431" s="16" t="inlineStr">
        <is>
          <t>Authentication</t>
        </is>
      </c>
      <c r="C2431" s="16" t="inlineStr">
        <is>
          <t>Refresh Matrix</t>
        </is>
      </c>
      <c r="D2431" s="16" t="inlineStr">
        <is>
          <t>Functional</t>
        </is>
      </c>
      <c r="E2431" s="16" t="inlineStr">
        <is>
          <t>Auth refresh: OAuth2 token returned with no expiry (GET)</t>
        </is>
      </c>
      <c r="F2431" s="16" t="inlineStr">
        <is>
          <t>No expires_in</t>
        </is>
      </c>
      <c r="G2431" s="16" t="inlineStr">
        <is>
          <t>1. Send.</t>
        </is>
      </c>
      <c r="H2431" s="16" t="inlineStr">
        <is>
          <t>refresh method=GET</t>
        </is>
      </c>
      <c r="I2431" s="16" t="inlineStr">
        <is>
          <t>Sent as-is; no proactive refresh.</t>
        </is>
      </c>
      <c r="J2431" s="16" t="inlineStr"/>
      <c r="K2431" s="16" t="inlineStr">
        <is>
          <t>Not Run</t>
        </is>
      </c>
      <c r="L2431" s="16" t="inlineStr">
        <is>
          <t>Medium</t>
        </is>
      </c>
      <c r="M2431" s="16" t="inlineStr"/>
      <c r="N2431" s="16" t="inlineStr"/>
      <c r="O2431" s="16" t="inlineStr"/>
    </row>
    <row r="2432" ht="72" customHeight="1">
      <c r="A2432" s="16" t="inlineStr">
        <is>
          <t>TC-AU-0037</t>
        </is>
      </c>
      <c r="B2432" s="16" t="inlineStr">
        <is>
          <t>Authentication</t>
        </is>
      </c>
      <c r="C2432" s="16" t="inlineStr">
        <is>
          <t>Refresh Matrix</t>
        </is>
      </c>
      <c r="D2432" s="16" t="inlineStr">
        <is>
          <t>Functional</t>
        </is>
      </c>
      <c r="E2432" s="16" t="inlineStr">
        <is>
          <t>Auth refresh: OAuth2 token nearly expiring (skew) (GET)</t>
        </is>
      </c>
      <c r="F2432" s="16" t="inlineStr">
        <is>
          <t>Within skew window</t>
        </is>
      </c>
      <c r="G2432" s="16" t="inlineStr">
        <is>
          <t>1. Send.</t>
        </is>
      </c>
      <c r="H2432" s="16" t="inlineStr">
        <is>
          <t>refresh method=GET</t>
        </is>
      </c>
      <c r="I2432" s="16" t="inlineStr">
        <is>
          <t>Refresh proactively per documented skew (e.g., &lt;60s).</t>
        </is>
      </c>
      <c r="J2432" s="16" t="inlineStr"/>
      <c r="K2432" s="16" t="inlineStr">
        <is>
          <t>Not Run</t>
        </is>
      </c>
      <c r="L2432" s="16" t="inlineStr">
        <is>
          <t>Medium</t>
        </is>
      </c>
      <c r="M2432" s="16" t="inlineStr"/>
      <c r="N2432" s="16" t="inlineStr"/>
      <c r="O2432" s="16" t="inlineStr"/>
    </row>
    <row r="2433" ht="72" customHeight="1">
      <c r="A2433" s="16" t="inlineStr">
        <is>
          <t>TC-AU-0038</t>
        </is>
      </c>
      <c r="B2433" s="16" t="inlineStr">
        <is>
          <t>Authentication</t>
        </is>
      </c>
      <c r="C2433" s="16" t="inlineStr">
        <is>
          <t>Refresh Matrix</t>
        </is>
      </c>
      <c r="D2433" s="16" t="inlineStr">
        <is>
          <t>Functional</t>
        </is>
      </c>
      <c r="E2433" s="16" t="inlineStr">
        <is>
          <t>Auth refresh: Bearer token interpolated from secret var (GET)</t>
        </is>
      </c>
      <c r="F2433" s="16" t="inlineStr">
        <is>
          <t>Secret-backed token</t>
        </is>
      </c>
      <c r="G2433" s="16" t="inlineStr">
        <is>
          <t>1. Send.</t>
        </is>
      </c>
      <c r="H2433" s="16" t="inlineStr">
        <is>
          <t>refresh method=GET</t>
        </is>
      </c>
      <c r="I2433" s="16" t="inlineStr">
        <is>
          <t>Secret decrypted; used as token; not in plaintext history.</t>
        </is>
      </c>
      <c r="J2433" s="16" t="inlineStr"/>
      <c r="K2433" s="16" t="inlineStr">
        <is>
          <t>Not Run</t>
        </is>
      </c>
      <c r="L2433" s="16" t="inlineStr">
        <is>
          <t>High</t>
        </is>
      </c>
      <c r="M2433" s="16" t="inlineStr"/>
      <c r="N2433" s="16" t="inlineStr"/>
      <c r="O2433" s="16" t="inlineStr"/>
    </row>
    <row r="2434" ht="72" customHeight="1">
      <c r="A2434" s="16" t="inlineStr">
        <is>
          <t>TC-AU-0039</t>
        </is>
      </c>
      <c r="B2434" s="16" t="inlineStr">
        <is>
          <t>Authentication</t>
        </is>
      </c>
      <c r="C2434" s="16" t="inlineStr">
        <is>
          <t>Refresh Matrix</t>
        </is>
      </c>
      <c r="D2434" s="16" t="inlineStr">
        <is>
          <t>Functional</t>
        </is>
      </c>
      <c r="E2434" s="16" t="inlineStr">
        <is>
          <t>Auth refresh: AWS SigV4 with rotating session token (GET)</t>
        </is>
      </c>
      <c r="F2434" s="16" t="inlineStr">
        <is>
          <t>Session token in env</t>
        </is>
      </c>
      <c r="G2434" s="16" t="inlineStr">
        <is>
          <t>1. Rotate token.
2. Send.</t>
        </is>
      </c>
      <c r="H2434" s="16" t="inlineStr">
        <is>
          <t>refresh method=GET</t>
        </is>
      </c>
      <c r="I2434" s="16" t="inlineStr">
        <is>
          <t>New token used; signature reflects new creds.</t>
        </is>
      </c>
      <c r="J2434" s="16" t="inlineStr"/>
      <c r="K2434" s="16" t="inlineStr">
        <is>
          <t>Not Run</t>
        </is>
      </c>
      <c r="L2434" s="16" t="inlineStr">
        <is>
          <t>Medium</t>
        </is>
      </c>
      <c r="M2434" s="16" t="inlineStr"/>
      <c r="N2434" s="16" t="inlineStr"/>
      <c r="O2434" s="16" t="inlineStr"/>
    </row>
    <row r="2435" ht="72" customHeight="1">
      <c r="A2435" s="16" t="inlineStr">
        <is>
          <t>TC-AU-0040</t>
        </is>
      </c>
      <c r="B2435" s="16" t="inlineStr">
        <is>
          <t>Authentication</t>
        </is>
      </c>
      <c r="C2435" s="16" t="inlineStr">
        <is>
          <t>Refresh Matrix</t>
        </is>
      </c>
      <c r="D2435" s="16" t="inlineStr">
        <is>
          <t>Functional</t>
        </is>
      </c>
      <c r="E2435" s="16" t="inlineStr">
        <is>
          <t>Auth refresh: Digest replay on stale nonce (GET)</t>
        </is>
      </c>
      <c r="F2435" s="16" t="inlineStr">
        <is>
          <t>Server returns stale=true</t>
        </is>
      </c>
      <c r="G2435" s="16" t="inlineStr">
        <is>
          <t>1. Send after nonce rotation.</t>
        </is>
      </c>
      <c r="H2435" s="16" t="inlineStr">
        <is>
          <t>refresh method=GET</t>
        </is>
      </c>
      <c r="I2435" s="16" t="inlineStr">
        <is>
          <t>Client retries with new nonce.</t>
        </is>
      </c>
      <c r="J2435" s="16" t="inlineStr"/>
      <c r="K2435" s="16" t="inlineStr">
        <is>
          <t>Not Run</t>
        </is>
      </c>
      <c r="L2435" s="16" t="inlineStr">
        <is>
          <t>Medium</t>
        </is>
      </c>
      <c r="M2435" s="16" t="inlineStr"/>
      <c r="N2435" s="16" t="inlineStr"/>
      <c r="O2435" s="16" t="inlineStr"/>
    </row>
    <row r="2436" ht="72" customHeight="1">
      <c r="A2436" s="16" t="inlineStr">
        <is>
          <t>TC-AU-0041</t>
        </is>
      </c>
      <c r="B2436" s="16" t="inlineStr">
        <is>
          <t>Authentication</t>
        </is>
      </c>
      <c r="C2436" s="16" t="inlineStr">
        <is>
          <t>Refresh Matrix</t>
        </is>
      </c>
      <c r="D2436" s="16" t="inlineStr">
        <is>
          <t>Functional</t>
        </is>
      </c>
      <c r="E2436" s="16" t="inlineStr">
        <is>
          <t>Auth refresh: NTLM handshake interrupted (GET)</t>
        </is>
      </c>
      <c r="F2436" s="16" t="inlineStr">
        <is>
          <t>Network drops mid-handshake</t>
        </is>
      </c>
      <c r="G2436" s="16" t="inlineStr">
        <is>
          <t>1. Drop network between Challenge and Authenticate.</t>
        </is>
      </c>
      <c r="H2436" s="16" t="inlineStr">
        <is>
          <t>refresh method=GET</t>
        </is>
      </c>
      <c r="I2436" s="16" t="inlineStr">
        <is>
          <t>Clean error; no half-state.</t>
        </is>
      </c>
      <c r="J2436" s="16" t="inlineStr"/>
      <c r="K2436" s="16" t="inlineStr">
        <is>
          <t>Not Run</t>
        </is>
      </c>
      <c r="L2436" s="16" t="inlineStr">
        <is>
          <t>Medium</t>
        </is>
      </c>
      <c r="M2436" s="16" t="inlineStr"/>
      <c r="N2436" s="16" t="inlineStr"/>
      <c r="O2436" s="16" t="inlineStr"/>
    </row>
    <row r="2437" ht="72" customHeight="1">
      <c r="A2437" s="16" t="inlineStr">
        <is>
          <t>TC-AU-0042</t>
        </is>
      </c>
      <c r="B2437" s="16" t="inlineStr">
        <is>
          <t>Authentication</t>
        </is>
      </c>
      <c r="C2437" s="16" t="inlineStr">
        <is>
          <t>Refresh Matrix</t>
        </is>
      </c>
      <c r="D2437" s="16" t="inlineStr">
        <is>
          <t>Functional</t>
        </is>
      </c>
      <c r="E2437" s="16" t="inlineStr">
        <is>
          <t>Auth refresh: OAuth2 401 on resource after token acquired (GET)</t>
        </is>
      </c>
      <c r="F2437" s="16" t="inlineStr">
        <is>
          <t>Token rejected by server</t>
        </is>
      </c>
      <c r="G2437" s="16" t="inlineStr">
        <is>
          <t>1. Send.</t>
        </is>
      </c>
      <c r="H2437" s="16" t="inlineStr">
        <is>
          <t>refresh method=GET</t>
        </is>
      </c>
      <c r="I2437" s="16" t="inlineStr">
        <is>
          <t>App offers to clear token / re-auth; does not loop.</t>
        </is>
      </c>
      <c r="J2437" s="16" t="inlineStr"/>
      <c r="K2437" s="16" t="inlineStr">
        <is>
          <t>Not Run</t>
        </is>
      </c>
      <c r="L2437" s="16" t="inlineStr">
        <is>
          <t>High</t>
        </is>
      </c>
      <c r="M2437" s="16" t="inlineStr"/>
      <c r="N2437" s="16" t="inlineStr"/>
      <c r="O2437" s="16" t="inlineStr"/>
    </row>
    <row r="2438" ht="72" customHeight="1">
      <c r="A2438" s="16" t="inlineStr">
        <is>
          <t>TC-AU-0043</t>
        </is>
      </c>
      <c r="B2438" s="16" t="inlineStr">
        <is>
          <t>Authentication</t>
        </is>
      </c>
      <c r="C2438" s="16" t="inlineStr">
        <is>
          <t>Refresh Matrix</t>
        </is>
      </c>
      <c r="D2438" s="16" t="inlineStr">
        <is>
          <t>Functional</t>
        </is>
      </c>
      <c r="E2438" s="16" t="inlineStr">
        <is>
          <t>Auth refresh: Bearer token edited after acquisition (GET)</t>
        </is>
      </c>
      <c r="F2438" s="16" t="inlineStr">
        <is>
          <t>User manually overrides</t>
        </is>
      </c>
      <c r="G2438" s="16" t="inlineStr">
        <is>
          <t>1. Edit token field.</t>
        </is>
      </c>
      <c r="H2438" s="16" t="inlineStr">
        <is>
          <t>refresh method=GET</t>
        </is>
      </c>
      <c r="I2438" s="16" t="inlineStr">
        <is>
          <t>Send uses user-edited token; refresh skipped.</t>
        </is>
      </c>
      <c r="J2438" s="16" t="inlineStr"/>
      <c r="K2438" s="16" t="inlineStr">
        <is>
          <t>Not Run</t>
        </is>
      </c>
      <c r="L2438" s="16" t="inlineStr">
        <is>
          <t>Medium</t>
        </is>
      </c>
      <c r="M2438" s="16" t="inlineStr"/>
      <c r="N2438" s="16" t="inlineStr"/>
      <c r="O2438" s="16" t="inlineStr"/>
    </row>
    <row r="2439" ht="72" customHeight="1">
      <c r="A2439" s="16" t="inlineStr">
        <is>
          <t>TC-AU-0044</t>
        </is>
      </c>
      <c r="B2439" s="16" t="inlineStr">
        <is>
          <t>Authentication</t>
        </is>
      </c>
      <c r="C2439" s="16" t="inlineStr">
        <is>
          <t>Refresh Matrix</t>
        </is>
      </c>
      <c r="D2439" s="16" t="inlineStr">
        <is>
          <t>Functional</t>
        </is>
      </c>
      <c r="E2439" s="16" t="inlineStr">
        <is>
          <t>Auth refresh: OAuth2 multiple requests share token (GET)</t>
        </is>
      </c>
      <c r="F2439" s="16" t="inlineStr">
        <is>
          <t>Two requests same OAuth config</t>
        </is>
      </c>
      <c r="G2439" s="16" t="inlineStr">
        <is>
          <t>1. Send A; send B.</t>
        </is>
      </c>
      <c r="H2439" s="16" t="inlineStr">
        <is>
          <t>refresh method=GET</t>
        </is>
      </c>
      <c r="I2439" s="16" t="inlineStr">
        <is>
          <t>Both use same access_token; only one token fetch.</t>
        </is>
      </c>
      <c r="J2439" s="16" t="inlineStr"/>
      <c r="K2439" s="16" t="inlineStr">
        <is>
          <t>Not Run</t>
        </is>
      </c>
      <c r="L2439" s="16" t="inlineStr">
        <is>
          <t>Medium</t>
        </is>
      </c>
      <c r="M2439" s="16" t="inlineStr"/>
      <c r="N2439" s="16" t="inlineStr"/>
      <c r="O2439" s="16" t="inlineStr"/>
    </row>
    <row r="2440" ht="72" customHeight="1">
      <c r="A2440" s="16" t="inlineStr">
        <is>
          <t>TC-AU-0045</t>
        </is>
      </c>
      <c r="B2440" s="16" t="inlineStr">
        <is>
          <t>Authentication</t>
        </is>
      </c>
      <c r="C2440" s="16" t="inlineStr">
        <is>
          <t>Refresh Matrix</t>
        </is>
      </c>
      <c r="D2440" s="16" t="inlineStr">
        <is>
          <t>Functional</t>
        </is>
      </c>
      <c r="E2440" s="16" t="inlineStr">
        <is>
          <t>Auth refresh: OAuth2 different configs same provider (GET)</t>
        </is>
      </c>
      <c r="F2440" s="16" t="inlineStr">
        <is>
          <t>Same IdP, different clientIds</t>
        </is>
      </c>
      <c r="G2440" s="16" t="inlineStr">
        <is>
          <t>1. Each gets own token.</t>
        </is>
      </c>
      <c r="H2440" s="16" t="inlineStr">
        <is>
          <t>refresh method=GET</t>
        </is>
      </c>
      <c r="I2440" s="16" t="inlineStr">
        <is>
          <t>Tokens scoped per request config; no cross-contamination.</t>
        </is>
      </c>
      <c r="J2440" s="16" t="inlineStr"/>
      <c r="K2440" s="16" t="inlineStr">
        <is>
          <t>Not Run</t>
        </is>
      </c>
      <c r="L2440" s="16" t="inlineStr">
        <is>
          <t>Medium</t>
        </is>
      </c>
      <c r="M2440" s="16" t="inlineStr"/>
      <c r="N2440" s="16" t="inlineStr"/>
      <c r="O2440" s="16" t="inlineStr"/>
    </row>
    <row r="2441" ht="72" customHeight="1">
      <c r="A2441" s="16" t="inlineStr">
        <is>
          <t>TC-AU-0046</t>
        </is>
      </c>
      <c r="B2441" s="16" t="inlineStr">
        <is>
          <t>Authentication</t>
        </is>
      </c>
      <c r="C2441" s="16" t="inlineStr">
        <is>
          <t>Refresh Matrix</t>
        </is>
      </c>
      <c r="D2441" s="16" t="inlineStr">
        <is>
          <t>Functional</t>
        </is>
      </c>
      <c r="E2441" s="16" t="inlineStr">
        <is>
          <t>Auth refresh: OAuth2 token unexpired (POST)</t>
        </is>
      </c>
      <c r="F2441" s="16" t="inlineStr">
        <is>
          <t>Token still valid</t>
        </is>
      </c>
      <c r="G2441" s="16" t="inlineStr">
        <is>
          <t>1. Send.</t>
        </is>
      </c>
      <c r="H2441" s="16" t="inlineStr">
        <is>
          <t>refresh method=POST</t>
        </is>
      </c>
      <c r="I2441" s="16" t="inlineStr">
        <is>
          <t>Token used as-is; no refresh call.</t>
        </is>
      </c>
      <c r="J2441" s="16" t="inlineStr"/>
      <c r="K2441" s="16" t="inlineStr">
        <is>
          <t>Not Run</t>
        </is>
      </c>
      <c r="L2441" s="16" t="inlineStr">
        <is>
          <t>High</t>
        </is>
      </c>
      <c r="M2441" s="16" t="inlineStr"/>
      <c r="N2441" s="16" t="inlineStr"/>
      <c r="O2441" s="16" t="inlineStr"/>
    </row>
    <row r="2442" ht="72" customHeight="1">
      <c r="A2442" s="16" t="inlineStr">
        <is>
          <t>TC-AU-0047</t>
        </is>
      </c>
      <c r="B2442" s="16" t="inlineStr">
        <is>
          <t>Authentication</t>
        </is>
      </c>
      <c r="C2442" s="16" t="inlineStr">
        <is>
          <t>Refresh Matrix</t>
        </is>
      </c>
      <c r="D2442" s="16" t="inlineStr">
        <is>
          <t>Functional</t>
        </is>
      </c>
      <c r="E2442" s="16" t="inlineStr">
        <is>
          <t>Auth refresh: OAuth2 token expired with refresh_token (POST)</t>
        </is>
      </c>
      <c r="F2442" s="16" t="inlineStr">
        <is>
          <t>Expired</t>
        </is>
      </c>
      <c r="G2442" s="16" t="inlineStr">
        <is>
          <t>1. Send.</t>
        </is>
      </c>
      <c r="H2442" s="16" t="inlineStr">
        <is>
          <t>refresh method=POST</t>
        </is>
      </c>
      <c r="I2442" s="16" t="inlineStr">
        <is>
          <t>Auto-refresh; new token used.</t>
        </is>
      </c>
      <c r="J2442" s="16" t="inlineStr"/>
      <c r="K2442" s="16" t="inlineStr">
        <is>
          <t>Not Run</t>
        </is>
      </c>
      <c r="L2442" s="16" t="inlineStr">
        <is>
          <t>High</t>
        </is>
      </c>
      <c r="M2442" s="16" t="inlineStr"/>
      <c r="N2442" s="16" t="inlineStr"/>
      <c r="O2442" s="16" t="inlineStr"/>
    </row>
    <row r="2443" ht="72" customHeight="1">
      <c r="A2443" s="16" t="inlineStr">
        <is>
          <t>TC-AU-0048</t>
        </is>
      </c>
      <c r="B2443" s="16" t="inlineStr">
        <is>
          <t>Authentication</t>
        </is>
      </c>
      <c r="C2443" s="16" t="inlineStr">
        <is>
          <t>Refresh Matrix</t>
        </is>
      </c>
      <c r="D2443" s="16" t="inlineStr">
        <is>
          <t>Functional</t>
        </is>
      </c>
      <c r="E2443" s="16" t="inlineStr">
        <is>
          <t>Auth refresh: OAuth2 token expired without refresh_token (POST)</t>
        </is>
      </c>
      <c r="F2443" s="16" t="inlineStr">
        <is>
          <t>Expired no refresh</t>
        </is>
      </c>
      <c r="G2443" s="16" t="inlineStr">
        <is>
          <t>1. Send.</t>
        </is>
      </c>
      <c r="H2443" s="16" t="inlineStr">
        <is>
          <t>refresh method=POST</t>
        </is>
      </c>
      <c r="I2443" s="16" t="inlineStr">
        <is>
          <t>Send fails with auth error or prompts user; clear UI.</t>
        </is>
      </c>
      <c r="J2443" s="16" t="inlineStr"/>
      <c r="K2443" s="16" t="inlineStr">
        <is>
          <t>Not Run</t>
        </is>
      </c>
      <c r="L2443" s="16" t="inlineStr">
        <is>
          <t>High</t>
        </is>
      </c>
      <c r="M2443" s="16" t="inlineStr"/>
      <c r="N2443" s="16" t="inlineStr"/>
      <c r="O2443" s="16" t="inlineStr"/>
    </row>
    <row r="2444" ht="72" customHeight="1">
      <c r="A2444" s="16" t="inlineStr">
        <is>
          <t>TC-AU-0049</t>
        </is>
      </c>
      <c r="B2444" s="16" t="inlineStr">
        <is>
          <t>Authentication</t>
        </is>
      </c>
      <c r="C2444" s="16" t="inlineStr">
        <is>
          <t>Refresh Matrix</t>
        </is>
      </c>
      <c r="D2444" s="16" t="inlineStr">
        <is>
          <t>Functional</t>
        </is>
      </c>
      <c r="E2444" s="16" t="inlineStr">
        <is>
          <t>Auth refresh: OAuth2 refresh fails (IdP 4xx) (POST)</t>
        </is>
      </c>
      <c r="F2444" s="16" t="inlineStr">
        <is>
          <t>IdP rejects refresh</t>
        </is>
      </c>
      <c r="G2444" s="16" t="inlineStr">
        <is>
          <t>1. Send.</t>
        </is>
      </c>
      <c r="H2444" s="16" t="inlineStr">
        <is>
          <t>refresh method=POST</t>
        </is>
      </c>
      <c r="I2444" s="16" t="inlineStr">
        <is>
          <t>Error surfaced; user prompted to re-authorize.</t>
        </is>
      </c>
      <c r="J2444" s="16" t="inlineStr"/>
      <c r="K2444" s="16" t="inlineStr">
        <is>
          <t>Not Run</t>
        </is>
      </c>
      <c r="L2444" s="16" t="inlineStr">
        <is>
          <t>High</t>
        </is>
      </c>
      <c r="M2444" s="16" t="inlineStr"/>
      <c r="N2444" s="16" t="inlineStr"/>
      <c r="O2444" s="16" t="inlineStr"/>
    </row>
    <row r="2445" ht="72" customHeight="1">
      <c r="A2445" s="16" t="inlineStr">
        <is>
          <t>TC-AU-0050</t>
        </is>
      </c>
      <c r="B2445" s="16" t="inlineStr">
        <is>
          <t>Authentication</t>
        </is>
      </c>
      <c r="C2445" s="16" t="inlineStr">
        <is>
          <t>Refresh Matrix</t>
        </is>
      </c>
      <c r="D2445" s="16" t="inlineStr">
        <is>
          <t>Functional</t>
        </is>
      </c>
      <c r="E2445" s="16" t="inlineStr">
        <is>
          <t>Auth refresh: OAuth2 token returned with no expiry (POST)</t>
        </is>
      </c>
      <c r="F2445" s="16" t="inlineStr">
        <is>
          <t>No expires_in</t>
        </is>
      </c>
      <c r="G2445" s="16" t="inlineStr">
        <is>
          <t>1. Send.</t>
        </is>
      </c>
      <c r="H2445" s="16" t="inlineStr">
        <is>
          <t>refresh method=POST</t>
        </is>
      </c>
      <c r="I2445" s="16" t="inlineStr">
        <is>
          <t>Sent as-is; no proactive refresh.</t>
        </is>
      </c>
      <c r="J2445" s="16" t="inlineStr"/>
      <c r="K2445" s="16" t="inlineStr">
        <is>
          <t>Not Run</t>
        </is>
      </c>
      <c r="L2445" s="16" t="inlineStr">
        <is>
          <t>Medium</t>
        </is>
      </c>
      <c r="M2445" s="16" t="inlineStr"/>
      <c r="N2445" s="16" t="inlineStr"/>
      <c r="O2445" s="16" t="inlineStr"/>
    </row>
    <row r="2446" ht="72" customHeight="1">
      <c r="A2446" s="16" t="inlineStr">
        <is>
          <t>TC-AU-0051</t>
        </is>
      </c>
      <c r="B2446" s="16" t="inlineStr">
        <is>
          <t>Authentication</t>
        </is>
      </c>
      <c r="C2446" s="16" t="inlineStr">
        <is>
          <t>Refresh Matrix</t>
        </is>
      </c>
      <c r="D2446" s="16" t="inlineStr">
        <is>
          <t>Functional</t>
        </is>
      </c>
      <c r="E2446" s="16" t="inlineStr">
        <is>
          <t>Auth refresh: OAuth2 token nearly expiring (skew) (POST)</t>
        </is>
      </c>
      <c r="F2446" s="16" t="inlineStr">
        <is>
          <t>Within skew window</t>
        </is>
      </c>
      <c r="G2446" s="16" t="inlineStr">
        <is>
          <t>1. Send.</t>
        </is>
      </c>
      <c r="H2446" s="16" t="inlineStr">
        <is>
          <t>refresh method=POST</t>
        </is>
      </c>
      <c r="I2446" s="16" t="inlineStr">
        <is>
          <t>Refresh proactively per documented skew (e.g., &lt;60s).</t>
        </is>
      </c>
      <c r="J2446" s="16" t="inlineStr"/>
      <c r="K2446" s="16" t="inlineStr">
        <is>
          <t>Not Run</t>
        </is>
      </c>
      <c r="L2446" s="16" t="inlineStr">
        <is>
          <t>Medium</t>
        </is>
      </c>
      <c r="M2446" s="16" t="inlineStr"/>
      <c r="N2446" s="16" t="inlineStr"/>
      <c r="O2446" s="16" t="inlineStr"/>
    </row>
    <row r="2447" ht="72" customHeight="1">
      <c r="A2447" s="16" t="inlineStr">
        <is>
          <t>TC-AU-0052</t>
        </is>
      </c>
      <c r="B2447" s="16" t="inlineStr">
        <is>
          <t>Authentication</t>
        </is>
      </c>
      <c r="C2447" s="16" t="inlineStr">
        <is>
          <t>Refresh Matrix</t>
        </is>
      </c>
      <c r="D2447" s="16" t="inlineStr">
        <is>
          <t>Functional</t>
        </is>
      </c>
      <c r="E2447" s="16" t="inlineStr">
        <is>
          <t>Auth refresh: Bearer token interpolated from secret var (POST)</t>
        </is>
      </c>
      <c r="F2447" s="16" t="inlineStr">
        <is>
          <t>Secret-backed token</t>
        </is>
      </c>
      <c r="G2447" s="16" t="inlineStr">
        <is>
          <t>1. Send.</t>
        </is>
      </c>
      <c r="H2447" s="16" t="inlineStr">
        <is>
          <t>refresh method=POST</t>
        </is>
      </c>
      <c r="I2447" s="16" t="inlineStr">
        <is>
          <t>Secret decrypted; used as token; not in plaintext history.</t>
        </is>
      </c>
      <c r="J2447" s="16" t="inlineStr"/>
      <c r="K2447" s="16" t="inlineStr">
        <is>
          <t>Not Run</t>
        </is>
      </c>
      <c r="L2447" s="16" t="inlineStr">
        <is>
          <t>High</t>
        </is>
      </c>
      <c r="M2447" s="16" t="inlineStr"/>
      <c r="N2447" s="16" t="inlineStr"/>
      <c r="O2447" s="16" t="inlineStr"/>
    </row>
    <row r="2448" ht="72" customHeight="1">
      <c r="A2448" s="16" t="inlineStr">
        <is>
          <t>TC-AU-0053</t>
        </is>
      </c>
      <c r="B2448" s="16" t="inlineStr">
        <is>
          <t>Authentication</t>
        </is>
      </c>
      <c r="C2448" s="16" t="inlineStr">
        <is>
          <t>Refresh Matrix</t>
        </is>
      </c>
      <c r="D2448" s="16" t="inlineStr">
        <is>
          <t>Functional</t>
        </is>
      </c>
      <c r="E2448" s="16" t="inlineStr">
        <is>
          <t>Auth refresh: AWS SigV4 with rotating session token (POST)</t>
        </is>
      </c>
      <c r="F2448" s="16" t="inlineStr">
        <is>
          <t>Session token in env</t>
        </is>
      </c>
      <c r="G2448" s="16" t="inlineStr">
        <is>
          <t>1. Rotate token.
2. Send.</t>
        </is>
      </c>
      <c r="H2448" s="16" t="inlineStr">
        <is>
          <t>refresh method=POST</t>
        </is>
      </c>
      <c r="I2448" s="16" t="inlineStr">
        <is>
          <t>New token used; signature reflects new creds.</t>
        </is>
      </c>
      <c r="J2448" s="16" t="inlineStr"/>
      <c r="K2448" s="16" t="inlineStr">
        <is>
          <t>Not Run</t>
        </is>
      </c>
      <c r="L2448" s="16" t="inlineStr">
        <is>
          <t>Medium</t>
        </is>
      </c>
      <c r="M2448" s="16" t="inlineStr"/>
      <c r="N2448" s="16" t="inlineStr"/>
      <c r="O2448" s="16" t="inlineStr"/>
    </row>
    <row r="2449" ht="72" customHeight="1">
      <c r="A2449" s="16" t="inlineStr">
        <is>
          <t>TC-AU-0054</t>
        </is>
      </c>
      <c r="B2449" s="16" t="inlineStr">
        <is>
          <t>Authentication</t>
        </is>
      </c>
      <c r="C2449" s="16" t="inlineStr">
        <is>
          <t>Refresh Matrix</t>
        </is>
      </c>
      <c r="D2449" s="16" t="inlineStr">
        <is>
          <t>Functional</t>
        </is>
      </c>
      <c r="E2449" s="16" t="inlineStr">
        <is>
          <t>Auth refresh: Digest replay on stale nonce (POST)</t>
        </is>
      </c>
      <c r="F2449" s="16" t="inlineStr">
        <is>
          <t>Server returns stale=true</t>
        </is>
      </c>
      <c r="G2449" s="16" t="inlineStr">
        <is>
          <t>1. Send after nonce rotation.</t>
        </is>
      </c>
      <c r="H2449" s="16" t="inlineStr">
        <is>
          <t>refresh method=POST</t>
        </is>
      </c>
      <c r="I2449" s="16" t="inlineStr">
        <is>
          <t>Client retries with new nonce.</t>
        </is>
      </c>
      <c r="J2449" s="16" t="inlineStr"/>
      <c r="K2449" s="16" t="inlineStr">
        <is>
          <t>Not Run</t>
        </is>
      </c>
      <c r="L2449" s="16" t="inlineStr">
        <is>
          <t>Medium</t>
        </is>
      </c>
      <c r="M2449" s="16" t="inlineStr"/>
      <c r="N2449" s="16" t="inlineStr"/>
      <c r="O2449" s="16" t="inlineStr"/>
    </row>
    <row r="2450" ht="72" customHeight="1">
      <c r="A2450" s="16" t="inlineStr">
        <is>
          <t>TC-AU-0055</t>
        </is>
      </c>
      <c r="B2450" s="16" t="inlineStr">
        <is>
          <t>Authentication</t>
        </is>
      </c>
      <c r="C2450" s="16" t="inlineStr">
        <is>
          <t>Refresh Matrix</t>
        </is>
      </c>
      <c r="D2450" s="16" t="inlineStr">
        <is>
          <t>Functional</t>
        </is>
      </c>
      <c r="E2450" s="16" t="inlineStr">
        <is>
          <t>Auth refresh: NTLM handshake interrupted (POST)</t>
        </is>
      </c>
      <c r="F2450" s="16" t="inlineStr">
        <is>
          <t>Network drops mid-handshake</t>
        </is>
      </c>
      <c r="G2450" s="16" t="inlineStr">
        <is>
          <t>1. Drop network between Challenge and Authenticate.</t>
        </is>
      </c>
      <c r="H2450" s="16" t="inlineStr">
        <is>
          <t>refresh method=POST</t>
        </is>
      </c>
      <c r="I2450" s="16" t="inlineStr">
        <is>
          <t>Clean error; no half-state.</t>
        </is>
      </c>
      <c r="J2450" s="16" t="inlineStr"/>
      <c r="K2450" s="16" t="inlineStr">
        <is>
          <t>Not Run</t>
        </is>
      </c>
      <c r="L2450" s="16" t="inlineStr">
        <is>
          <t>Medium</t>
        </is>
      </c>
      <c r="M2450" s="16" t="inlineStr"/>
      <c r="N2450" s="16" t="inlineStr"/>
      <c r="O2450" s="16" t="inlineStr"/>
    </row>
    <row r="2451" ht="72" customHeight="1">
      <c r="A2451" s="16" t="inlineStr">
        <is>
          <t>TC-AU-0056</t>
        </is>
      </c>
      <c r="B2451" s="16" t="inlineStr">
        <is>
          <t>Authentication</t>
        </is>
      </c>
      <c r="C2451" s="16" t="inlineStr">
        <is>
          <t>Refresh Matrix</t>
        </is>
      </c>
      <c r="D2451" s="16" t="inlineStr">
        <is>
          <t>Functional</t>
        </is>
      </c>
      <c r="E2451" s="16" t="inlineStr">
        <is>
          <t>Auth refresh: OAuth2 401 on resource after token acquired (POST)</t>
        </is>
      </c>
      <c r="F2451" s="16" t="inlineStr">
        <is>
          <t>Token rejected by server</t>
        </is>
      </c>
      <c r="G2451" s="16" t="inlineStr">
        <is>
          <t>1. Send.</t>
        </is>
      </c>
      <c r="H2451" s="16" t="inlineStr">
        <is>
          <t>refresh method=POST</t>
        </is>
      </c>
      <c r="I2451" s="16" t="inlineStr">
        <is>
          <t>App offers to clear token / re-auth; does not loop.</t>
        </is>
      </c>
      <c r="J2451" s="16" t="inlineStr"/>
      <c r="K2451" s="16" t="inlineStr">
        <is>
          <t>Not Run</t>
        </is>
      </c>
      <c r="L2451" s="16" t="inlineStr">
        <is>
          <t>High</t>
        </is>
      </c>
      <c r="M2451" s="16" t="inlineStr"/>
      <c r="N2451" s="16" t="inlineStr"/>
      <c r="O2451" s="16" t="inlineStr"/>
    </row>
    <row r="2452" ht="72" customHeight="1">
      <c r="A2452" s="16" t="inlineStr">
        <is>
          <t>TC-AU-0057</t>
        </is>
      </c>
      <c r="B2452" s="16" t="inlineStr">
        <is>
          <t>Authentication</t>
        </is>
      </c>
      <c r="C2452" s="16" t="inlineStr">
        <is>
          <t>Refresh Matrix</t>
        </is>
      </c>
      <c r="D2452" s="16" t="inlineStr">
        <is>
          <t>Functional</t>
        </is>
      </c>
      <c r="E2452" s="16" t="inlineStr">
        <is>
          <t>Auth refresh: Bearer token edited after acquisition (POST)</t>
        </is>
      </c>
      <c r="F2452" s="16" t="inlineStr">
        <is>
          <t>User manually overrides</t>
        </is>
      </c>
      <c r="G2452" s="16" t="inlineStr">
        <is>
          <t>1. Edit token field.</t>
        </is>
      </c>
      <c r="H2452" s="16" t="inlineStr">
        <is>
          <t>refresh method=POST</t>
        </is>
      </c>
      <c r="I2452" s="16" t="inlineStr">
        <is>
          <t>Send uses user-edited token; refresh skipped.</t>
        </is>
      </c>
      <c r="J2452" s="16" t="inlineStr"/>
      <c r="K2452" s="16" t="inlineStr">
        <is>
          <t>Not Run</t>
        </is>
      </c>
      <c r="L2452" s="16" t="inlineStr">
        <is>
          <t>Medium</t>
        </is>
      </c>
      <c r="M2452" s="16" t="inlineStr"/>
      <c r="N2452" s="16" t="inlineStr"/>
      <c r="O2452" s="16" t="inlineStr"/>
    </row>
    <row r="2453" ht="72" customHeight="1">
      <c r="A2453" s="16" t="inlineStr">
        <is>
          <t>TC-AU-0058</t>
        </is>
      </c>
      <c r="B2453" s="16" t="inlineStr">
        <is>
          <t>Authentication</t>
        </is>
      </c>
      <c r="C2453" s="16" t="inlineStr">
        <is>
          <t>Refresh Matrix</t>
        </is>
      </c>
      <c r="D2453" s="16" t="inlineStr">
        <is>
          <t>Functional</t>
        </is>
      </c>
      <c r="E2453" s="16" t="inlineStr">
        <is>
          <t>Auth refresh: OAuth2 multiple requests share token (POST)</t>
        </is>
      </c>
      <c r="F2453" s="16" t="inlineStr">
        <is>
          <t>Two requests same OAuth config</t>
        </is>
      </c>
      <c r="G2453" s="16" t="inlineStr">
        <is>
          <t>1. Send A; send B.</t>
        </is>
      </c>
      <c r="H2453" s="16" t="inlineStr">
        <is>
          <t>refresh method=POST</t>
        </is>
      </c>
      <c r="I2453" s="16" t="inlineStr">
        <is>
          <t>Both use same access_token; only one token fetch.</t>
        </is>
      </c>
      <c r="J2453" s="16" t="inlineStr"/>
      <c r="K2453" s="16" t="inlineStr">
        <is>
          <t>Not Run</t>
        </is>
      </c>
      <c r="L2453" s="16" t="inlineStr">
        <is>
          <t>Medium</t>
        </is>
      </c>
      <c r="M2453" s="16" t="inlineStr"/>
      <c r="N2453" s="16" t="inlineStr"/>
      <c r="O2453" s="16" t="inlineStr"/>
    </row>
    <row r="2454" ht="72" customHeight="1">
      <c r="A2454" s="16" t="inlineStr">
        <is>
          <t>TC-AU-0059</t>
        </is>
      </c>
      <c r="B2454" s="16" t="inlineStr">
        <is>
          <t>Authentication</t>
        </is>
      </c>
      <c r="C2454" s="16" t="inlineStr">
        <is>
          <t>Refresh Matrix</t>
        </is>
      </c>
      <c r="D2454" s="16" t="inlineStr">
        <is>
          <t>Functional</t>
        </is>
      </c>
      <c r="E2454" s="16" t="inlineStr">
        <is>
          <t>Auth refresh: OAuth2 different configs same provider (POST)</t>
        </is>
      </c>
      <c r="F2454" s="16" t="inlineStr">
        <is>
          <t>Same IdP, different clientIds</t>
        </is>
      </c>
      <c r="G2454" s="16" t="inlineStr">
        <is>
          <t>1. Each gets own token.</t>
        </is>
      </c>
      <c r="H2454" s="16" t="inlineStr">
        <is>
          <t>refresh method=POST</t>
        </is>
      </c>
      <c r="I2454" s="16" t="inlineStr">
        <is>
          <t>Tokens scoped per request config; no cross-contamination.</t>
        </is>
      </c>
      <c r="J2454" s="16" t="inlineStr"/>
      <c r="K2454" s="16" t="inlineStr">
        <is>
          <t>Not Run</t>
        </is>
      </c>
      <c r="L2454" s="16" t="inlineStr">
        <is>
          <t>Medium</t>
        </is>
      </c>
      <c r="M2454" s="16" t="inlineStr"/>
      <c r="N2454" s="16" t="inlineStr"/>
      <c r="O2454" s="16" t="inlineStr"/>
    </row>
    <row r="2455" ht="72" customHeight="1">
      <c r="A2455" s="16" t="inlineStr">
        <is>
          <t>TC-CR-0019</t>
        </is>
      </c>
      <c r="B2455" s="16" t="inlineStr">
        <is>
          <t>Collections &amp; Requests</t>
        </is>
      </c>
      <c r="C2455" s="16" t="inlineStr">
        <is>
          <t>Reference Safety</t>
        </is>
      </c>
      <c r="D2455" s="16" t="inlineStr">
        <is>
          <t>Regression</t>
        </is>
      </c>
      <c r="E2455" s="16" t="inlineStr">
        <is>
          <t>Plan steps referencing request still resolve</t>
        </is>
      </c>
      <c r="F2455" s="16" t="inlineStr">
        <is>
          <t>-</t>
        </is>
      </c>
      <c r="G2455" s="16" t="inlineStr">
        <is>
          <t>1. Add request to plan.
2. Rename request.
3. Run plan.</t>
        </is>
      </c>
      <c r="H2455" s="16" t="inlineStr">
        <is>
          <t>Rename request</t>
        </is>
      </c>
      <c r="I2455" s="16" t="inlineStr">
        <is>
          <t>Plan still works; step displays new name.</t>
        </is>
      </c>
      <c r="J2455" s="16" t="inlineStr"/>
      <c r="K2455" s="16" t="inlineStr">
        <is>
          <t>Not Run</t>
        </is>
      </c>
      <c r="L2455" s="16" t="inlineStr">
        <is>
          <t>High</t>
        </is>
      </c>
      <c r="M2455" s="16" t="inlineStr"/>
      <c r="N2455" s="16" t="inlineStr"/>
      <c r="O2455" s="16" t="inlineStr"/>
    </row>
    <row r="2456" ht="72" customHeight="1">
      <c r="A2456" s="16" t="inlineStr">
        <is>
          <t>TC-CR-0020</t>
        </is>
      </c>
      <c r="B2456" s="16" t="inlineStr">
        <is>
          <t>Collections &amp; Requests</t>
        </is>
      </c>
      <c r="C2456" s="16" t="inlineStr">
        <is>
          <t>Reference Safety</t>
        </is>
      </c>
      <c r="D2456" s="16" t="inlineStr">
        <is>
          <t>Regression</t>
        </is>
      </c>
      <c r="E2456" s="16" t="inlineStr">
        <is>
          <t>History entries display old or current name consistently</t>
        </is>
      </c>
      <c r="F2456" s="16" t="inlineStr">
        <is>
          <t>-</t>
        </is>
      </c>
      <c r="G2456" s="16" t="inlineStr">
        <is>
          <t>1. Run; rename.
2. History.</t>
        </is>
      </c>
      <c r="H2456" s="16" t="inlineStr">
        <is>
          <t>Rename request</t>
        </is>
      </c>
      <c r="I2456" s="16" t="inlineStr">
        <is>
          <t>History entries point by id; show current name.</t>
        </is>
      </c>
      <c r="J2456" s="16" t="inlineStr"/>
      <c r="K2456" s="16" t="inlineStr">
        <is>
          <t>Not Run</t>
        </is>
      </c>
      <c r="L2456" s="16" t="inlineStr">
        <is>
          <t>Medium</t>
        </is>
      </c>
      <c r="M2456" s="16" t="inlineStr"/>
      <c r="N2456" s="16" t="inlineStr"/>
      <c r="O2456" s="16" t="inlineStr"/>
    </row>
    <row r="2457" ht="72" customHeight="1">
      <c r="A2457" s="16" t="inlineStr">
        <is>
          <t>TC-CR-0021</t>
        </is>
      </c>
      <c r="B2457" s="16" t="inlineStr">
        <is>
          <t>Collections &amp; Requests</t>
        </is>
      </c>
      <c r="C2457" s="16" t="inlineStr">
        <is>
          <t>Reference Safety</t>
        </is>
      </c>
      <c r="D2457" s="16" t="inlineStr">
        <is>
          <t>Regression</t>
        </is>
      </c>
      <c r="E2457" s="16" t="inlineStr">
        <is>
          <t>Child request paths/IDs unchanged</t>
        </is>
      </c>
      <c r="F2457" s="16" t="inlineStr">
        <is>
          <t>-</t>
        </is>
      </c>
      <c r="G2457" s="16" t="inlineStr">
        <is>
          <t>1. Rename folder.
2. Verify children intact.</t>
        </is>
      </c>
      <c r="H2457" s="16" t="inlineStr">
        <is>
          <t>Rename folder</t>
        </is>
      </c>
      <c r="I2457" s="16" t="inlineStr">
        <is>
          <t>Tree refreshes; no orphaned refs.</t>
        </is>
      </c>
      <c r="J2457" s="16" t="inlineStr"/>
      <c r="K2457" s="16" t="inlineStr">
        <is>
          <t>Not Run</t>
        </is>
      </c>
      <c r="L2457" s="16" t="inlineStr">
        <is>
          <t>High</t>
        </is>
      </c>
      <c r="M2457" s="16" t="inlineStr"/>
      <c r="N2457" s="16" t="inlineStr"/>
      <c r="O2457" s="16" t="inlineStr"/>
    </row>
    <row r="2458" ht="72" customHeight="1">
      <c r="A2458" s="16" t="inlineStr">
        <is>
          <t>TC-CR-0022</t>
        </is>
      </c>
      <c r="B2458" s="16" t="inlineStr">
        <is>
          <t>Collections &amp; Requests</t>
        </is>
      </c>
      <c r="C2458" s="16" t="inlineStr">
        <is>
          <t>Reference Safety</t>
        </is>
      </c>
      <c r="D2458" s="16" t="inlineStr">
        <is>
          <t>Regression</t>
        </is>
      </c>
      <c r="E2458" s="16" t="inlineStr">
        <is>
          <t>Folder-level auth still inherited</t>
        </is>
      </c>
      <c r="F2458" s="16" t="inlineStr">
        <is>
          <t>-</t>
        </is>
      </c>
      <c r="G2458" s="16" t="inlineStr">
        <is>
          <t>1. Folder had Bearer; rename.
2. Child Inherit send.</t>
        </is>
      </c>
      <c r="H2458" s="16" t="inlineStr">
        <is>
          <t>Rename folder</t>
        </is>
      </c>
      <c r="I2458" s="16" t="inlineStr">
        <is>
          <t>Bearer still applied.</t>
        </is>
      </c>
      <c r="J2458" s="16" t="inlineStr"/>
      <c r="K2458" s="16" t="inlineStr">
        <is>
          <t>Not Run</t>
        </is>
      </c>
      <c r="L2458" s="16" t="inlineStr">
        <is>
          <t>Medium</t>
        </is>
      </c>
      <c r="M2458" s="16" t="inlineStr"/>
      <c r="N2458" s="16" t="inlineStr"/>
      <c r="O2458" s="16" t="inlineStr"/>
    </row>
    <row r="2459" ht="72" customHeight="1">
      <c r="A2459" s="16" t="inlineStr">
        <is>
          <t>TC-CR-0023</t>
        </is>
      </c>
      <c r="B2459" s="16" t="inlineStr">
        <is>
          <t>Collections &amp; Requests</t>
        </is>
      </c>
      <c r="C2459" s="16" t="inlineStr">
        <is>
          <t>Reference Safety</t>
        </is>
      </c>
      <c r="D2459" s="16" t="inlineStr">
        <is>
          <t>Regression</t>
        </is>
      </c>
      <c r="E2459" s="16" t="inlineStr">
        <is>
          <t>Children intact</t>
        </is>
      </c>
      <c r="F2459" s="16" t="inlineStr">
        <is>
          <t>-</t>
        </is>
      </c>
      <c r="G2459" s="16" t="inlineStr">
        <is>
          <t>1. Rename collection.
2. Verify.</t>
        </is>
      </c>
      <c r="H2459" s="16" t="inlineStr">
        <is>
          <t>Rename collection</t>
        </is>
      </c>
      <c r="I2459" s="16" t="inlineStr">
        <is>
          <t>Tree shows new name; children OK.</t>
        </is>
      </c>
      <c r="J2459" s="16" t="inlineStr"/>
      <c r="K2459" s="16" t="inlineStr">
        <is>
          <t>Not Run</t>
        </is>
      </c>
      <c r="L2459" s="16" t="inlineStr">
        <is>
          <t>Medium</t>
        </is>
      </c>
      <c r="M2459" s="16" t="inlineStr"/>
      <c r="N2459" s="16" t="inlineStr"/>
      <c r="O2459" s="16" t="inlineStr"/>
    </row>
    <row r="2460" ht="72" customHeight="1">
      <c r="A2460" s="16" t="inlineStr">
        <is>
          <t>TC-CR-0024</t>
        </is>
      </c>
      <c r="B2460" s="16" t="inlineStr">
        <is>
          <t>Collections &amp; Requests</t>
        </is>
      </c>
      <c r="C2460" s="16" t="inlineStr">
        <is>
          <t>Reference Safety</t>
        </is>
      </c>
      <c r="D2460" s="16" t="inlineStr">
        <is>
          <t>Regression</t>
        </is>
      </c>
      <c r="E2460" s="16" t="inlineStr">
        <is>
          <t>Active env resolution still works</t>
        </is>
      </c>
      <c r="F2460" s="16" t="inlineStr">
        <is>
          <t>-</t>
        </is>
      </c>
      <c r="G2460" s="16" t="inlineStr">
        <is>
          <t>1. Activate; rename.
2. Send a request using env vars.</t>
        </is>
      </c>
      <c r="H2460" s="16" t="inlineStr">
        <is>
          <t>Rename env</t>
        </is>
      </c>
      <c r="I2460" s="16" t="inlineStr">
        <is>
          <t>Vars still resolve; resolution by id.</t>
        </is>
      </c>
      <c r="J2460" s="16" t="inlineStr"/>
      <c r="K2460" s="16" t="inlineStr">
        <is>
          <t>Not Run</t>
        </is>
      </c>
      <c r="L2460" s="16" t="inlineStr">
        <is>
          <t>High</t>
        </is>
      </c>
      <c r="M2460" s="16" t="inlineStr"/>
      <c r="N2460" s="16" t="inlineStr"/>
      <c r="O2460" s="16" t="inlineStr"/>
    </row>
    <row r="2461" ht="72" customHeight="1">
      <c r="A2461" s="16" t="inlineStr">
        <is>
          <t>TC-CR-0025</t>
        </is>
      </c>
      <c r="B2461" s="16" t="inlineStr">
        <is>
          <t>Collections &amp; Requests</t>
        </is>
      </c>
      <c r="C2461" s="16" t="inlineStr">
        <is>
          <t>Reference Safety</t>
        </is>
      </c>
      <c r="D2461" s="16" t="inlineStr">
        <is>
          <t>Regression</t>
        </is>
      </c>
      <c r="E2461" s="16" t="inlineStr">
        <is>
          <t>Linked env priority entry retained</t>
        </is>
      </c>
      <c r="F2461" s="16" t="inlineStr">
        <is>
          <t>-</t>
        </is>
      </c>
      <c r="G2461" s="16" t="inlineStr">
        <is>
          <t>1. Reorder; rename one.</t>
        </is>
      </c>
      <c r="H2461" s="16" t="inlineStr">
        <is>
          <t>Rename env</t>
        </is>
      </c>
      <c r="I2461" s="16" t="inlineStr">
        <is>
          <t>Order preserved.</t>
        </is>
      </c>
      <c r="J2461" s="16" t="inlineStr"/>
      <c r="K2461" s="16" t="inlineStr">
        <is>
          <t>Not Run</t>
        </is>
      </c>
      <c r="L2461" s="16" t="inlineStr">
        <is>
          <t>Medium</t>
        </is>
      </c>
      <c r="M2461" s="16" t="inlineStr"/>
      <c r="N2461" s="16" t="inlineStr"/>
      <c r="O2461" s="16" t="inlineStr"/>
    </row>
    <row r="2462" ht="72" customHeight="1">
      <c r="A2462" s="16" t="inlineStr">
        <is>
          <t>TC-CR-0026</t>
        </is>
      </c>
      <c r="B2462" s="16" t="inlineStr">
        <is>
          <t>Collections &amp; Requests</t>
        </is>
      </c>
      <c r="C2462" s="16" t="inlineStr">
        <is>
          <t>Reference Safety</t>
        </is>
      </c>
      <c r="D2462" s="16" t="inlineStr">
        <is>
          <t>Regression</t>
        </is>
      </c>
      <c r="E2462" s="16" t="inlineStr">
        <is>
          <t>Existing {{var}} refs need updating</t>
        </is>
      </c>
      <c r="F2462" s="16" t="inlineStr">
        <is>
          <t>-</t>
        </is>
      </c>
      <c r="G2462" s="16" t="inlineStr">
        <is>
          <t>1. Rename baseUrl -&gt; apiBase.
2. Send requests using {{baseUrl}}.</t>
        </is>
      </c>
      <c r="H2462" s="16" t="inlineStr">
        <is>
          <t>Rename env var</t>
        </is>
      </c>
      <c r="I2462" s="16" t="inlineStr">
        <is>
          <t>Old refs no longer resolve (empty); UI warns of refs to changed name.</t>
        </is>
      </c>
      <c r="J2462" s="16" t="inlineStr"/>
      <c r="K2462" s="16" t="inlineStr">
        <is>
          <t>Not Run</t>
        </is>
      </c>
      <c r="L2462" s="16" t="inlineStr">
        <is>
          <t>High</t>
        </is>
      </c>
      <c r="M2462" s="16" t="inlineStr"/>
      <c r="N2462" s="16" t="inlineStr"/>
      <c r="O2462" s="16" t="inlineStr"/>
    </row>
    <row r="2463" ht="72" customHeight="1">
      <c r="A2463" s="16" t="inlineStr">
        <is>
          <t>TC-CR-0027</t>
        </is>
      </c>
      <c r="B2463" s="16" t="inlineStr">
        <is>
          <t>Collections &amp; Requests</t>
        </is>
      </c>
      <c r="C2463" s="16" t="inlineStr">
        <is>
          <t>Reference Safety</t>
        </is>
      </c>
      <c r="D2463" s="16" t="inlineStr">
        <is>
          <t>Regression</t>
        </is>
      </c>
      <c r="E2463" s="16" t="inlineStr">
        <is>
          <t>Plan run history retained</t>
        </is>
      </c>
      <c r="F2463" s="16" t="inlineStr">
        <is>
          <t>-</t>
        </is>
      </c>
      <c r="G2463" s="16" t="inlineStr">
        <is>
          <t>1. Run plan; rename.
2. History.</t>
        </is>
      </c>
      <c r="H2463" s="16" t="inlineStr">
        <is>
          <t>Rename plan</t>
        </is>
      </c>
      <c r="I2463" s="16" t="inlineStr">
        <is>
          <t>History entries linked by id; show new name.</t>
        </is>
      </c>
      <c r="J2463" s="16" t="inlineStr"/>
      <c r="K2463" s="16" t="inlineStr">
        <is>
          <t>Not Run</t>
        </is>
      </c>
      <c r="L2463" s="16" t="inlineStr">
        <is>
          <t>Medium</t>
        </is>
      </c>
      <c r="M2463" s="16" t="inlineStr"/>
      <c r="N2463" s="16" t="inlineStr"/>
      <c r="O2463" s="16" t="inlineStr"/>
    </row>
    <row r="2464" ht="72" customHeight="1">
      <c r="A2464" s="16" t="inlineStr">
        <is>
          <t>TC-CR-0028</t>
        </is>
      </c>
      <c r="B2464" s="16" t="inlineStr">
        <is>
          <t>Collections &amp; Requests</t>
        </is>
      </c>
      <c r="C2464" s="16" t="inlineStr">
        <is>
          <t>Reference Safety</t>
        </is>
      </c>
      <c r="D2464" s="16" t="inlineStr">
        <is>
          <t>Regression</t>
        </is>
      </c>
      <c r="E2464" s="16" t="inlineStr">
        <is>
          <t>Endpoints inside intact</t>
        </is>
      </c>
      <c r="F2464" s="16" t="inlineStr">
        <is>
          <t>-</t>
        </is>
      </c>
      <c r="G2464" s="16" t="inlineStr">
        <is>
          <t>1. Rename.
2. Verify endpoints.</t>
        </is>
      </c>
      <c r="H2464" s="16" t="inlineStr">
        <is>
          <t>Rename mock server</t>
        </is>
      </c>
      <c r="I2464" s="16" t="inlineStr">
        <is>
          <t>Children intact.</t>
        </is>
      </c>
      <c r="J2464" s="16" t="inlineStr"/>
      <c r="K2464" s="16" t="inlineStr">
        <is>
          <t>Not Run</t>
        </is>
      </c>
      <c r="L2464" s="16" t="inlineStr">
        <is>
          <t>Medium</t>
        </is>
      </c>
      <c r="M2464" s="16" t="inlineStr"/>
      <c r="N2464" s="16" t="inlineStr"/>
      <c r="O2464" s="16" t="inlineStr"/>
    </row>
    <row r="2465" ht="72" customHeight="1">
      <c r="A2465" s="16" t="inlineStr">
        <is>
          <t>TC-CR-0029</t>
        </is>
      </c>
      <c r="B2465" s="16" t="inlineStr">
        <is>
          <t>Collections &amp; Requests</t>
        </is>
      </c>
      <c r="C2465" s="16" t="inlineStr">
        <is>
          <t>Reference Safety</t>
        </is>
      </c>
      <c r="D2465" s="16" t="inlineStr">
        <is>
          <t>Regression</t>
        </is>
      </c>
      <c r="E2465" s="16" t="inlineStr">
        <is>
          <t>Selector rules still apply</t>
        </is>
      </c>
      <c r="F2465" s="16" t="inlineStr">
        <is>
          <t>-</t>
        </is>
      </c>
      <c r="G2465" s="16" t="inlineStr">
        <is>
          <t>1. Change path.
2. Hit new path (desktop).</t>
        </is>
      </c>
      <c r="H2465" s="16" t="inlineStr">
        <is>
          <t>Rename mock endpoint path</t>
        </is>
      </c>
      <c r="I2465" s="16" t="inlineStr">
        <is>
          <t>Routes match new path; old path 404.</t>
        </is>
      </c>
      <c r="J2465" s="16" t="inlineStr"/>
      <c r="K2465" s="16" t="inlineStr">
        <is>
          <t>Not Run</t>
        </is>
      </c>
      <c r="L2465" s="16" t="inlineStr">
        <is>
          <t>Medium</t>
        </is>
      </c>
      <c r="M2465" s="16" t="inlineStr"/>
      <c r="N2465" s="16" t="inlineStr"/>
      <c r="O2465" s="16" t="inlineStr"/>
    </row>
    <row r="2466" ht="72" customHeight="1">
      <c r="A2466" s="16" t="inlineStr">
        <is>
          <t>TC-CR-0030</t>
        </is>
      </c>
      <c r="B2466" s="16" t="inlineStr">
        <is>
          <t>Collections &amp; Requests</t>
        </is>
      </c>
      <c r="C2466" s="16" t="inlineStr">
        <is>
          <t>Reference Safety</t>
        </is>
      </c>
      <c r="D2466" s="16" t="inlineStr">
        <is>
          <t>Regression</t>
        </is>
      </c>
      <c r="E2466" s="16" t="inlineStr">
        <is>
          <t>bodySchemaId refs update</t>
        </is>
      </c>
      <c r="F2466" s="16" t="inlineStr">
        <is>
          <t>-</t>
        </is>
      </c>
      <c r="G2466" s="16" t="inlineStr">
        <is>
          <t>1. Rename schema.
2. Inspect a referencing request.</t>
        </is>
      </c>
      <c r="H2466" s="16" t="inlineStr">
        <is>
          <t>Rename JSON Schema</t>
        </is>
      </c>
      <c r="I2466" s="16" t="inlineStr">
        <is>
          <t>Reference updates; validation still works.</t>
        </is>
      </c>
      <c r="J2466" s="16" t="inlineStr"/>
      <c r="K2466" s="16" t="inlineStr">
        <is>
          <t>Not Run</t>
        </is>
      </c>
      <c r="L2466" s="16" t="inlineStr">
        <is>
          <t>High</t>
        </is>
      </c>
      <c r="M2466" s="16" t="inlineStr"/>
      <c r="N2466" s="16" t="inlineStr"/>
      <c r="O2466" s="16" t="inlineStr"/>
    </row>
    <row r="2467" ht="72" customHeight="1">
      <c r="A2467" s="16" t="inlineStr">
        <is>
          <t>TC-CR-0031</t>
        </is>
      </c>
      <c r="B2467" s="16" t="inlineStr">
        <is>
          <t>Collections &amp; Requests</t>
        </is>
      </c>
      <c r="C2467" s="16" t="inlineStr">
        <is>
          <t>Reference Safety</t>
        </is>
      </c>
      <c r="D2467" s="16" t="inlineStr">
        <is>
          <t>Regression</t>
        </is>
      </c>
      <c r="E2467" s="16" t="inlineStr">
        <is>
          <t>Encrypted bytes unchanged</t>
        </is>
      </c>
      <c r="F2467" s="16" t="inlineStr">
        <is>
          <t>-</t>
        </is>
      </c>
      <c r="G2467" s="16" t="inlineStr">
        <is>
          <t>1. Rename label.
2. Verify decryption still works.</t>
        </is>
      </c>
      <c r="H2467" s="16" t="inlineStr">
        <is>
          <t>Rename secret slot label</t>
        </is>
      </c>
      <c r="I2467" s="16" t="inlineStr">
        <is>
          <t>Label updates; encryption intact.</t>
        </is>
      </c>
      <c r="J2467" s="16" t="inlineStr"/>
      <c r="K2467" s="16" t="inlineStr">
        <is>
          <t>Not Run</t>
        </is>
      </c>
      <c r="L2467" s="16" t="inlineStr">
        <is>
          <t>Medium</t>
        </is>
      </c>
      <c r="M2467" s="16" t="inlineStr"/>
      <c r="N2467" s="16" t="inlineStr"/>
      <c r="O2467" s="16" t="inlineStr"/>
    </row>
    <row r="2468" ht="72" customHeight="1">
      <c r="A2468" s="16" t="inlineStr">
        <is>
          <t>TC-CR-0032</t>
        </is>
      </c>
      <c r="B2468" s="16" t="inlineStr">
        <is>
          <t>Collections &amp; Requests</t>
        </is>
      </c>
      <c r="C2468" s="16" t="inlineStr">
        <is>
          <t>Reference Safety</t>
        </is>
      </c>
      <c r="D2468" s="16" t="inlineStr">
        <is>
          <t>Regression</t>
        </is>
      </c>
      <c r="E2468" s="16" t="inlineStr">
        <is>
          <t>Overrides keyed by id intact</t>
        </is>
      </c>
      <c r="F2468" s="16" t="inlineStr">
        <is>
          <t>-</t>
        </is>
      </c>
      <c r="G2468" s="16" t="inlineStr">
        <is>
          <t>1. Rename.
2. Verify overrides.</t>
        </is>
      </c>
      <c r="H2468" s="16" t="inlineStr">
        <is>
          <t>Rename linked workspace alias</t>
        </is>
      </c>
      <c r="I2468" s="16" t="inlineStr">
        <is>
          <t>Overrides keyed by id; intact.</t>
        </is>
      </c>
      <c r="J2468" s="16" t="inlineStr"/>
      <c r="K2468" s="16" t="inlineStr">
        <is>
          <t>Not Run</t>
        </is>
      </c>
      <c r="L2468" s="16" t="inlineStr">
        <is>
          <t>Medium</t>
        </is>
      </c>
      <c r="M2468" s="16" t="inlineStr"/>
      <c r="N2468" s="16" t="inlineStr"/>
      <c r="O2468" s="16" t="inlineStr"/>
    </row>
    <row r="2469" ht="72" customHeight="1">
      <c r="A2469" s="16" t="inlineStr">
        <is>
          <t>TC-CR-0033</t>
        </is>
      </c>
      <c r="B2469" s="16" t="inlineStr">
        <is>
          <t>Collections &amp; Requests</t>
        </is>
      </c>
      <c r="C2469" s="16" t="inlineStr">
        <is>
          <t>Delete Safety</t>
        </is>
      </c>
      <c r="D2469" s="16" t="inlineStr">
        <is>
          <t>Negative</t>
        </is>
      </c>
      <c r="E2469" s="16" t="inlineStr">
        <is>
          <t>Plan handles missing step</t>
        </is>
      </c>
      <c r="F2469" s="16" t="inlineStr">
        <is>
          <t>-</t>
        </is>
      </c>
      <c r="G2469" s="16" t="inlineStr">
        <is>
          <t>1. Add to plan.
2. Delete.
3. Run plan.</t>
        </is>
      </c>
      <c r="H2469" s="16" t="inlineStr">
        <is>
          <t>Delete request used in plan</t>
        </is>
      </c>
      <c r="I2469" s="16" t="inlineStr">
        <is>
          <t>Step shown as 'missing'; run continues (or stops) per design; clear message.</t>
        </is>
      </c>
      <c r="J2469" s="16" t="inlineStr"/>
      <c r="K2469" s="16" t="inlineStr">
        <is>
          <t>Not Run</t>
        </is>
      </c>
      <c r="L2469" s="16" t="inlineStr">
        <is>
          <t>High</t>
        </is>
      </c>
      <c r="M2469" s="16" t="inlineStr"/>
      <c r="N2469" s="16" t="inlineStr"/>
      <c r="O2469" s="16" t="inlineStr"/>
    </row>
    <row r="2470" ht="72" customHeight="1">
      <c r="A2470" s="16" t="inlineStr">
        <is>
          <t>TC-CR-0034</t>
        </is>
      </c>
      <c r="B2470" s="16" t="inlineStr">
        <is>
          <t>Collections &amp; Requests</t>
        </is>
      </c>
      <c r="C2470" s="16" t="inlineStr">
        <is>
          <t>Delete Safety</t>
        </is>
      </c>
      <c r="D2470" s="16" t="inlineStr">
        <is>
          <t>Negative</t>
        </is>
      </c>
      <c r="E2470" s="16" t="inlineStr">
        <is>
          <t>Cascade deletes children</t>
        </is>
      </c>
      <c r="F2470" s="16" t="inlineStr">
        <is>
          <t>-</t>
        </is>
      </c>
      <c r="G2470" s="16" t="inlineStr">
        <is>
          <t>1. Folder w/ 5 requests.
2. Delete.</t>
        </is>
      </c>
      <c r="H2470" s="16" t="inlineStr">
        <is>
          <t>Delete folder with children</t>
        </is>
      </c>
      <c r="I2470" s="16" t="inlineStr">
        <is>
          <t>Confirm mentions child count; cascade.</t>
        </is>
      </c>
      <c r="J2470" s="16" t="inlineStr"/>
      <c r="K2470" s="16" t="inlineStr">
        <is>
          <t>Not Run</t>
        </is>
      </c>
      <c r="L2470" s="16" t="inlineStr">
        <is>
          <t>High</t>
        </is>
      </c>
      <c r="M2470" s="16" t="inlineStr"/>
      <c r="N2470" s="16" t="inlineStr"/>
      <c r="O2470" s="16" t="inlineStr"/>
    </row>
    <row r="2471" ht="72" customHeight="1">
      <c r="A2471" s="16" t="inlineStr">
        <is>
          <t>TC-CR-0035</t>
        </is>
      </c>
      <c r="B2471" s="16" t="inlineStr">
        <is>
          <t>Collections &amp; Requests</t>
        </is>
      </c>
      <c r="C2471" s="16" t="inlineStr">
        <is>
          <t>Delete Safety</t>
        </is>
      </c>
      <c r="D2471" s="16" t="inlineStr">
        <is>
          <t>Negative</t>
        </is>
      </c>
      <c r="E2471" s="16" t="inlineStr">
        <is>
          <t>Full cascade</t>
        </is>
      </c>
      <c r="F2471" s="16" t="inlineStr">
        <is>
          <t>-</t>
        </is>
      </c>
      <c r="G2471" s="16" t="inlineStr">
        <is>
          <t>1. Collection with nested.
2. Delete.</t>
        </is>
      </c>
      <c r="H2471" s="16" t="inlineStr">
        <is>
          <t>Delete collection with everything</t>
        </is>
      </c>
      <c r="I2471" s="16" t="inlineStr">
        <is>
          <t>Full cascade; history references unlinked.</t>
        </is>
      </c>
      <c r="J2471" s="16" t="inlineStr"/>
      <c r="K2471" s="16" t="inlineStr">
        <is>
          <t>Not Run</t>
        </is>
      </c>
      <c r="L2471" s="16" t="inlineStr">
        <is>
          <t>High</t>
        </is>
      </c>
      <c r="M2471" s="16" t="inlineStr"/>
      <c r="N2471" s="16" t="inlineStr"/>
      <c r="O2471" s="16" t="inlineStr"/>
    </row>
    <row r="2472" ht="72" customHeight="1">
      <c r="A2472" s="16" t="inlineStr">
        <is>
          <t>TC-CR-0036</t>
        </is>
      </c>
      <c r="B2472" s="16" t="inlineStr">
        <is>
          <t>Collections &amp; Requests</t>
        </is>
      </c>
      <c r="C2472" s="16" t="inlineStr">
        <is>
          <t>Delete Safety</t>
        </is>
      </c>
      <c r="D2472" s="16" t="inlineStr">
        <is>
          <t>Negative</t>
        </is>
      </c>
      <c r="E2472" s="16" t="inlineStr">
        <is>
          <t>Active env fallback</t>
        </is>
      </c>
      <c r="F2472" s="16" t="inlineStr">
        <is>
          <t>-</t>
        </is>
      </c>
      <c r="G2472" s="16" t="inlineStr">
        <is>
          <t>1. Delete active.</t>
        </is>
      </c>
      <c r="H2472" s="16" t="inlineStr">
        <is>
          <t>Delete env that is active</t>
        </is>
      </c>
      <c r="I2472" s="16" t="inlineStr">
        <is>
          <t>Fallback to no env or next priority.</t>
        </is>
      </c>
      <c r="J2472" s="16" t="inlineStr"/>
      <c r="K2472" s="16" t="inlineStr">
        <is>
          <t>Not Run</t>
        </is>
      </c>
      <c r="L2472" s="16" t="inlineStr">
        <is>
          <t>High</t>
        </is>
      </c>
      <c r="M2472" s="16" t="inlineStr"/>
      <c r="N2472" s="16" t="inlineStr"/>
      <c r="O2472" s="16" t="inlineStr"/>
    </row>
    <row r="2473" ht="72" customHeight="1">
      <c r="A2473" s="16" t="inlineStr">
        <is>
          <t>TC-CR-0037</t>
        </is>
      </c>
      <c r="B2473" s="16" t="inlineStr">
        <is>
          <t>Collections &amp; Requests</t>
        </is>
      </c>
      <c r="C2473" s="16" t="inlineStr">
        <is>
          <t>Delete Safety</t>
        </is>
      </c>
      <c r="D2473" s="16" t="inlineStr">
        <is>
          <t>Negative</t>
        </is>
      </c>
      <c r="E2473" s="16" t="inlineStr">
        <is>
          <t>Overrides become orphaned</t>
        </is>
      </c>
      <c r="F2473" s="16" t="inlineStr">
        <is>
          <t>-</t>
        </is>
      </c>
      <c r="G2473" s="16" t="inlineStr">
        <is>
          <t>1. Delete env on linked WS source.
2. Consumer pulls.</t>
        </is>
      </c>
      <c r="H2473" s="16" t="inlineStr">
        <is>
          <t>Delete env that has linked overrides</t>
        </is>
      </c>
      <c r="I2473" s="16" t="inlineStr">
        <is>
          <t>Consumer shows orphaned override warnings.</t>
        </is>
      </c>
      <c r="J2473" s="16" t="inlineStr"/>
      <c r="K2473" s="16" t="inlineStr">
        <is>
          <t>Not Run</t>
        </is>
      </c>
      <c r="L2473" s="16" t="inlineStr">
        <is>
          <t>Medium</t>
        </is>
      </c>
      <c r="M2473" s="16" t="inlineStr"/>
      <c r="N2473" s="16" t="inlineStr"/>
      <c r="O2473" s="16" t="inlineStr"/>
    </row>
    <row r="2474" ht="72" customHeight="1">
      <c r="A2474" s="16" t="inlineStr">
        <is>
          <t>TC-CR-0038</t>
        </is>
      </c>
      <c r="B2474" s="16" t="inlineStr">
        <is>
          <t>Collections &amp; Requests</t>
        </is>
      </c>
      <c r="C2474" s="16" t="inlineStr">
        <is>
          <t>Delete Safety</t>
        </is>
      </c>
      <c r="D2474" s="16" t="inlineStr">
        <is>
          <t>Negative</t>
        </is>
      </c>
      <c r="E2474" s="16" t="inlineStr">
        <is>
          <t>Refs resolve empty</t>
        </is>
      </c>
      <c r="F2474" s="16" t="inlineStr">
        <is>
          <t>-</t>
        </is>
      </c>
      <c r="G2474" s="16" t="inlineStr">
        <is>
          <t>1. Delete var.
2. Send referencing request.</t>
        </is>
      </c>
      <c r="H2474" s="16" t="inlineStr">
        <is>
          <t>Delete env var referenced by {{var}}</t>
        </is>
      </c>
      <c r="I2474" s="16" t="inlineStr">
        <is>
          <t>Empty resolution; UI shows reference warning where var appears.</t>
        </is>
      </c>
      <c r="J2474" s="16" t="inlineStr"/>
      <c r="K2474" s="16" t="inlineStr">
        <is>
          <t>Not Run</t>
        </is>
      </c>
      <c r="L2474" s="16" t="inlineStr">
        <is>
          <t>High</t>
        </is>
      </c>
      <c r="M2474" s="16" t="inlineStr"/>
      <c r="N2474" s="16" t="inlineStr"/>
      <c r="O2474" s="16" t="inlineStr"/>
    </row>
    <row r="2475" ht="72" customHeight="1">
      <c r="A2475" s="16" t="inlineStr">
        <is>
          <t>TC-CR-0039</t>
        </is>
      </c>
      <c r="B2475" s="16" t="inlineStr">
        <is>
          <t>Collections &amp; Requests</t>
        </is>
      </c>
      <c r="C2475" s="16" t="inlineStr">
        <is>
          <t>Delete Safety</t>
        </is>
      </c>
      <c r="D2475" s="16" t="inlineStr">
        <is>
          <t>Negative</t>
        </is>
      </c>
      <c r="E2475" s="16" t="inlineStr">
        <is>
          <t>Schema ref orphaned</t>
        </is>
      </c>
      <c r="F2475" s="16" t="inlineStr">
        <is>
          <t>-</t>
        </is>
      </c>
      <c r="G2475" s="16" t="inlineStr">
        <is>
          <t>1. Delete.
2. Open referencing request.</t>
        </is>
      </c>
      <c r="H2475" s="16" t="inlineStr">
        <is>
          <t>Delete schema referenced by request</t>
        </is>
      </c>
      <c r="I2475" s="16" t="inlineStr">
        <is>
          <t>Warning; body editor reverts to no-schema validation.</t>
        </is>
      </c>
      <c r="J2475" s="16" t="inlineStr"/>
      <c r="K2475" s="16" t="inlineStr">
        <is>
          <t>Not Run</t>
        </is>
      </c>
      <c r="L2475" s="16" t="inlineStr">
        <is>
          <t>High</t>
        </is>
      </c>
      <c r="M2475" s="16" t="inlineStr"/>
      <c r="N2475" s="16" t="inlineStr"/>
      <c r="O2475" s="16" t="inlineStr"/>
    </row>
    <row r="2476" ht="72" customHeight="1">
      <c r="A2476" s="16" t="inlineStr">
        <is>
          <t>TC-CR-0040</t>
        </is>
      </c>
      <c r="B2476" s="16" t="inlineStr">
        <is>
          <t>Collections &amp; Requests</t>
        </is>
      </c>
      <c r="C2476" s="16" t="inlineStr">
        <is>
          <t>Delete Safety</t>
        </is>
      </c>
      <c r="D2476" s="16" t="inlineStr">
        <is>
          <t>Negative</t>
        </is>
      </c>
      <c r="E2476" s="16" t="inlineStr">
        <is>
          <t>Other endpoints unaffected</t>
        </is>
      </c>
      <c r="F2476" s="16" t="inlineStr">
        <is>
          <t>-</t>
        </is>
      </c>
      <c r="G2476" s="16" t="inlineStr">
        <is>
          <t>1. Delete one.
2. Verify others.</t>
        </is>
      </c>
      <c r="H2476" s="16" t="inlineStr">
        <is>
          <t>Delete mock endpoint</t>
        </is>
      </c>
      <c r="I2476" s="16" t="inlineStr">
        <is>
          <t>Only that endpoint removed.</t>
        </is>
      </c>
      <c r="J2476" s="16" t="inlineStr"/>
      <c r="K2476" s="16" t="inlineStr">
        <is>
          <t>Not Run</t>
        </is>
      </c>
      <c r="L2476" s="16" t="inlineStr">
        <is>
          <t>Medium</t>
        </is>
      </c>
      <c r="M2476" s="16" t="inlineStr"/>
      <c r="N2476" s="16" t="inlineStr"/>
      <c r="O2476" s="16" t="inlineStr"/>
    </row>
    <row r="2477" ht="72" customHeight="1">
      <c r="A2477" s="16" t="inlineStr">
        <is>
          <t>TC-CR-0041</t>
        </is>
      </c>
      <c r="B2477" s="16" t="inlineStr">
        <is>
          <t>Collections &amp; Requests</t>
        </is>
      </c>
      <c r="C2477" s="16" t="inlineStr">
        <is>
          <t>Delete Safety</t>
        </is>
      </c>
      <c r="D2477" s="16" t="inlineStr">
        <is>
          <t>Negative</t>
        </is>
      </c>
      <c r="E2477" s="16" t="inlineStr">
        <is>
          <t>Stop runtime first or warn</t>
        </is>
      </c>
      <c r="F2477" s="16" t="inlineStr">
        <is>
          <t>-</t>
        </is>
      </c>
      <c r="G2477" s="16" t="inlineStr">
        <is>
          <t>1. Mock running; delete server.</t>
        </is>
      </c>
      <c r="H2477" s="16" t="inlineStr">
        <is>
          <t>Delete mock server while running</t>
        </is>
      </c>
      <c r="I2477" s="16" t="inlineStr">
        <is>
          <t>App stops runtime before delete; or refuses with clear message.</t>
        </is>
      </c>
      <c r="J2477" s="16" t="inlineStr"/>
      <c r="K2477" s="16" t="inlineStr">
        <is>
          <t>Not Run</t>
        </is>
      </c>
      <c r="L2477" s="16" t="inlineStr">
        <is>
          <t>Medium</t>
        </is>
      </c>
      <c r="M2477" s="16" t="inlineStr"/>
      <c r="N2477" s="16" t="inlineStr"/>
      <c r="O2477" s="16" t="inlineStr"/>
    </row>
    <row r="2478" ht="72" customHeight="1">
      <c r="A2478" s="16" t="inlineStr">
        <is>
          <t>TC-CR-0042</t>
        </is>
      </c>
      <c r="B2478" s="16" t="inlineStr">
        <is>
          <t>Collections &amp; Requests</t>
        </is>
      </c>
      <c r="C2478" s="16" t="inlineStr">
        <is>
          <t>Delete Safety</t>
        </is>
      </c>
      <c r="D2478" s="16" t="inlineStr">
        <is>
          <t>Negative</t>
        </is>
      </c>
      <c r="E2478" s="16" t="inlineStr">
        <is>
          <t>Overrides removed</t>
        </is>
      </c>
      <c r="F2478" s="16" t="inlineStr">
        <is>
          <t>-</t>
        </is>
      </c>
      <c r="G2478" s="16" t="inlineStr">
        <is>
          <t>1. Unlink.</t>
        </is>
      </c>
      <c r="H2478" s="16" t="inlineStr">
        <is>
          <t>Delete linked workspace</t>
        </is>
      </c>
      <c r="I2478" s="16" t="inlineStr">
        <is>
          <t>Overrides cleaned up; UI no longer shows linked tree.</t>
        </is>
      </c>
      <c r="J2478" s="16" t="inlineStr"/>
      <c r="K2478" s="16" t="inlineStr">
        <is>
          <t>Not Run</t>
        </is>
      </c>
      <c r="L2478" s="16" t="inlineStr">
        <is>
          <t>Medium</t>
        </is>
      </c>
      <c r="M2478" s="16" t="inlineStr"/>
      <c r="N2478" s="16" t="inlineStr"/>
      <c r="O2478" s="16" t="inlineStr"/>
    </row>
    <row r="2479" ht="72" customHeight="1">
      <c r="A2479" s="16" t="inlineStr">
        <is>
          <t>TC-CR-0043</t>
        </is>
      </c>
      <c r="B2479" s="16" t="inlineStr">
        <is>
          <t>Collections &amp; Requests</t>
        </is>
      </c>
      <c r="C2479" s="16" t="inlineStr">
        <is>
          <t>Delete Safety</t>
        </is>
      </c>
      <c r="D2479" s="16" t="inlineStr">
        <is>
          <t>Negative</t>
        </is>
      </c>
      <c r="E2479" s="16" t="inlineStr">
        <is>
          <t>Secret references break</t>
        </is>
      </c>
      <c r="F2479" s="16" t="inlineStr">
        <is>
          <t>-</t>
        </is>
      </c>
      <c r="G2479" s="16" t="inlineStr">
        <is>
          <t>1. Delete slot referenced by secret var.</t>
        </is>
      </c>
      <c r="H2479" s="16" t="inlineStr">
        <is>
          <t>Delete secret slot in use</t>
        </is>
      </c>
      <c r="I2479" s="16" t="inlineStr">
        <is>
          <t>Variable shows '&lt;missing slot&gt;'; UI warns.</t>
        </is>
      </c>
      <c r="J2479" s="16" t="inlineStr"/>
      <c r="K2479" s="16" t="inlineStr">
        <is>
          <t>Not Run</t>
        </is>
      </c>
      <c r="L2479" s="16" t="inlineStr">
        <is>
          <t>High</t>
        </is>
      </c>
      <c r="M2479" s="16" t="inlineStr"/>
      <c r="N2479" s="16" t="inlineStr"/>
      <c r="O2479" s="16" t="inlineStr"/>
    </row>
    <row r="2480" ht="72" customHeight="1">
      <c r="A2480" s="16" t="inlineStr">
        <is>
          <t>TC-BC-0097</t>
        </is>
      </c>
      <c r="B2480" s="16" t="inlineStr">
        <is>
          <t>Body Content Variations</t>
        </is>
      </c>
      <c r="C2480" s="16" t="inlineStr">
        <is>
          <t>Encoding</t>
        </is>
      </c>
      <c r="D2480" s="16" t="inlineStr">
        <is>
          <t>Edge Case</t>
        </is>
      </c>
      <c r="E2480" s="16" t="inlineStr">
        <is>
          <t>Body in UTF-8 encoding (raw-json)</t>
        </is>
      </c>
      <c r="F2480" s="16" t="inlineStr">
        <is>
          <t>-</t>
        </is>
      </c>
      <c r="G2480" s="16" t="inlineStr">
        <is>
          <t>1. Set body type raw-json.
2. Provide content encoded as UTF-8 (paste or import).
3. Send.</t>
        </is>
      </c>
      <c r="H2480" s="16" t="inlineStr">
        <is>
          <t>enc=UTF-8 body=raw-json</t>
        </is>
      </c>
      <c r="I2480" s="16" t="inlineStr">
        <is>
          <t>App preserves byte sequence; Content-Type optionally annotates charset; server receives intended bytes; response body decode honors response Content-Type charset.</t>
        </is>
      </c>
      <c r="J2480" s="16" t="inlineStr"/>
      <c r="K2480" s="16" t="inlineStr">
        <is>
          <t>Not Run</t>
        </is>
      </c>
      <c r="L2480" s="16" t="inlineStr">
        <is>
          <t>Medium</t>
        </is>
      </c>
      <c r="M2480" s="16" t="inlineStr"/>
      <c r="N2480" s="16" t="inlineStr"/>
      <c r="O2480" s="16" t="inlineStr"/>
    </row>
    <row r="2481" ht="72" customHeight="1">
      <c r="A2481" s="16" t="inlineStr">
        <is>
          <t>TC-BC-0098</t>
        </is>
      </c>
      <c r="B2481" s="16" t="inlineStr">
        <is>
          <t>Body Content Variations</t>
        </is>
      </c>
      <c r="C2481" s="16" t="inlineStr">
        <is>
          <t>Encoding</t>
        </is>
      </c>
      <c r="D2481" s="16" t="inlineStr">
        <is>
          <t>Edge Case</t>
        </is>
      </c>
      <c r="E2481" s="16" t="inlineStr">
        <is>
          <t>Body in UTF-8 encoding (raw-xml)</t>
        </is>
      </c>
      <c r="F2481" s="16" t="inlineStr">
        <is>
          <t>-</t>
        </is>
      </c>
      <c r="G2481" s="16" t="inlineStr">
        <is>
          <t>1. Set body type raw-xml.
2. Provide content encoded as UTF-8 (paste or import).
3. Send.</t>
        </is>
      </c>
      <c r="H2481" s="16" t="inlineStr">
        <is>
          <t>enc=UTF-8 body=raw-xml</t>
        </is>
      </c>
      <c r="I2481" s="16" t="inlineStr">
        <is>
          <t>App preserves byte sequence; Content-Type optionally annotates charset; server receives intended bytes; response body decode honors response Content-Type charset.</t>
        </is>
      </c>
      <c r="J2481" s="16" t="inlineStr"/>
      <c r="K2481" s="16" t="inlineStr">
        <is>
          <t>Not Run</t>
        </is>
      </c>
      <c r="L2481" s="16" t="inlineStr">
        <is>
          <t>Medium</t>
        </is>
      </c>
      <c r="M2481" s="16" t="inlineStr"/>
      <c r="N2481" s="16" t="inlineStr"/>
      <c r="O2481" s="16" t="inlineStr"/>
    </row>
    <row r="2482" ht="72" customHeight="1">
      <c r="A2482" s="16" t="inlineStr">
        <is>
          <t>TC-BC-0099</t>
        </is>
      </c>
      <c r="B2482" s="16" t="inlineStr">
        <is>
          <t>Body Content Variations</t>
        </is>
      </c>
      <c r="C2482" s="16" t="inlineStr">
        <is>
          <t>Encoding</t>
        </is>
      </c>
      <c r="D2482" s="16" t="inlineStr">
        <is>
          <t>Edge Case</t>
        </is>
      </c>
      <c r="E2482" s="16" t="inlineStr">
        <is>
          <t>Body in UTF-8 encoding (raw-text)</t>
        </is>
      </c>
      <c r="F2482" s="16" t="inlineStr">
        <is>
          <t>-</t>
        </is>
      </c>
      <c r="G2482" s="16" t="inlineStr">
        <is>
          <t>1. Set body type raw-text.
2. Provide content encoded as UTF-8 (paste or import).
3. Send.</t>
        </is>
      </c>
      <c r="H2482" s="16" t="inlineStr">
        <is>
          <t>enc=UTF-8 body=raw-text</t>
        </is>
      </c>
      <c r="I2482" s="16" t="inlineStr">
        <is>
          <t>App preserves byte sequence; Content-Type optionally annotates charset; server receives intended bytes; response body decode honors response Content-Type charset.</t>
        </is>
      </c>
      <c r="J2482" s="16" t="inlineStr"/>
      <c r="K2482" s="16" t="inlineStr">
        <is>
          <t>Not Run</t>
        </is>
      </c>
      <c r="L2482" s="16" t="inlineStr">
        <is>
          <t>Medium</t>
        </is>
      </c>
      <c r="M2482" s="16" t="inlineStr"/>
      <c r="N2482" s="16" t="inlineStr"/>
      <c r="O2482" s="16" t="inlineStr"/>
    </row>
    <row r="2483" ht="72" customHeight="1">
      <c r="A2483" s="16" t="inlineStr">
        <is>
          <t>TC-RP-0313</t>
        </is>
      </c>
      <c r="B2483" s="16" t="inlineStr">
        <is>
          <t>Response Panel</t>
        </is>
      </c>
      <c r="C2483" s="16" t="inlineStr">
        <is>
          <t>Encoding</t>
        </is>
      </c>
      <c r="D2483" s="16" t="inlineStr">
        <is>
          <t>Edge Case</t>
        </is>
      </c>
      <c r="E2483" s="16" t="inlineStr">
        <is>
          <t>Decode response body in UTF-8</t>
        </is>
      </c>
      <c r="F2483" s="16" t="inlineStr">
        <is>
          <t>-</t>
        </is>
      </c>
      <c r="G2483" s="16" t="inlineStr">
        <is>
          <t>1. Send to endpoint that returns UTF-8-encoded body.
2. View response Pretty/Preview.</t>
        </is>
      </c>
      <c r="H2483" s="16" t="inlineStr">
        <is>
          <t>resp-enc=UTF-8</t>
        </is>
      </c>
      <c r="I2483" s="16" t="inlineStr">
        <is>
          <t>Response charset detected from Content-Type or BOM; rendered text correct; raw bytes preserved on Download.</t>
        </is>
      </c>
      <c r="J2483" s="16" t="inlineStr"/>
      <c r="K2483" s="16" t="inlineStr">
        <is>
          <t>Not Run</t>
        </is>
      </c>
      <c r="L2483" s="16" t="inlineStr">
        <is>
          <t>Medium</t>
        </is>
      </c>
      <c r="M2483" s="16" t="inlineStr"/>
      <c r="N2483" s="16" t="inlineStr"/>
      <c r="O2483" s="16" t="inlineStr"/>
    </row>
    <row r="2484" ht="72" customHeight="1">
      <c r="A2484" s="16" t="inlineStr">
        <is>
          <t>TC-BC-0100</t>
        </is>
      </c>
      <c r="B2484" s="16" t="inlineStr">
        <is>
          <t>Body Content Variations</t>
        </is>
      </c>
      <c r="C2484" s="16" t="inlineStr">
        <is>
          <t>Encoding</t>
        </is>
      </c>
      <c r="D2484" s="16" t="inlineStr">
        <is>
          <t>Edge Case</t>
        </is>
      </c>
      <c r="E2484" s="16" t="inlineStr">
        <is>
          <t>Body in UTF-16 LE BOM encoding (raw-json)</t>
        </is>
      </c>
      <c r="F2484" s="16" t="inlineStr">
        <is>
          <t>-</t>
        </is>
      </c>
      <c r="G2484" s="16" t="inlineStr">
        <is>
          <t>1. Set body type raw-json.
2. Provide content encoded as UTF-16 LE BOM (paste or import).
3. Send.</t>
        </is>
      </c>
      <c r="H2484" s="16" t="inlineStr">
        <is>
          <t>enc=UTF-16 LE BOM body=raw-json</t>
        </is>
      </c>
      <c r="I2484" s="16" t="inlineStr">
        <is>
          <t>App preserves byte sequence; Content-Type optionally annotates charset; server receives intended bytes; response body decode honors response Content-Type charset.</t>
        </is>
      </c>
      <c r="J2484" s="16" t="inlineStr"/>
      <c r="K2484" s="16" t="inlineStr">
        <is>
          <t>Not Run</t>
        </is>
      </c>
      <c r="L2484" s="16" t="inlineStr">
        <is>
          <t>Low</t>
        </is>
      </c>
      <c r="M2484" s="16" t="inlineStr"/>
      <c r="N2484" s="16" t="inlineStr"/>
      <c r="O2484" s="16" t="inlineStr"/>
    </row>
    <row r="2485" ht="72" customHeight="1">
      <c r="A2485" s="16" t="inlineStr">
        <is>
          <t>TC-BC-0101</t>
        </is>
      </c>
      <c r="B2485" s="16" t="inlineStr">
        <is>
          <t>Body Content Variations</t>
        </is>
      </c>
      <c r="C2485" s="16" t="inlineStr">
        <is>
          <t>Encoding</t>
        </is>
      </c>
      <c r="D2485" s="16" t="inlineStr">
        <is>
          <t>Edge Case</t>
        </is>
      </c>
      <c r="E2485" s="16" t="inlineStr">
        <is>
          <t>Body in UTF-16 LE BOM encoding (raw-xml)</t>
        </is>
      </c>
      <c r="F2485" s="16" t="inlineStr">
        <is>
          <t>-</t>
        </is>
      </c>
      <c r="G2485" s="16" t="inlineStr">
        <is>
          <t>1. Set body type raw-xml.
2. Provide content encoded as UTF-16 LE BOM (paste or import).
3. Send.</t>
        </is>
      </c>
      <c r="H2485" s="16" t="inlineStr">
        <is>
          <t>enc=UTF-16 LE BOM body=raw-xml</t>
        </is>
      </c>
      <c r="I2485" s="16" t="inlineStr">
        <is>
          <t>App preserves byte sequence; Content-Type optionally annotates charset; server receives intended bytes; response body decode honors response Content-Type charset.</t>
        </is>
      </c>
      <c r="J2485" s="16" t="inlineStr"/>
      <c r="K2485" s="16" t="inlineStr">
        <is>
          <t>Not Run</t>
        </is>
      </c>
      <c r="L2485" s="16" t="inlineStr">
        <is>
          <t>Low</t>
        </is>
      </c>
      <c r="M2485" s="16" t="inlineStr"/>
      <c r="N2485" s="16" t="inlineStr"/>
      <c r="O2485" s="16" t="inlineStr"/>
    </row>
    <row r="2486" ht="72" customHeight="1">
      <c r="A2486" s="16" t="inlineStr">
        <is>
          <t>TC-BC-0102</t>
        </is>
      </c>
      <c r="B2486" s="16" t="inlineStr">
        <is>
          <t>Body Content Variations</t>
        </is>
      </c>
      <c r="C2486" s="16" t="inlineStr">
        <is>
          <t>Encoding</t>
        </is>
      </c>
      <c r="D2486" s="16" t="inlineStr">
        <is>
          <t>Edge Case</t>
        </is>
      </c>
      <c r="E2486" s="16" t="inlineStr">
        <is>
          <t>Body in UTF-16 LE BOM encoding (raw-text)</t>
        </is>
      </c>
      <c r="F2486" s="16" t="inlineStr">
        <is>
          <t>-</t>
        </is>
      </c>
      <c r="G2486" s="16" t="inlineStr">
        <is>
          <t>1. Set body type raw-text.
2. Provide content encoded as UTF-16 LE BOM (paste or import).
3. Send.</t>
        </is>
      </c>
      <c r="H2486" s="16" t="inlineStr">
        <is>
          <t>enc=UTF-16 LE BOM body=raw-text</t>
        </is>
      </c>
      <c r="I2486" s="16" t="inlineStr">
        <is>
          <t>App preserves byte sequence; Content-Type optionally annotates charset; server receives intended bytes; response body decode honors response Content-Type charset.</t>
        </is>
      </c>
      <c r="J2486" s="16" t="inlineStr"/>
      <c r="K2486" s="16" t="inlineStr">
        <is>
          <t>Not Run</t>
        </is>
      </c>
      <c r="L2486" s="16" t="inlineStr">
        <is>
          <t>Low</t>
        </is>
      </c>
      <c r="M2486" s="16" t="inlineStr"/>
      <c r="N2486" s="16" t="inlineStr"/>
      <c r="O2486" s="16" t="inlineStr"/>
    </row>
    <row r="2487" ht="72" customHeight="1">
      <c r="A2487" s="16" t="inlineStr">
        <is>
          <t>TC-RP-0314</t>
        </is>
      </c>
      <c r="B2487" s="16" t="inlineStr">
        <is>
          <t>Response Panel</t>
        </is>
      </c>
      <c r="C2487" s="16" t="inlineStr">
        <is>
          <t>Encoding</t>
        </is>
      </c>
      <c r="D2487" s="16" t="inlineStr">
        <is>
          <t>Edge Case</t>
        </is>
      </c>
      <c r="E2487" s="16" t="inlineStr">
        <is>
          <t>Decode response body in UTF-16 LE BOM</t>
        </is>
      </c>
      <c r="F2487" s="16" t="inlineStr">
        <is>
          <t>-</t>
        </is>
      </c>
      <c r="G2487" s="16" t="inlineStr">
        <is>
          <t>1. Send to endpoint that returns UTF-16 LE BOM-encoded body.
2. View response Pretty/Preview.</t>
        </is>
      </c>
      <c r="H2487" s="16" t="inlineStr">
        <is>
          <t>resp-enc=UTF-16 LE BOM</t>
        </is>
      </c>
      <c r="I2487" s="16" t="inlineStr">
        <is>
          <t>Response charset detected from Content-Type or BOM; rendered text correct; raw bytes preserved on Download.</t>
        </is>
      </c>
      <c r="J2487" s="16" t="inlineStr"/>
      <c r="K2487" s="16" t="inlineStr">
        <is>
          <t>Not Run</t>
        </is>
      </c>
      <c r="L2487" s="16" t="inlineStr">
        <is>
          <t>Low</t>
        </is>
      </c>
      <c r="M2487" s="16" t="inlineStr"/>
      <c r="N2487" s="16" t="inlineStr"/>
      <c r="O2487" s="16" t="inlineStr"/>
    </row>
    <row r="2488" ht="72" customHeight="1">
      <c r="A2488" s="16" t="inlineStr">
        <is>
          <t>TC-BC-0103</t>
        </is>
      </c>
      <c r="B2488" s="16" t="inlineStr">
        <is>
          <t>Body Content Variations</t>
        </is>
      </c>
      <c r="C2488" s="16" t="inlineStr">
        <is>
          <t>Encoding</t>
        </is>
      </c>
      <c r="D2488" s="16" t="inlineStr">
        <is>
          <t>Edge Case</t>
        </is>
      </c>
      <c r="E2488" s="16" t="inlineStr">
        <is>
          <t>Body in UTF-16 BE BOM encoding (raw-json)</t>
        </is>
      </c>
      <c r="F2488" s="16" t="inlineStr">
        <is>
          <t>-</t>
        </is>
      </c>
      <c r="G2488" s="16" t="inlineStr">
        <is>
          <t>1. Set body type raw-json.
2. Provide content encoded as UTF-16 BE BOM (paste or import).
3. Send.</t>
        </is>
      </c>
      <c r="H2488" s="16" t="inlineStr">
        <is>
          <t>enc=UTF-16 BE BOM body=raw-json</t>
        </is>
      </c>
      <c r="I2488" s="16" t="inlineStr">
        <is>
          <t>App preserves byte sequence; Content-Type optionally annotates charset; server receives intended bytes; response body decode honors response Content-Type charset.</t>
        </is>
      </c>
      <c r="J2488" s="16" t="inlineStr"/>
      <c r="K2488" s="16" t="inlineStr">
        <is>
          <t>Not Run</t>
        </is>
      </c>
      <c r="L2488" s="16" t="inlineStr">
        <is>
          <t>Low</t>
        </is>
      </c>
      <c r="M2488" s="16" t="inlineStr"/>
      <c r="N2488" s="16" t="inlineStr"/>
      <c r="O2488" s="16" t="inlineStr"/>
    </row>
    <row r="2489" ht="72" customHeight="1">
      <c r="A2489" s="16" t="inlineStr">
        <is>
          <t>TC-BC-0104</t>
        </is>
      </c>
      <c r="B2489" s="16" t="inlineStr">
        <is>
          <t>Body Content Variations</t>
        </is>
      </c>
      <c r="C2489" s="16" t="inlineStr">
        <is>
          <t>Encoding</t>
        </is>
      </c>
      <c r="D2489" s="16" t="inlineStr">
        <is>
          <t>Edge Case</t>
        </is>
      </c>
      <c r="E2489" s="16" t="inlineStr">
        <is>
          <t>Body in UTF-16 BE BOM encoding (raw-xml)</t>
        </is>
      </c>
      <c r="F2489" s="16" t="inlineStr">
        <is>
          <t>-</t>
        </is>
      </c>
      <c r="G2489" s="16" t="inlineStr">
        <is>
          <t>1. Set body type raw-xml.
2. Provide content encoded as UTF-16 BE BOM (paste or import).
3. Send.</t>
        </is>
      </c>
      <c r="H2489" s="16" t="inlineStr">
        <is>
          <t>enc=UTF-16 BE BOM body=raw-xml</t>
        </is>
      </c>
      <c r="I2489" s="16" t="inlineStr">
        <is>
          <t>App preserves byte sequence; Content-Type optionally annotates charset; server receives intended bytes; response body decode honors response Content-Type charset.</t>
        </is>
      </c>
      <c r="J2489" s="16" t="inlineStr"/>
      <c r="K2489" s="16" t="inlineStr">
        <is>
          <t>Not Run</t>
        </is>
      </c>
      <c r="L2489" s="16" t="inlineStr">
        <is>
          <t>Low</t>
        </is>
      </c>
      <c r="M2489" s="16" t="inlineStr"/>
      <c r="N2489" s="16" t="inlineStr"/>
      <c r="O2489" s="16" t="inlineStr"/>
    </row>
    <row r="2490" ht="72" customHeight="1">
      <c r="A2490" s="16" t="inlineStr">
        <is>
          <t>TC-BC-0105</t>
        </is>
      </c>
      <c r="B2490" s="16" t="inlineStr">
        <is>
          <t>Body Content Variations</t>
        </is>
      </c>
      <c r="C2490" s="16" t="inlineStr">
        <is>
          <t>Encoding</t>
        </is>
      </c>
      <c r="D2490" s="16" t="inlineStr">
        <is>
          <t>Edge Case</t>
        </is>
      </c>
      <c r="E2490" s="16" t="inlineStr">
        <is>
          <t>Body in UTF-16 BE BOM encoding (raw-text)</t>
        </is>
      </c>
      <c r="F2490" s="16" t="inlineStr">
        <is>
          <t>-</t>
        </is>
      </c>
      <c r="G2490" s="16" t="inlineStr">
        <is>
          <t>1. Set body type raw-text.
2. Provide content encoded as UTF-16 BE BOM (paste or import).
3. Send.</t>
        </is>
      </c>
      <c r="H2490" s="16" t="inlineStr">
        <is>
          <t>enc=UTF-16 BE BOM body=raw-text</t>
        </is>
      </c>
      <c r="I2490" s="16" t="inlineStr">
        <is>
          <t>App preserves byte sequence; Content-Type optionally annotates charset; server receives intended bytes; response body decode honors response Content-Type charset.</t>
        </is>
      </c>
      <c r="J2490" s="16" t="inlineStr"/>
      <c r="K2490" s="16" t="inlineStr">
        <is>
          <t>Not Run</t>
        </is>
      </c>
      <c r="L2490" s="16" t="inlineStr">
        <is>
          <t>Low</t>
        </is>
      </c>
      <c r="M2490" s="16" t="inlineStr"/>
      <c r="N2490" s="16" t="inlineStr"/>
      <c r="O2490" s="16" t="inlineStr"/>
    </row>
    <row r="2491" ht="72" customHeight="1">
      <c r="A2491" s="16" t="inlineStr">
        <is>
          <t>TC-RP-0315</t>
        </is>
      </c>
      <c r="B2491" s="16" t="inlineStr">
        <is>
          <t>Response Panel</t>
        </is>
      </c>
      <c r="C2491" s="16" t="inlineStr">
        <is>
          <t>Encoding</t>
        </is>
      </c>
      <c r="D2491" s="16" t="inlineStr">
        <is>
          <t>Edge Case</t>
        </is>
      </c>
      <c r="E2491" s="16" t="inlineStr">
        <is>
          <t>Decode response body in UTF-16 BE BOM</t>
        </is>
      </c>
      <c r="F2491" s="16" t="inlineStr">
        <is>
          <t>-</t>
        </is>
      </c>
      <c r="G2491" s="16" t="inlineStr">
        <is>
          <t>1. Send to endpoint that returns UTF-16 BE BOM-encoded body.
2. View response Pretty/Preview.</t>
        </is>
      </c>
      <c r="H2491" s="16" t="inlineStr">
        <is>
          <t>resp-enc=UTF-16 BE BOM</t>
        </is>
      </c>
      <c r="I2491" s="16" t="inlineStr">
        <is>
          <t>Response charset detected from Content-Type or BOM; rendered text correct; raw bytes preserved on Download.</t>
        </is>
      </c>
      <c r="J2491" s="16" t="inlineStr"/>
      <c r="K2491" s="16" t="inlineStr">
        <is>
          <t>Not Run</t>
        </is>
      </c>
      <c r="L2491" s="16" t="inlineStr">
        <is>
          <t>Low</t>
        </is>
      </c>
      <c r="M2491" s="16" t="inlineStr"/>
      <c r="N2491" s="16" t="inlineStr"/>
      <c r="O2491" s="16" t="inlineStr"/>
    </row>
    <row r="2492" ht="72" customHeight="1">
      <c r="A2492" s="16" t="inlineStr">
        <is>
          <t>TC-BC-0106</t>
        </is>
      </c>
      <c r="B2492" s="16" t="inlineStr">
        <is>
          <t>Body Content Variations</t>
        </is>
      </c>
      <c r="C2492" s="16" t="inlineStr">
        <is>
          <t>Encoding</t>
        </is>
      </c>
      <c r="D2492" s="16" t="inlineStr">
        <is>
          <t>Edge Case</t>
        </is>
      </c>
      <c r="E2492" s="16" t="inlineStr">
        <is>
          <t>Body in ISO-8859-1 encoding (raw-json)</t>
        </is>
      </c>
      <c r="F2492" s="16" t="inlineStr">
        <is>
          <t>-</t>
        </is>
      </c>
      <c r="G2492" s="16" t="inlineStr">
        <is>
          <t>1. Set body type raw-json.
2. Provide content encoded as ISO-8859-1 (paste or import).
3. Send.</t>
        </is>
      </c>
      <c r="H2492" s="16" t="inlineStr">
        <is>
          <t>enc=ISO-8859-1 body=raw-json</t>
        </is>
      </c>
      <c r="I2492" s="16" t="inlineStr">
        <is>
          <t>App preserves byte sequence; Content-Type optionally annotates charset; server receives intended bytes; response body decode honors response Content-Type charset.</t>
        </is>
      </c>
      <c r="J2492" s="16" t="inlineStr"/>
      <c r="K2492" s="16" t="inlineStr">
        <is>
          <t>Not Run</t>
        </is>
      </c>
      <c r="L2492" s="16" t="inlineStr">
        <is>
          <t>Low</t>
        </is>
      </c>
      <c r="M2492" s="16" t="inlineStr"/>
      <c r="N2492" s="16" t="inlineStr"/>
      <c r="O2492" s="16" t="inlineStr"/>
    </row>
    <row r="2493" ht="72" customHeight="1">
      <c r="A2493" s="16" t="inlineStr">
        <is>
          <t>TC-BC-0107</t>
        </is>
      </c>
      <c r="B2493" s="16" t="inlineStr">
        <is>
          <t>Body Content Variations</t>
        </is>
      </c>
      <c r="C2493" s="16" t="inlineStr">
        <is>
          <t>Encoding</t>
        </is>
      </c>
      <c r="D2493" s="16" t="inlineStr">
        <is>
          <t>Edge Case</t>
        </is>
      </c>
      <c r="E2493" s="16" t="inlineStr">
        <is>
          <t>Body in ISO-8859-1 encoding (raw-xml)</t>
        </is>
      </c>
      <c r="F2493" s="16" t="inlineStr">
        <is>
          <t>-</t>
        </is>
      </c>
      <c r="G2493" s="16" t="inlineStr">
        <is>
          <t>1. Set body type raw-xml.
2. Provide content encoded as ISO-8859-1 (paste or import).
3. Send.</t>
        </is>
      </c>
      <c r="H2493" s="16" t="inlineStr">
        <is>
          <t>enc=ISO-8859-1 body=raw-xml</t>
        </is>
      </c>
      <c r="I2493" s="16" t="inlineStr">
        <is>
          <t>App preserves byte sequence; Content-Type optionally annotates charset; server receives intended bytes; response body decode honors response Content-Type charset.</t>
        </is>
      </c>
      <c r="J2493" s="16" t="inlineStr"/>
      <c r="K2493" s="16" t="inlineStr">
        <is>
          <t>Not Run</t>
        </is>
      </c>
      <c r="L2493" s="16" t="inlineStr">
        <is>
          <t>Low</t>
        </is>
      </c>
      <c r="M2493" s="16" t="inlineStr"/>
      <c r="N2493" s="16" t="inlineStr"/>
      <c r="O2493" s="16" t="inlineStr"/>
    </row>
    <row r="2494" ht="72" customHeight="1">
      <c r="A2494" s="16" t="inlineStr">
        <is>
          <t>TC-BC-0108</t>
        </is>
      </c>
      <c r="B2494" s="16" t="inlineStr">
        <is>
          <t>Body Content Variations</t>
        </is>
      </c>
      <c r="C2494" s="16" t="inlineStr">
        <is>
          <t>Encoding</t>
        </is>
      </c>
      <c r="D2494" s="16" t="inlineStr">
        <is>
          <t>Edge Case</t>
        </is>
      </c>
      <c r="E2494" s="16" t="inlineStr">
        <is>
          <t>Body in ISO-8859-1 encoding (raw-text)</t>
        </is>
      </c>
      <c r="F2494" s="16" t="inlineStr">
        <is>
          <t>-</t>
        </is>
      </c>
      <c r="G2494" s="16" t="inlineStr">
        <is>
          <t>1. Set body type raw-text.
2. Provide content encoded as ISO-8859-1 (paste or import).
3. Send.</t>
        </is>
      </c>
      <c r="H2494" s="16" t="inlineStr">
        <is>
          <t>enc=ISO-8859-1 body=raw-text</t>
        </is>
      </c>
      <c r="I2494" s="16" t="inlineStr">
        <is>
          <t>App preserves byte sequence; Content-Type optionally annotates charset; server receives intended bytes; response body decode honors response Content-Type charset.</t>
        </is>
      </c>
      <c r="J2494" s="16" t="inlineStr"/>
      <c r="K2494" s="16" t="inlineStr">
        <is>
          <t>Not Run</t>
        </is>
      </c>
      <c r="L2494" s="16" t="inlineStr">
        <is>
          <t>Low</t>
        </is>
      </c>
      <c r="M2494" s="16" t="inlineStr"/>
      <c r="N2494" s="16" t="inlineStr"/>
      <c r="O2494" s="16" t="inlineStr"/>
    </row>
    <row r="2495" ht="72" customHeight="1">
      <c r="A2495" s="16" t="inlineStr">
        <is>
          <t>TC-RP-0316</t>
        </is>
      </c>
      <c r="B2495" s="16" t="inlineStr">
        <is>
          <t>Response Panel</t>
        </is>
      </c>
      <c r="C2495" s="16" t="inlineStr">
        <is>
          <t>Encoding</t>
        </is>
      </c>
      <c r="D2495" s="16" t="inlineStr">
        <is>
          <t>Edge Case</t>
        </is>
      </c>
      <c r="E2495" s="16" t="inlineStr">
        <is>
          <t>Decode response body in ISO-8859-1</t>
        </is>
      </c>
      <c r="F2495" s="16" t="inlineStr">
        <is>
          <t>-</t>
        </is>
      </c>
      <c r="G2495" s="16" t="inlineStr">
        <is>
          <t>1. Send to endpoint that returns ISO-8859-1-encoded body.
2. View response Pretty/Preview.</t>
        </is>
      </c>
      <c r="H2495" s="16" t="inlineStr">
        <is>
          <t>resp-enc=ISO-8859-1</t>
        </is>
      </c>
      <c r="I2495" s="16" t="inlineStr">
        <is>
          <t>Response charset detected from Content-Type or BOM; rendered text correct; raw bytes preserved on Download.</t>
        </is>
      </c>
      <c r="J2495" s="16" t="inlineStr"/>
      <c r="K2495" s="16" t="inlineStr">
        <is>
          <t>Not Run</t>
        </is>
      </c>
      <c r="L2495" s="16" t="inlineStr">
        <is>
          <t>Low</t>
        </is>
      </c>
      <c r="M2495" s="16" t="inlineStr"/>
      <c r="N2495" s="16" t="inlineStr"/>
      <c r="O2495" s="16" t="inlineStr"/>
    </row>
    <row r="2496" ht="72" customHeight="1">
      <c r="A2496" s="16" t="inlineStr">
        <is>
          <t>TC-BC-0109</t>
        </is>
      </c>
      <c r="B2496" s="16" t="inlineStr">
        <is>
          <t>Body Content Variations</t>
        </is>
      </c>
      <c r="C2496" s="16" t="inlineStr">
        <is>
          <t>Encoding</t>
        </is>
      </c>
      <c r="D2496" s="16" t="inlineStr">
        <is>
          <t>Edge Case</t>
        </is>
      </c>
      <c r="E2496" s="16" t="inlineStr">
        <is>
          <t>Body in Windows-1252 encoding (raw-json)</t>
        </is>
      </c>
      <c r="F2496" s="16" t="inlineStr">
        <is>
          <t>-</t>
        </is>
      </c>
      <c r="G2496" s="16" t="inlineStr">
        <is>
          <t>1. Set body type raw-json.
2. Provide content encoded as Windows-1252 (paste or import).
3. Send.</t>
        </is>
      </c>
      <c r="H2496" s="16" t="inlineStr">
        <is>
          <t>enc=Windows-1252 body=raw-json</t>
        </is>
      </c>
      <c r="I2496" s="16" t="inlineStr">
        <is>
          <t>App preserves byte sequence; Content-Type optionally annotates charset; server receives intended bytes; response body decode honors response Content-Type charset.</t>
        </is>
      </c>
      <c r="J2496" s="16" t="inlineStr"/>
      <c r="K2496" s="16" t="inlineStr">
        <is>
          <t>Not Run</t>
        </is>
      </c>
      <c r="L2496" s="16" t="inlineStr">
        <is>
          <t>Low</t>
        </is>
      </c>
      <c r="M2496" s="16" t="inlineStr"/>
      <c r="N2496" s="16" t="inlineStr"/>
      <c r="O2496" s="16" t="inlineStr"/>
    </row>
    <row r="2497" ht="72" customHeight="1">
      <c r="A2497" s="16" t="inlineStr">
        <is>
          <t>TC-BC-0110</t>
        </is>
      </c>
      <c r="B2497" s="16" t="inlineStr">
        <is>
          <t>Body Content Variations</t>
        </is>
      </c>
      <c r="C2497" s="16" t="inlineStr">
        <is>
          <t>Encoding</t>
        </is>
      </c>
      <c r="D2497" s="16" t="inlineStr">
        <is>
          <t>Edge Case</t>
        </is>
      </c>
      <c r="E2497" s="16" t="inlineStr">
        <is>
          <t>Body in Windows-1252 encoding (raw-xml)</t>
        </is>
      </c>
      <c r="F2497" s="16" t="inlineStr">
        <is>
          <t>-</t>
        </is>
      </c>
      <c r="G2497" s="16" t="inlineStr">
        <is>
          <t>1. Set body type raw-xml.
2. Provide content encoded as Windows-1252 (paste or import).
3. Send.</t>
        </is>
      </c>
      <c r="H2497" s="16" t="inlineStr">
        <is>
          <t>enc=Windows-1252 body=raw-xml</t>
        </is>
      </c>
      <c r="I2497" s="16" t="inlineStr">
        <is>
          <t>App preserves byte sequence; Content-Type optionally annotates charset; server receives intended bytes; response body decode honors response Content-Type charset.</t>
        </is>
      </c>
      <c r="J2497" s="16" t="inlineStr"/>
      <c r="K2497" s="16" t="inlineStr">
        <is>
          <t>Not Run</t>
        </is>
      </c>
      <c r="L2497" s="16" t="inlineStr">
        <is>
          <t>Low</t>
        </is>
      </c>
      <c r="M2497" s="16" t="inlineStr"/>
      <c r="N2497" s="16" t="inlineStr"/>
      <c r="O2497" s="16" t="inlineStr"/>
    </row>
    <row r="2498" ht="72" customHeight="1">
      <c r="A2498" s="16" t="inlineStr">
        <is>
          <t>TC-BC-0111</t>
        </is>
      </c>
      <c r="B2498" s="16" t="inlineStr">
        <is>
          <t>Body Content Variations</t>
        </is>
      </c>
      <c r="C2498" s="16" t="inlineStr">
        <is>
          <t>Encoding</t>
        </is>
      </c>
      <c r="D2498" s="16" t="inlineStr">
        <is>
          <t>Edge Case</t>
        </is>
      </c>
      <c r="E2498" s="16" t="inlineStr">
        <is>
          <t>Body in Windows-1252 encoding (raw-text)</t>
        </is>
      </c>
      <c r="F2498" s="16" t="inlineStr">
        <is>
          <t>-</t>
        </is>
      </c>
      <c r="G2498" s="16" t="inlineStr">
        <is>
          <t>1. Set body type raw-text.
2. Provide content encoded as Windows-1252 (paste or import).
3. Send.</t>
        </is>
      </c>
      <c r="H2498" s="16" t="inlineStr">
        <is>
          <t>enc=Windows-1252 body=raw-text</t>
        </is>
      </c>
      <c r="I2498" s="16" t="inlineStr">
        <is>
          <t>App preserves byte sequence; Content-Type optionally annotates charset; server receives intended bytes; response body decode honors response Content-Type charset.</t>
        </is>
      </c>
      <c r="J2498" s="16" t="inlineStr"/>
      <c r="K2498" s="16" t="inlineStr">
        <is>
          <t>Not Run</t>
        </is>
      </c>
      <c r="L2498" s="16" t="inlineStr">
        <is>
          <t>Low</t>
        </is>
      </c>
      <c r="M2498" s="16" t="inlineStr"/>
      <c r="N2498" s="16" t="inlineStr"/>
      <c r="O2498" s="16" t="inlineStr"/>
    </row>
    <row r="2499" ht="72" customHeight="1">
      <c r="A2499" s="16" t="inlineStr">
        <is>
          <t>TC-RP-0317</t>
        </is>
      </c>
      <c r="B2499" s="16" t="inlineStr">
        <is>
          <t>Response Panel</t>
        </is>
      </c>
      <c r="C2499" s="16" t="inlineStr">
        <is>
          <t>Encoding</t>
        </is>
      </c>
      <c r="D2499" s="16" t="inlineStr">
        <is>
          <t>Edge Case</t>
        </is>
      </c>
      <c r="E2499" s="16" t="inlineStr">
        <is>
          <t>Decode response body in Windows-1252</t>
        </is>
      </c>
      <c r="F2499" s="16" t="inlineStr">
        <is>
          <t>-</t>
        </is>
      </c>
      <c r="G2499" s="16" t="inlineStr">
        <is>
          <t>1. Send to endpoint that returns Windows-1252-encoded body.
2. View response Pretty/Preview.</t>
        </is>
      </c>
      <c r="H2499" s="16" t="inlineStr">
        <is>
          <t>resp-enc=Windows-1252</t>
        </is>
      </c>
      <c r="I2499" s="16" t="inlineStr">
        <is>
          <t>Response charset detected from Content-Type or BOM; rendered text correct; raw bytes preserved on Download.</t>
        </is>
      </c>
      <c r="J2499" s="16" t="inlineStr"/>
      <c r="K2499" s="16" t="inlineStr">
        <is>
          <t>Not Run</t>
        </is>
      </c>
      <c r="L2499" s="16" t="inlineStr">
        <is>
          <t>Low</t>
        </is>
      </c>
      <c r="M2499" s="16" t="inlineStr"/>
      <c r="N2499" s="16" t="inlineStr"/>
      <c r="O2499" s="16" t="inlineStr"/>
    </row>
    <row r="2500" ht="72" customHeight="1">
      <c r="A2500" s="16" t="inlineStr">
        <is>
          <t>TC-BC-0112</t>
        </is>
      </c>
      <c r="B2500" s="16" t="inlineStr">
        <is>
          <t>Body Content Variations</t>
        </is>
      </c>
      <c r="C2500" s="16" t="inlineStr">
        <is>
          <t>Encoding</t>
        </is>
      </c>
      <c r="D2500" s="16" t="inlineStr">
        <is>
          <t>Edge Case</t>
        </is>
      </c>
      <c r="E2500" s="16" t="inlineStr">
        <is>
          <t>Body in GBK encoding (raw-json)</t>
        </is>
      </c>
      <c r="F2500" s="16" t="inlineStr">
        <is>
          <t>-</t>
        </is>
      </c>
      <c r="G2500" s="16" t="inlineStr">
        <is>
          <t>1. Set body type raw-json.
2. Provide content encoded as GBK (paste or import).
3. Send.</t>
        </is>
      </c>
      <c r="H2500" s="16" t="inlineStr">
        <is>
          <t>enc=GBK body=raw-json</t>
        </is>
      </c>
      <c r="I2500" s="16" t="inlineStr">
        <is>
          <t>App preserves byte sequence; Content-Type optionally annotates charset; server receives intended bytes; response body decode honors response Content-Type charset.</t>
        </is>
      </c>
      <c r="J2500" s="16" t="inlineStr"/>
      <c r="K2500" s="16" t="inlineStr">
        <is>
          <t>Not Run</t>
        </is>
      </c>
      <c r="L2500" s="16" t="inlineStr">
        <is>
          <t>Low</t>
        </is>
      </c>
      <c r="M2500" s="16" t="inlineStr"/>
      <c r="N2500" s="16" t="inlineStr"/>
      <c r="O2500" s="16" t="inlineStr"/>
    </row>
    <row r="2501" ht="72" customHeight="1">
      <c r="A2501" s="16" t="inlineStr">
        <is>
          <t>TC-BC-0113</t>
        </is>
      </c>
      <c r="B2501" s="16" t="inlineStr">
        <is>
          <t>Body Content Variations</t>
        </is>
      </c>
      <c r="C2501" s="16" t="inlineStr">
        <is>
          <t>Encoding</t>
        </is>
      </c>
      <c r="D2501" s="16" t="inlineStr">
        <is>
          <t>Edge Case</t>
        </is>
      </c>
      <c r="E2501" s="16" t="inlineStr">
        <is>
          <t>Body in GBK encoding (raw-xml)</t>
        </is>
      </c>
      <c r="F2501" s="16" t="inlineStr">
        <is>
          <t>-</t>
        </is>
      </c>
      <c r="G2501" s="16" t="inlineStr">
        <is>
          <t>1. Set body type raw-xml.
2. Provide content encoded as GBK (paste or import).
3. Send.</t>
        </is>
      </c>
      <c r="H2501" s="16" t="inlineStr">
        <is>
          <t>enc=GBK body=raw-xml</t>
        </is>
      </c>
      <c r="I2501" s="16" t="inlineStr">
        <is>
          <t>App preserves byte sequence; Content-Type optionally annotates charset; server receives intended bytes; response body decode honors response Content-Type charset.</t>
        </is>
      </c>
      <c r="J2501" s="16" t="inlineStr"/>
      <c r="K2501" s="16" t="inlineStr">
        <is>
          <t>Not Run</t>
        </is>
      </c>
      <c r="L2501" s="16" t="inlineStr">
        <is>
          <t>Low</t>
        </is>
      </c>
      <c r="M2501" s="16" t="inlineStr"/>
      <c r="N2501" s="16" t="inlineStr"/>
      <c r="O2501" s="16" t="inlineStr"/>
    </row>
    <row r="2502" ht="72" customHeight="1">
      <c r="A2502" s="16" t="inlineStr">
        <is>
          <t>TC-BC-0114</t>
        </is>
      </c>
      <c r="B2502" s="16" t="inlineStr">
        <is>
          <t>Body Content Variations</t>
        </is>
      </c>
      <c r="C2502" s="16" t="inlineStr">
        <is>
          <t>Encoding</t>
        </is>
      </c>
      <c r="D2502" s="16" t="inlineStr">
        <is>
          <t>Edge Case</t>
        </is>
      </c>
      <c r="E2502" s="16" t="inlineStr">
        <is>
          <t>Body in GBK encoding (raw-text)</t>
        </is>
      </c>
      <c r="F2502" s="16" t="inlineStr">
        <is>
          <t>-</t>
        </is>
      </c>
      <c r="G2502" s="16" t="inlineStr">
        <is>
          <t>1. Set body type raw-text.
2. Provide content encoded as GBK (paste or import).
3. Send.</t>
        </is>
      </c>
      <c r="H2502" s="16" t="inlineStr">
        <is>
          <t>enc=GBK body=raw-text</t>
        </is>
      </c>
      <c r="I2502" s="16" t="inlineStr">
        <is>
          <t>App preserves byte sequence; Content-Type optionally annotates charset; server receives intended bytes; response body decode honors response Content-Type charset.</t>
        </is>
      </c>
      <c r="J2502" s="16" t="inlineStr"/>
      <c r="K2502" s="16" t="inlineStr">
        <is>
          <t>Not Run</t>
        </is>
      </c>
      <c r="L2502" s="16" t="inlineStr">
        <is>
          <t>Low</t>
        </is>
      </c>
      <c r="M2502" s="16" t="inlineStr"/>
      <c r="N2502" s="16" t="inlineStr"/>
      <c r="O2502" s="16" t="inlineStr"/>
    </row>
    <row r="2503" ht="72" customHeight="1">
      <c r="A2503" s="16" t="inlineStr">
        <is>
          <t>TC-RP-0318</t>
        </is>
      </c>
      <c r="B2503" s="16" t="inlineStr">
        <is>
          <t>Response Panel</t>
        </is>
      </c>
      <c r="C2503" s="16" t="inlineStr">
        <is>
          <t>Encoding</t>
        </is>
      </c>
      <c r="D2503" s="16" t="inlineStr">
        <is>
          <t>Edge Case</t>
        </is>
      </c>
      <c r="E2503" s="16" t="inlineStr">
        <is>
          <t>Decode response body in GBK</t>
        </is>
      </c>
      <c r="F2503" s="16" t="inlineStr">
        <is>
          <t>-</t>
        </is>
      </c>
      <c r="G2503" s="16" t="inlineStr">
        <is>
          <t>1. Send to endpoint that returns GBK-encoded body.
2. View response Pretty/Preview.</t>
        </is>
      </c>
      <c r="H2503" s="16" t="inlineStr">
        <is>
          <t>resp-enc=GBK</t>
        </is>
      </c>
      <c r="I2503" s="16" t="inlineStr">
        <is>
          <t>Response charset detected from Content-Type or BOM; rendered text correct; raw bytes preserved on Download.</t>
        </is>
      </c>
      <c r="J2503" s="16" t="inlineStr"/>
      <c r="K2503" s="16" t="inlineStr">
        <is>
          <t>Not Run</t>
        </is>
      </c>
      <c r="L2503" s="16" t="inlineStr">
        <is>
          <t>Low</t>
        </is>
      </c>
      <c r="M2503" s="16" t="inlineStr"/>
      <c r="N2503" s="16" t="inlineStr"/>
      <c r="O2503" s="16" t="inlineStr"/>
    </row>
    <row r="2504" ht="72" customHeight="1">
      <c r="A2504" s="16" t="inlineStr">
        <is>
          <t>TC-BC-0115</t>
        </is>
      </c>
      <c r="B2504" s="16" t="inlineStr">
        <is>
          <t>Body Content Variations</t>
        </is>
      </c>
      <c r="C2504" s="16" t="inlineStr">
        <is>
          <t>Encoding</t>
        </is>
      </c>
      <c r="D2504" s="16" t="inlineStr">
        <is>
          <t>Edge Case</t>
        </is>
      </c>
      <c r="E2504" s="16" t="inlineStr">
        <is>
          <t>Body in Shift_JIS encoding (raw-json)</t>
        </is>
      </c>
      <c r="F2504" s="16" t="inlineStr">
        <is>
          <t>-</t>
        </is>
      </c>
      <c r="G2504" s="16" t="inlineStr">
        <is>
          <t>1. Set body type raw-json.
2. Provide content encoded as Shift_JIS (paste or import).
3. Send.</t>
        </is>
      </c>
      <c r="H2504" s="16" t="inlineStr">
        <is>
          <t>enc=Shift_JIS body=raw-json</t>
        </is>
      </c>
      <c r="I2504" s="16" t="inlineStr">
        <is>
          <t>App preserves byte sequence; Content-Type optionally annotates charset; server receives intended bytes; response body decode honors response Content-Type charset.</t>
        </is>
      </c>
      <c r="J2504" s="16" t="inlineStr"/>
      <c r="K2504" s="16" t="inlineStr">
        <is>
          <t>Not Run</t>
        </is>
      </c>
      <c r="L2504" s="16" t="inlineStr">
        <is>
          <t>Low</t>
        </is>
      </c>
      <c r="M2504" s="16" t="inlineStr"/>
      <c r="N2504" s="16" t="inlineStr"/>
      <c r="O2504" s="16" t="inlineStr"/>
    </row>
    <row r="2505" ht="72" customHeight="1">
      <c r="A2505" s="16" t="inlineStr">
        <is>
          <t>TC-BC-0116</t>
        </is>
      </c>
      <c r="B2505" s="16" t="inlineStr">
        <is>
          <t>Body Content Variations</t>
        </is>
      </c>
      <c r="C2505" s="16" t="inlineStr">
        <is>
          <t>Encoding</t>
        </is>
      </c>
      <c r="D2505" s="16" t="inlineStr">
        <is>
          <t>Edge Case</t>
        </is>
      </c>
      <c r="E2505" s="16" t="inlineStr">
        <is>
          <t>Body in Shift_JIS encoding (raw-xml)</t>
        </is>
      </c>
      <c r="F2505" s="16" t="inlineStr">
        <is>
          <t>-</t>
        </is>
      </c>
      <c r="G2505" s="16" t="inlineStr">
        <is>
          <t>1. Set body type raw-xml.
2. Provide content encoded as Shift_JIS (paste or import).
3. Send.</t>
        </is>
      </c>
      <c r="H2505" s="16" t="inlineStr">
        <is>
          <t>enc=Shift_JIS body=raw-xml</t>
        </is>
      </c>
      <c r="I2505" s="16" t="inlineStr">
        <is>
          <t>App preserves byte sequence; Content-Type optionally annotates charset; server receives intended bytes; response body decode honors response Content-Type charset.</t>
        </is>
      </c>
      <c r="J2505" s="16" t="inlineStr"/>
      <c r="K2505" s="16" t="inlineStr">
        <is>
          <t>Not Run</t>
        </is>
      </c>
      <c r="L2505" s="16" t="inlineStr">
        <is>
          <t>Low</t>
        </is>
      </c>
      <c r="M2505" s="16" t="inlineStr"/>
      <c r="N2505" s="16" t="inlineStr"/>
      <c r="O2505" s="16" t="inlineStr"/>
    </row>
    <row r="2506" ht="72" customHeight="1">
      <c r="A2506" s="16" t="inlineStr">
        <is>
          <t>TC-BC-0117</t>
        </is>
      </c>
      <c r="B2506" s="16" t="inlineStr">
        <is>
          <t>Body Content Variations</t>
        </is>
      </c>
      <c r="C2506" s="16" t="inlineStr">
        <is>
          <t>Encoding</t>
        </is>
      </c>
      <c r="D2506" s="16" t="inlineStr">
        <is>
          <t>Edge Case</t>
        </is>
      </c>
      <c r="E2506" s="16" t="inlineStr">
        <is>
          <t>Body in Shift_JIS encoding (raw-text)</t>
        </is>
      </c>
      <c r="F2506" s="16" t="inlineStr">
        <is>
          <t>-</t>
        </is>
      </c>
      <c r="G2506" s="16" t="inlineStr">
        <is>
          <t>1. Set body type raw-text.
2. Provide content encoded as Shift_JIS (paste or import).
3. Send.</t>
        </is>
      </c>
      <c r="H2506" s="16" t="inlineStr">
        <is>
          <t>enc=Shift_JIS body=raw-text</t>
        </is>
      </c>
      <c r="I2506" s="16" t="inlineStr">
        <is>
          <t>App preserves byte sequence; Content-Type optionally annotates charset; server receives intended bytes; response body decode honors response Content-Type charset.</t>
        </is>
      </c>
      <c r="J2506" s="16" t="inlineStr"/>
      <c r="K2506" s="16" t="inlineStr">
        <is>
          <t>Not Run</t>
        </is>
      </c>
      <c r="L2506" s="16" t="inlineStr">
        <is>
          <t>Low</t>
        </is>
      </c>
      <c r="M2506" s="16" t="inlineStr"/>
      <c r="N2506" s="16" t="inlineStr"/>
      <c r="O2506" s="16" t="inlineStr"/>
    </row>
    <row r="2507" ht="72" customHeight="1">
      <c r="A2507" s="16" t="inlineStr">
        <is>
          <t>TC-RP-0319</t>
        </is>
      </c>
      <c r="B2507" s="16" t="inlineStr">
        <is>
          <t>Response Panel</t>
        </is>
      </c>
      <c r="C2507" s="16" t="inlineStr">
        <is>
          <t>Encoding</t>
        </is>
      </c>
      <c r="D2507" s="16" t="inlineStr">
        <is>
          <t>Edge Case</t>
        </is>
      </c>
      <c r="E2507" s="16" t="inlineStr">
        <is>
          <t>Decode response body in Shift_JIS</t>
        </is>
      </c>
      <c r="F2507" s="16" t="inlineStr">
        <is>
          <t>-</t>
        </is>
      </c>
      <c r="G2507" s="16" t="inlineStr">
        <is>
          <t>1. Send to endpoint that returns Shift_JIS-encoded body.
2. View response Pretty/Preview.</t>
        </is>
      </c>
      <c r="H2507" s="16" t="inlineStr">
        <is>
          <t>resp-enc=Shift_JIS</t>
        </is>
      </c>
      <c r="I2507" s="16" t="inlineStr">
        <is>
          <t>Response charset detected from Content-Type or BOM; rendered text correct; raw bytes preserved on Download.</t>
        </is>
      </c>
      <c r="J2507" s="16" t="inlineStr"/>
      <c r="K2507" s="16" t="inlineStr">
        <is>
          <t>Not Run</t>
        </is>
      </c>
      <c r="L2507" s="16" t="inlineStr">
        <is>
          <t>Low</t>
        </is>
      </c>
      <c r="M2507" s="16" t="inlineStr"/>
      <c r="N2507" s="16" t="inlineStr"/>
      <c r="O2507" s="16" t="inlineStr"/>
    </row>
    <row r="2508" ht="72" customHeight="1">
      <c r="A2508" s="16" t="inlineStr">
        <is>
          <t>TC-CC-0013</t>
        </is>
      </c>
      <c r="B2508" s="16" t="inlineStr">
        <is>
          <t>Cross-Cutting UX</t>
        </is>
      </c>
      <c r="C2508" s="16" t="inlineStr">
        <is>
          <t>Concurrency</t>
        </is>
      </c>
      <c r="D2508" s="16" t="inlineStr">
        <is>
          <t>Edge Case</t>
        </is>
      </c>
      <c r="E2508" s="16" t="inlineStr">
        <is>
          <t>Concurrency: Two requests in flight</t>
        </is>
      </c>
      <c r="F2508" s="16" t="inlineStr">
        <is>
          <t>-</t>
        </is>
      </c>
      <c r="G2508" s="16" t="inlineStr">
        <is>
          <t>1. Open Request A.
2. Send A.
3. Switch to Request B; Send.</t>
        </is>
      </c>
      <c r="H2508" s="16" t="inlineStr">
        <is>
          <t>Send + Send</t>
        </is>
      </c>
      <c r="I2508" s="16" t="inlineStr">
        <is>
          <t>Both run independently; each updates its own response panel.</t>
        </is>
      </c>
      <c r="J2508" s="16" t="inlineStr"/>
      <c r="K2508" s="16" t="inlineStr">
        <is>
          <t>Not Run</t>
        </is>
      </c>
      <c r="L2508" s="16" t="inlineStr">
        <is>
          <t>High</t>
        </is>
      </c>
      <c r="M2508" s="16" t="inlineStr"/>
      <c r="N2508" s="16" t="inlineStr"/>
      <c r="O2508" s="16" t="inlineStr"/>
    </row>
    <row r="2509" ht="72" customHeight="1">
      <c r="A2509" s="16" t="inlineStr">
        <is>
          <t>TC-CC-0014</t>
        </is>
      </c>
      <c r="B2509" s="16" t="inlineStr">
        <is>
          <t>Cross-Cutting UX</t>
        </is>
      </c>
      <c r="C2509" s="16" t="inlineStr">
        <is>
          <t>Concurrency</t>
        </is>
      </c>
      <c r="D2509" s="16" t="inlineStr">
        <is>
          <t>Edge Case</t>
        </is>
      </c>
      <c r="E2509" s="16" t="inlineStr">
        <is>
          <t>Concurrency: Switch mid-flight</t>
        </is>
      </c>
      <c r="F2509" s="16" t="inlineStr">
        <is>
          <t>-</t>
        </is>
      </c>
      <c r="G2509" s="16" t="inlineStr">
        <is>
          <t>1. Send.
2. Switch workspace.</t>
        </is>
      </c>
      <c r="H2509" s="16" t="inlineStr">
        <is>
          <t>Send + Switch workspace</t>
        </is>
      </c>
      <c r="I2509" s="16" t="inlineStr">
        <is>
          <t>Either request continues to completion in original workspace, or aborts cleanly. Documented behavior.</t>
        </is>
      </c>
      <c r="J2509" s="16" t="inlineStr"/>
      <c r="K2509" s="16" t="inlineStr">
        <is>
          <t>Not Run</t>
        </is>
      </c>
      <c r="L2509" s="16" t="inlineStr">
        <is>
          <t>Medium</t>
        </is>
      </c>
      <c r="M2509" s="16" t="inlineStr"/>
      <c r="N2509" s="16" t="inlineStr"/>
      <c r="O2509" s="16" t="inlineStr"/>
    </row>
    <row r="2510" ht="72" customHeight="1">
      <c r="A2510" s="16" t="inlineStr">
        <is>
          <t>TC-CC-0015</t>
        </is>
      </c>
      <c r="B2510" s="16" t="inlineStr">
        <is>
          <t>Cross-Cutting UX</t>
        </is>
      </c>
      <c r="C2510" s="16" t="inlineStr">
        <is>
          <t>Concurrency</t>
        </is>
      </c>
      <c r="D2510" s="16" t="inlineStr">
        <is>
          <t>Edge Case</t>
        </is>
      </c>
      <c r="E2510" s="16" t="inlineStr">
        <is>
          <t>Concurrency: Delete the request being sent</t>
        </is>
      </c>
      <c r="F2510" s="16" t="inlineStr">
        <is>
          <t>-</t>
        </is>
      </c>
      <c r="G2510" s="16" t="inlineStr">
        <is>
          <t>1. Send.
2. Delete the request.</t>
        </is>
      </c>
      <c r="H2510" s="16" t="inlineStr">
        <is>
          <t>Send + Delete request</t>
        </is>
      </c>
      <c r="I2510" s="16" t="inlineStr">
        <is>
          <t>In-flight completes or aborts; history retains entry (or is sanitized) per design.</t>
        </is>
      </c>
      <c r="J2510" s="16" t="inlineStr"/>
      <c r="K2510" s="16" t="inlineStr">
        <is>
          <t>Not Run</t>
        </is>
      </c>
      <c r="L2510" s="16" t="inlineStr">
        <is>
          <t>Medium</t>
        </is>
      </c>
      <c r="M2510" s="16" t="inlineStr"/>
      <c r="N2510" s="16" t="inlineStr"/>
      <c r="O2510" s="16" t="inlineStr"/>
    </row>
    <row r="2511" ht="72" customHeight="1">
      <c r="A2511" s="16" t="inlineStr">
        <is>
          <t>TC-CC-0016</t>
        </is>
      </c>
      <c r="B2511" s="16" t="inlineStr">
        <is>
          <t>Cross-Cutting UX</t>
        </is>
      </c>
      <c r="C2511" s="16" t="inlineStr">
        <is>
          <t>Concurrency</t>
        </is>
      </c>
      <c r="D2511" s="16" t="inlineStr">
        <is>
          <t>Edge Case</t>
        </is>
      </c>
      <c r="E2511" s="16" t="inlineStr">
        <is>
          <t>Concurrency: Push during request</t>
        </is>
      </c>
      <c r="F2511" s="16" t="inlineStr">
        <is>
          <t>-</t>
        </is>
      </c>
      <c r="G2511" s="16" t="inlineStr">
        <is>
          <t>1. Send.
2. Click Push.</t>
        </is>
      </c>
      <c r="H2511" s="16" t="inlineStr">
        <is>
          <t>Send + Push</t>
        </is>
      </c>
      <c r="I2511" s="16" t="inlineStr">
        <is>
          <t>Push queued or runs in parallel; final state has both completed.</t>
        </is>
      </c>
      <c r="J2511" s="16" t="inlineStr"/>
      <c r="K2511" s="16" t="inlineStr">
        <is>
          <t>Not Run</t>
        </is>
      </c>
      <c r="L2511" s="16" t="inlineStr">
        <is>
          <t>Medium</t>
        </is>
      </c>
      <c r="M2511" s="16" t="inlineStr"/>
      <c r="N2511" s="16" t="inlineStr"/>
      <c r="O2511" s="16" t="inlineStr"/>
    </row>
    <row r="2512" ht="72" customHeight="1">
      <c r="A2512" s="16" t="inlineStr">
        <is>
          <t>TC-CC-0017</t>
        </is>
      </c>
      <c r="B2512" s="16" t="inlineStr">
        <is>
          <t>Cross-Cutting UX</t>
        </is>
      </c>
      <c r="C2512" s="16" t="inlineStr">
        <is>
          <t>Concurrency</t>
        </is>
      </c>
      <c r="D2512" s="16" t="inlineStr">
        <is>
          <t>Edge Case</t>
        </is>
      </c>
      <c r="E2512" s="16" t="inlineStr">
        <is>
          <t>Concurrency: Sequential push/pull</t>
        </is>
      </c>
      <c r="F2512" s="16" t="inlineStr">
        <is>
          <t>-</t>
        </is>
      </c>
      <c r="G2512" s="16" t="inlineStr">
        <is>
          <t>1. Push.
2. Immediately Pull.</t>
        </is>
      </c>
      <c r="H2512" s="16" t="inlineStr">
        <is>
          <t>Push + Pull race</t>
        </is>
      </c>
      <c r="I2512" s="16" t="inlineStr">
        <is>
          <t>Pull sees pushed commit; no resync conflict.</t>
        </is>
      </c>
      <c r="J2512" s="16" t="inlineStr"/>
      <c r="K2512" s="16" t="inlineStr">
        <is>
          <t>Not Run</t>
        </is>
      </c>
      <c r="L2512" s="16" t="inlineStr">
        <is>
          <t>Medium</t>
        </is>
      </c>
      <c r="M2512" s="16" t="inlineStr"/>
      <c r="N2512" s="16" t="inlineStr"/>
      <c r="O2512" s="16" t="inlineStr"/>
    </row>
    <row r="2513" ht="72" customHeight="1">
      <c r="A2513" s="16" t="inlineStr">
        <is>
          <t>TC-CC-0018</t>
        </is>
      </c>
      <c r="B2513" s="16" t="inlineStr">
        <is>
          <t>Cross-Cutting UX</t>
        </is>
      </c>
      <c r="C2513" s="16" t="inlineStr">
        <is>
          <t>Concurrency</t>
        </is>
      </c>
      <c r="D2513" s="16" t="inlineStr">
        <is>
          <t>Edge Case</t>
        </is>
      </c>
      <c r="E2513" s="16" t="inlineStr">
        <is>
          <t>Concurrency: Concurrent edits</t>
        </is>
      </c>
      <c r="F2513" s="16" t="inlineStr">
        <is>
          <t>-</t>
        </is>
      </c>
      <c r="G2513" s="16" t="inlineStr">
        <is>
          <t>1. Type in body.
2. Send before debounce flush.</t>
        </is>
      </c>
      <c r="H2513" s="16" t="inlineStr">
        <is>
          <t>Edit + Send same request</t>
        </is>
      </c>
      <c r="I2513" s="16" t="inlineStr">
        <is>
          <t>Send uses latest editor state; nothing lost.</t>
        </is>
      </c>
      <c r="J2513" s="16" t="inlineStr"/>
      <c r="K2513" s="16" t="inlineStr">
        <is>
          <t>Not Run</t>
        </is>
      </c>
      <c r="L2513" s="16" t="inlineStr">
        <is>
          <t>Medium</t>
        </is>
      </c>
      <c r="M2513" s="16" t="inlineStr"/>
      <c r="N2513" s="16" t="inlineStr"/>
      <c r="O2513" s="16" t="inlineStr"/>
    </row>
    <row r="2514" ht="72" customHeight="1">
      <c r="A2514" s="16" t="inlineStr">
        <is>
          <t>TC-CC-0019</t>
        </is>
      </c>
      <c r="B2514" s="16" t="inlineStr">
        <is>
          <t>Cross-Cutting UX</t>
        </is>
      </c>
      <c r="C2514" s="16" t="inlineStr">
        <is>
          <t>Concurrency</t>
        </is>
      </c>
      <c r="D2514" s="16" t="inlineStr">
        <is>
          <t>Edge Case</t>
        </is>
      </c>
      <c r="E2514" s="16" t="inlineStr">
        <is>
          <t>Concurrency: Edit during plan run</t>
        </is>
      </c>
      <c r="F2514" s="16" t="inlineStr">
        <is>
          <t>-</t>
        </is>
      </c>
      <c r="G2514" s="16" t="inlineStr">
        <is>
          <t>1. Run plan.
2. Edit step 3 mid-run.</t>
        </is>
      </c>
      <c r="H2514" s="16" t="inlineStr">
        <is>
          <t>Plan running + Edit step</t>
        </is>
      </c>
      <c r="I2514" s="16" t="inlineStr">
        <is>
          <t>Either pause until end, or edit applied to next iteration; clear behavior.</t>
        </is>
      </c>
      <c r="J2514" s="16" t="inlineStr"/>
      <c r="K2514" s="16" t="inlineStr">
        <is>
          <t>Not Run</t>
        </is>
      </c>
      <c r="L2514" s="16" t="inlineStr">
        <is>
          <t>Medium</t>
        </is>
      </c>
      <c r="M2514" s="16" t="inlineStr"/>
      <c r="N2514" s="16" t="inlineStr"/>
      <c r="O2514" s="16" t="inlineStr"/>
    </row>
    <row r="2515" ht="72" customHeight="1">
      <c r="A2515" s="16" t="inlineStr">
        <is>
          <t>TC-CC-0020</t>
        </is>
      </c>
      <c r="B2515" s="16" t="inlineStr">
        <is>
          <t>Cross-Cutting UX</t>
        </is>
      </c>
      <c r="C2515" s="16" t="inlineStr">
        <is>
          <t>Concurrency</t>
        </is>
      </c>
      <c r="D2515" s="16" t="inlineStr">
        <is>
          <t>Edge Case</t>
        </is>
      </c>
      <c r="E2515" s="16" t="inlineStr">
        <is>
          <t>Concurrency: Mid-typing variable change</t>
        </is>
      </c>
      <c r="F2515" s="16" t="inlineStr">
        <is>
          <t>-</t>
        </is>
      </c>
      <c r="G2515" s="16" t="inlineStr">
        <is>
          <t>1. Type new value.
2. Send before debounce flush.</t>
        </is>
      </c>
      <c r="H2515" s="16" t="inlineStr">
        <is>
          <t>Edit env var + Send request using var</t>
        </is>
      </c>
      <c r="I2515" s="16" t="inlineStr">
        <is>
          <t>Send uses latest unflushed value (in-memory).</t>
        </is>
      </c>
      <c r="J2515" s="16" t="inlineStr"/>
      <c r="K2515" s="16" t="inlineStr">
        <is>
          <t>Not Run</t>
        </is>
      </c>
      <c r="L2515" s="16" t="inlineStr">
        <is>
          <t>Medium</t>
        </is>
      </c>
      <c r="M2515" s="16" t="inlineStr"/>
      <c r="N2515" s="16" t="inlineStr"/>
      <c r="O2515" s="16" t="inlineStr"/>
    </row>
    <row r="2516" ht="72" customHeight="1">
      <c r="A2516" s="16" t="inlineStr">
        <is>
          <t>TC-CC-0021</t>
        </is>
      </c>
      <c r="B2516" s="16" t="inlineStr">
        <is>
          <t>Cross-Cutting UX</t>
        </is>
      </c>
      <c r="C2516" s="16" t="inlineStr">
        <is>
          <t>Concurrency</t>
        </is>
      </c>
      <c r="D2516" s="16" t="inlineStr">
        <is>
          <t>Edge Case</t>
        </is>
      </c>
      <c r="E2516" s="16" t="inlineStr">
        <is>
          <t>Concurrency: Pull with unsaved</t>
        </is>
      </c>
      <c r="F2516" s="16" t="inlineStr">
        <is>
          <t>-</t>
        </is>
      </c>
      <c r="G2516" s="16" t="inlineStr">
        <is>
          <t>1. Edit; click Refresh.</t>
        </is>
      </c>
      <c r="H2516" s="16" t="inlineStr">
        <is>
          <t>Refresh during local edits</t>
        </is>
      </c>
      <c r="I2516" s="16" t="inlineStr">
        <is>
          <t>Pull merges or warns about unsaved.</t>
        </is>
      </c>
      <c r="J2516" s="16" t="inlineStr"/>
      <c r="K2516" s="16" t="inlineStr">
        <is>
          <t>Not Run</t>
        </is>
      </c>
      <c r="L2516" s="16" t="inlineStr">
        <is>
          <t>Medium</t>
        </is>
      </c>
      <c r="M2516" s="16" t="inlineStr"/>
      <c r="N2516" s="16" t="inlineStr"/>
      <c r="O2516" s="16" t="inlineStr"/>
    </row>
    <row r="2517" ht="72" customHeight="1">
      <c r="A2517" s="16" t="inlineStr">
        <is>
          <t>TC-CC-0022</t>
        </is>
      </c>
      <c r="B2517" s="16" t="inlineStr">
        <is>
          <t>Cross-Cutting UX</t>
        </is>
      </c>
      <c r="C2517" s="16" t="inlineStr">
        <is>
          <t>Concurrency</t>
        </is>
      </c>
      <c r="D2517" s="16" t="inlineStr">
        <is>
          <t>Edge Case</t>
        </is>
      </c>
      <c r="E2517" s="16" t="inlineStr">
        <is>
          <t>Concurrency: Same workspace two tabs</t>
        </is>
      </c>
      <c r="F2517" s="16" t="inlineStr">
        <is>
          <t>-</t>
        </is>
      </c>
      <c r="G2517" s="16" t="inlineStr">
        <is>
          <t>1. Type in A and B.</t>
        </is>
      </c>
      <c r="H2517" s="16" t="inlineStr">
        <is>
          <t>Two tab edits in web app</t>
        </is>
      </c>
      <c r="I2517" s="16" t="inlineStr">
        <is>
          <t>Last-write wins; no IDB corruption.</t>
        </is>
      </c>
      <c r="J2517" s="16" t="inlineStr"/>
      <c r="K2517" s="16" t="inlineStr">
        <is>
          <t>Not Run</t>
        </is>
      </c>
      <c r="L2517" s="16" t="inlineStr">
        <is>
          <t>Medium</t>
        </is>
      </c>
      <c r="M2517" s="16" t="inlineStr"/>
      <c r="N2517" s="16" t="inlineStr"/>
      <c r="O2517" s="16" t="inlineStr"/>
    </row>
    <row r="2518" ht="72" customHeight="1">
      <c r="A2518" s="16" t="inlineStr">
        <is>
          <t>TC-CC-0023</t>
        </is>
      </c>
      <c r="B2518" s="16" t="inlineStr">
        <is>
          <t>Cross-Cutting UX</t>
        </is>
      </c>
      <c r="C2518" s="16" t="inlineStr">
        <is>
          <t>Concurrency</t>
        </is>
      </c>
      <c r="D2518" s="16" t="inlineStr">
        <is>
          <t>Edge Case</t>
        </is>
      </c>
      <c r="E2518" s="16" t="inlineStr">
        <is>
          <t>Concurrency: Edit while running</t>
        </is>
      </c>
      <c r="F2518" s="16" t="inlineStr">
        <is>
          <t>-</t>
        </is>
      </c>
      <c r="G2518" s="16" t="inlineStr">
        <is>
          <t>1. Mock running; edit endpoint.</t>
        </is>
      </c>
      <c r="H2518" s="16" t="inlineStr">
        <is>
          <t>Mock running + edit definition</t>
        </is>
      </c>
      <c r="I2518" s="16" t="inlineStr">
        <is>
          <t>Edit applied on next request (auto-reload) or warn to restart.</t>
        </is>
      </c>
      <c r="J2518" s="16" t="inlineStr"/>
      <c r="K2518" s="16" t="inlineStr">
        <is>
          <t>Not Run</t>
        </is>
      </c>
      <c r="L2518" s="16" t="inlineStr">
        <is>
          <t>Medium</t>
        </is>
      </c>
      <c r="M2518" s="16" t="inlineStr"/>
      <c r="N2518" s="16" t="inlineStr"/>
      <c r="O2518" s="16" t="inlineStr"/>
    </row>
    <row r="2519" ht="72" customHeight="1">
      <c r="A2519" s="16" t="inlineStr">
        <is>
          <t>TC-PE-0008</t>
        </is>
      </c>
      <c r="B2519" s="16" t="inlineStr">
        <is>
          <t>Performance</t>
        </is>
      </c>
      <c r="C2519" s="16" t="inlineStr">
        <is>
          <t>Boundaries</t>
        </is>
      </c>
      <c r="D2519" s="16" t="inlineStr">
        <is>
          <t>Performance</t>
        </is>
      </c>
      <c r="E2519" s="16" t="inlineStr">
        <is>
          <t>Stress: Workspace with 10000 requests</t>
        </is>
      </c>
      <c r="F2519" s="16" t="inlineStr">
        <is>
          <t>-</t>
        </is>
      </c>
      <c r="G2519" s="16" t="inlineStr">
        <is>
          <t>1. Open workspace.</t>
        </is>
      </c>
      <c r="H2519" s="16" t="inlineStr">
        <is>
          <t>Workspace with 10000 requests</t>
        </is>
      </c>
      <c r="I2519" s="16" t="inlineStr">
        <is>
          <t>Tree virtualized; load &lt;10s; scrolling smooth.</t>
        </is>
      </c>
      <c r="J2519" s="16" t="inlineStr"/>
      <c r="K2519" s="16" t="inlineStr">
        <is>
          <t>Not Run</t>
        </is>
      </c>
      <c r="L2519" s="16" t="inlineStr">
        <is>
          <t>Medium</t>
        </is>
      </c>
      <c r="M2519" s="16" t="inlineStr"/>
      <c r="N2519" s="16" t="inlineStr"/>
      <c r="O2519" s="16" t="inlineStr"/>
    </row>
    <row r="2520" ht="72" customHeight="1">
      <c r="A2520" s="16" t="inlineStr">
        <is>
          <t>TC-PE-0009</t>
        </is>
      </c>
      <c r="B2520" s="16" t="inlineStr">
        <is>
          <t>Performance</t>
        </is>
      </c>
      <c r="C2520" s="16" t="inlineStr">
        <is>
          <t>Boundaries</t>
        </is>
      </c>
      <c r="D2520" s="16" t="inlineStr">
        <is>
          <t>Performance</t>
        </is>
      </c>
      <c r="E2520" s="16" t="inlineStr">
        <is>
          <t>Stress: Workspace with 100 collections</t>
        </is>
      </c>
      <c r="F2520" s="16" t="inlineStr">
        <is>
          <t>-</t>
        </is>
      </c>
      <c r="G2520" s="16" t="inlineStr">
        <is>
          <t>1. Open.</t>
        </is>
      </c>
      <c r="H2520" s="16" t="inlineStr">
        <is>
          <t>Workspace with 100 collections</t>
        </is>
      </c>
      <c r="I2520" s="16" t="inlineStr">
        <is>
          <t>Tree loads &lt;3s.</t>
        </is>
      </c>
      <c r="J2520" s="16" t="inlineStr"/>
      <c r="K2520" s="16" t="inlineStr">
        <is>
          <t>Not Run</t>
        </is>
      </c>
      <c r="L2520" s="16" t="inlineStr">
        <is>
          <t>Low</t>
        </is>
      </c>
      <c r="M2520" s="16" t="inlineStr"/>
      <c r="N2520" s="16" t="inlineStr"/>
      <c r="O2520" s="16" t="inlineStr"/>
    </row>
    <row r="2521" ht="72" customHeight="1">
      <c r="A2521" s="16" t="inlineStr">
        <is>
          <t>TC-PE-0010</t>
        </is>
      </c>
      <c r="B2521" s="16" t="inlineStr">
        <is>
          <t>Performance</t>
        </is>
      </c>
      <c r="C2521" s="16" t="inlineStr">
        <is>
          <t>Boundaries</t>
        </is>
      </c>
      <c r="D2521" s="16" t="inlineStr">
        <is>
          <t>Performance</t>
        </is>
      </c>
      <c r="E2521" s="16" t="inlineStr">
        <is>
          <t>Stress: Workspace with 500 folders</t>
        </is>
      </c>
      <c r="F2521" s="16" t="inlineStr">
        <is>
          <t>-</t>
        </is>
      </c>
      <c r="G2521" s="16" t="inlineStr">
        <is>
          <t>1. Open.</t>
        </is>
      </c>
      <c r="H2521" s="16" t="inlineStr">
        <is>
          <t>Workspace with 500 folders</t>
        </is>
      </c>
      <c r="I2521" s="16" t="inlineStr">
        <is>
          <t>Tree responsive.</t>
        </is>
      </c>
      <c r="J2521" s="16" t="inlineStr"/>
      <c r="K2521" s="16" t="inlineStr">
        <is>
          <t>Not Run</t>
        </is>
      </c>
      <c r="L2521" s="16" t="inlineStr">
        <is>
          <t>Low</t>
        </is>
      </c>
      <c r="M2521" s="16" t="inlineStr"/>
      <c r="N2521" s="16" t="inlineStr"/>
      <c r="O2521" s="16" t="inlineStr"/>
    </row>
    <row r="2522" ht="72" customHeight="1">
      <c r="A2522" s="16" t="inlineStr">
        <is>
          <t>TC-PE-0011</t>
        </is>
      </c>
      <c r="B2522" s="16" t="inlineStr">
        <is>
          <t>Performance</t>
        </is>
      </c>
      <c r="C2522" s="16" t="inlineStr">
        <is>
          <t>Boundaries</t>
        </is>
      </c>
      <c r="D2522" s="16" t="inlineStr">
        <is>
          <t>Performance</t>
        </is>
      </c>
      <c r="E2522" s="16" t="inlineStr">
        <is>
          <t>Stress: Workspace with 50 environments</t>
        </is>
      </c>
      <c r="F2522" s="16" t="inlineStr">
        <is>
          <t>-</t>
        </is>
      </c>
      <c r="G2522" s="16" t="inlineStr">
        <is>
          <t>1. Switch env.</t>
        </is>
      </c>
      <c r="H2522" s="16" t="inlineStr">
        <is>
          <t>Workspace with 50 environments</t>
        </is>
      </c>
      <c r="I2522" s="16" t="inlineStr">
        <is>
          <t>Picker responsive; switch &lt;1s.</t>
        </is>
      </c>
      <c r="J2522" s="16" t="inlineStr"/>
      <c r="K2522" s="16" t="inlineStr">
        <is>
          <t>Not Run</t>
        </is>
      </c>
      <c r="L2522" s="16" t="inlineStr">
        <is>
          <t>Low</t>
        </is>
      </c>
      <c r="M2522" s="16" t="inlineStr"/>
      <c r="N2522" s="16" t="inlineStr"/>
      <c r="O2522" s="16" t="inlineStr"/>
    </row>
    <row r="2523" ht="72" customHeight="1">
      <c r="A2523" s="16" t="inlineStr">
        <is>
          <t>TC-PE-0012</t>
        </is>
      </c>
      <c r="B2523" s="16" t="inlineStr">
        <is>
          <t>Performance</t>
        </is>
      </c>
      <c r="C2523" s="16" t="inlineStr">
        <is>
          <t>Boundaries</t>
        </is>
      </c>
      <c r="D2523" s="16" t="inlineStr">
        <is>
          <t>Performance</t>
        </is>
      </c>
      <c r="E2523" s="16" t="inlineStr">
        <is>
          <t>Stress: Workspace with 100 environment vars</t>
        </is>
      </c>
      <c r="F2523" s="16" t="inlineStr">
        <is>
          <t>-</t>
        </is>
      </c>
      <c r="G2523" s="16" t="inlineStr">
        <is>
          <t>1. Open Variables panel.</t>
        </is>
      </c>
      <c r="H2523" s="16" t="inlineStr">
        <is>
          <t>Workspace with 100 environment vars</t>
        </is>
      </c>
      <c r="I2523" s="16" t="inlineStr">
        <is>
          <t>Loads &lt;1s; filtering responsive.</t>
        </is>
      </c>
      <c r="J2523" s="16" t="inlineStr"/>
      <c r="K2523" s="16" t="inlineStr">
        <is>
          <t>Not Run</t>
        </is>
      </c>
      <c r="L2523" s="16" t="inlineStr">
        <is>
          <t>Low</t>
        </is>
      </c>
      <c r="M2523" s="16" t="inlineStr"/>
      <c r="N2523" s="16" t="inlineStr"/>
      <c r="O2523" s="16" t="inlineStr"/>
    </row>
    <row r="2524" ht="72" customHeight="1">
      <c r="A2524" s="16" t="inlineStr">
        <is>
          <t>TC-PE-0013</t>
        </is>
      </c>
      <c r="B2524" s="16" t="inlineStr">
        <is>
          <t>Performance</t>
        </is>
      </c>
      <c r="C2524" s="16" t="inlineStr">
        <is>
          <t>Boundaries</t>
        </is>
      </c>
      <c r="D2524" s="16" t="inlineStr">
        <is>
          <t>Functional</t>
        </is>
      </c>
      <c r="E2524" s="16" t="inlineStr">
        <is>
          <t>Stress: Workspace with 10 mock servers</t>
        </is>
      </c>
      <c r="F2524" s="16" t="inlineStr">
        <is>
          <t>-</t>
        </is>
      </c>
      <c r="G2524" s="16" t="inlineStr">
        <is>
          <t>1. List mocks.</t>
        </is>
      </c>
      <c r="H2524" s="16" t="inlineStr">
        <is>
          <t>Workspace with 10 mock servers</t>
        </is>
      </c>
      <c r="I2524" s="16" t="inlineStr">
        <is>
          <t>All shown.</t>
        </is>
      </c>
      <c r="J2524" s="16" t="inlineStr"/>
      <c r="K2524" s="16" t="inlineStr">
        <is>
          <t>Not Run</t>
        </is>
      </c>
      <c r="L2524" s="16" t="inlineStr">
        <is>
          <t>Low</t>
        </is>
      </c>
      <c r="M2524" s="16" t="inlineStr"/>
      <c r="N2524" s="16" t="inlineStr"/>
      <c r="O2524" s="16" t="inlineStr"/>
    </row>
    <row r="2525" ht="72" customHeight="1">
      <c r="A2525" s="16" t="inlineStr">
        <is>
          <t>TC-PE-0014</t>
        </is>
      </c>
      <c r="B2525" s="16" t="inlineStr">
        <is>
          <t>Performance</t>
        </is>
      </c>
      <c r="C2525" s="16" t="inlineStr">
        <is>
          <t>Boundaries</t>
        </is>
      </c>
      <c r="D2525" s="16" t="inlineStr">
        <is>
          <t>Performance</t>
        </is>
      </c>
      <c r="E2525" s="16" t="inlineStr">
        <is>
          <t>Stress: Mock server with 200 endpoints</t>
        </is>
      </c>
      <c r="F2525" s="16" t="inlineStr">
        <is>
          <t>-</t>
        </is>
      </c>
      <c r="G2525" s="16" t="inlineStr">
        <is>
          <t>1. Open mock; scroll endpoints.</t>
        </is>
      </c>
      <c r="H2525" s="16" t="inlineStr">
        <is>
          <t>Mock server with 200 endpoints</t>
        </is>
      </c>
      <c r="I2525" s="16" t="inlineStr">
        <is>
          <t>Smooth.</t>
        </is>
      </c>
      <c r="J2525" s="16" t="inlineStr"/>
      <c r="K2525" s="16" t="inlineStr">
        <is>
          <t>Not Run</t>
        </is>
      </c>
      <c r="L2525" s="16" t="inlineStr">
        <is>
          <t>Low</t>
        </is>
      </c>
      <c r="M2525" s="16" t="inlineStr"/>
      <c r="N2525" s="16" t="inlineStr"/>
      <c r="O2525" s="16" t="inlineStr"/>
    </row>
    <row r="2526" ht="72" customHeight="1">
      <c r="A2526" s="16" t="inlineStr">
        <is>
          <t>TC-PE-0015</t>
        </is>
      </c>
      <c r="B2526" s="16" t="inlineStr">
        <is>
          <t>Performance</t>
        </is>
      </c>
      <c r="C2526" s="16" t="inlineStr">
        <is>
          <t>Boundaries</t>
        </is>
      </c>
      <c r="D2526" s="16" t="inlineStr">
        <is>
          <t>Performance</t>
        </is>
      </c>
      <c r="E2526" s="16" t="inlineStr">
        <is>
          <t>Stress: Plan with 100 steps</t>
        </is>
      </c>
      <c r="F2526" s="16" t="inlineStr">
        <is>
          <t>-</t>
        </is>
      </c>
      <c r="G2526" s="16" t="inlineStr">
        <is>
          <t>1. Run.</t>
        </is>
      </c>
      <c r="H2526" s="16" t="inlineStr">
        <is>
          <t>Plan with 100 steps</t>
        </is>
      </c>
      <c r="I2526" s="16" t="inlineStr">
        <is>
          <t>Each step shown; UI does not freeze.</t>
        </is>
      </c>
      <c r="J2526" s="16" t="inlineStr"/>
      <c r="K2526" s="16" t="inlineStr">
        <is>
          <t>Not Run</t>
        </is>
      </c>
      <c r="L2526" s="16" t="inlineStr">
        <is>
          <t>Medium</t>
        </is>
      </c>
      <c r="M2526" s="16" t="inlineStr"/>
      <c r="N2526" s="16" t="inlineStr"/>
      <c r="O2526" s="16" t="inlineStr"/>
    </row>
    <row r="2527" ht="72" customHeight="1">
      <c r="A2527" s="16" t="inlineStr">
        <is>
          <t>TC-PE-0016</t>
        </is>
      </c>
      <c r="B2527" s="16" t="inlineStr">
        <is>
          <t>Performance</t>
        </is>
      </c>
      <c r="C2527" s="16" t="inlineStr">
        <is>
          <t>Boundaries</t>
        </is>
      </c>
      <c r="D2527" s="16" t="inlineStr">
        <is>
          <t>Edge Case</t>
        </is>
      </c>
      <c r="E2527" s="16" t="inlineStr">
        <is>
          <t>Stress: Request with 50 headers</t>
        </is>
      </c>
      <c r="F2527" s="16" t="inlineStr">
        <is>
          <t>-</t>
        </is>
      </c>
      <c r="G2527" s="16" t="inlineStr">
        <is>
          <t>1. Send.</t>
        </is>
      </c>
      <c r="H2527" s="16" t="inlineStr">
        <is>
          <t>Request with 50 headers</t>
        </is>
      </c>
      <c r="I2527" s="16" t="inlineStr">
        <is>
          <t>All transmitted.</t>
        </is>
      </c>
      <c r="J2527" s="16" t="inlineStr"/>
      <c r="K2527" s="16" t="inlineStr">
        <is>
          <t>Not Run</t>
        </is>
      </c>
      <c r="L2527" s="16" t="inlineStr">
        <is>
          <t>Low</t>
        </is>
      </c>
      <c r="M2527" s="16" t="inlineStr"/>
      <c r="N2527" s="16" t="inlineStr"/>
      <c r="O2527" s="16" t="inlineStr"/>
    </row>
    <row r="2528" ht="72" customHeight="1">
      <c r="A2528" s="16" t="inlineStr">
        <is>
          <t>TC-PE-0017</t>
        </is>
      </c>
      <c r="B2528" s="16" t="inlineStr">
        <is>
          <t>Performance</t>
        </is>
      </c>
      <c r="C2528" s="16" t="inlineStr">
        <is>
          <t>Boundaries</t>
        </is>
      </c>
      <c r="D2528" s="16" t="inlineStr">
        <is>
          <t>Edge Case</t>
        </is>
      </c>
      <c r="E2528" s="16" t="inlineStr">
        <is>
          <t>Stress: Request with 50 query params</t>
        </is>
      </c>
      <c r="F2528" s="16" t="inlineStr">
        <is>
          <t>-</t>
        </is>
      </c>
      <c r="G2528" s="16" t="inlineStr">
        <is>
          <t>1. Send.</t>
        </is>
      </c>
      <c r="H2528" s="16" t="inlineStr">
        <is>
          <t>Request with 50 query params</t>
        </is>
      </c>
      <c r="I2528" s="16" t="inlineStr">
        <is>
          <t>URL contains all.</t>
        </is>
      </c>
      <c r="J2528" s="16" t="inlineStr"/>
      <c r="K2528" s="16" t="inlineStr">
        <is>
          <t>Not Run</t>
        </is>
      </c>
      <c r="L2528" s="16" t="inlineStr">
        <is>
          <t>Low</t>
        </is>
      </c>
      <c r="M2528" s="16" t="inlineStr"/>
      <c r="N2528" s="16" t="inlineStr"/>
      <c r="O2528" s="16" t="inlineStr"/>
    </row>
    <row r="2529" ht="72" customHeight="1">
      <c r="A2529" s="16" t="inlineStr">
        <is>
          <t>TC-PE-0018</t>
        </is>
      </c>
      <c r="B2529" s="16" t="inlineStr">
        <is>
          <t>Performance</t>
        </is>
      </c>
      <c r="C2529" s="16" t="inlineStr">
        <is>
          <t>Boundaries</t>
        </is>
      </c>
      <c r="D2529" s="16" t="inlineStr">
        <is>
          <t>Performance</t>
        </is>
      </c>
      <c r="E2529" s="16" t="inlineStr">
        <is>
          <t>Stress: Body 100MB raw text</t>
        </is>
      </c>
      <c r="F2529" s="16" t="inlineStr">
        <is>
          <t>-</t>
        </is>
      </c>
      <c r="G2529" s="16" t="inlineStr">
        <is>
          <t>1. Send.</t>
        </is>
      </c>
      <c r="H2529" s="16" t="inlineStr">
        <is>
          <t>Body 100MB raw text</t>
        </is>
      </c>
      <c r="I2529" s="16" t="inlineStr">
        <is>
          <t>Either uploads or surfaces size warning; no crash.</t>
        </is>
      </c>
      <c r="J2529" s="16" t="inlineStr"/>
      <c r="K2529" s="16" t="inlineStr">
        <is>
          <t>Not Run</t>
        </is>
      </c>
      <c r="L2529" s="16" t="inlineStr">
        <is>
          <t>Low</t>
        </is>
      </c>
      <c r="M2529" s="16" t="inlineStr"/>
      <c r="N2529" s="16" t="inlineStr"/>
      <c r="O2529" s="16" t="inlineStr"/>
    </row>
    <row r="2530" ht="72" customHeight="1">
      <c r="A2530" s="16" t="inlineStr">
        <is>
          <t>TC-PE-0019</t>
        </is>
      </c>
      <c r="B2530" s="16" t="inlineStr">
        <is>
          <t>Performance</t>
        </is>
      </c>
      <c r="C2530" s="16" t="inlineStr">
        <is>
          <t>Boundaries</t>
        </is>
      </c>
      <c r="D2530" s="16" t="inlineStr">
        <is>
          <t>Performance</t>
        </is>
      </c>
      <c r="E2530" s="16" t="inlineStr">
        <is>
          <t>Stress: Response 100MB binary</t>
        </is>
      </c>
      <c r="F2530" s="16" t="inlineStr">
        <is>
          <t>-</t>
        </is>
      </c>
      <c r="G2530" s="16" t="inlineStr">
        <is>
          <t>1. Send.</t>
        </is>
      </c>
      <c r="H2530" s="16" t="inlineStr">
        <is>
          <t>Response 100MB binary</t>
        </is>
      </c>
      <c r="I2530" s="16" t="inlineStr">
        <is>
          <t>Preview cap; download streams.</t>
        </is>
      </c>
      <c r="J2530" s="16" t="inlineStr"/>
      <c r="K2530" s="16" t="inlineStr">
        <is>
          <t>Not Run</t>
        </is>
      </c>
      <c r="L2530" s="16" t="inlineStr">
        <is>
          <t>Medium</t>
        </is>
      </c>
      <c r="M2530" s="16" t="inlineStr"/>
      <c r="N2530" s="16" t="inlineStr"/>
      <c r="O2530" s="16" t="inlineStr"/>
    </row>
    <row r="2531" ht="72" customHeight="1">
      <c r="A2531" s="16" t="inlineStr">
        <is>
          <t>TC-PE-0020</t>
        </is>
      </c>
      <c r="B2531" s="16" t="inlineStr">
        <is>
          <t>Performance</t>
        </is>
      </c>
      <c r="C2531" s="16" t="inlineStr">
        <is>
          <t>Boundaries</t>
        </is>
      </c>
      <c r="D2531" s="16" t="inlineStr">
        <is>
          <t>Performance</t>
        </is>
      </c>
      <c r="E2531" s="16" t="inlineStr">
        <is>
          <t>Stress: History with 5000 runs</t>
        </is>
      </c>
      <c r="F2531" s="16" t="inlineStr">
        <is>
          <t>-</t>
        </is>
      </c>
      <c r="G2531" s="16" t="inlineStr">
        <is>
          <t>1. Open history; filter.</t>
        </is>
      </c>
      <c r="H2531" s="16" t="inlineStr">
        <is>
          <t>History with 5000 runs</t>
        </is>
      </c>
      <c r="I2531" s="16" t="inlineStr">
        <is>
          <t>Virtualized; filter responsive.</t>
        </is>
      </c>
      <c r="J2531" s="16" t="inlineStr"/>
      <c r="K2531" s="16" t="inlineStr">
        <is>
          <t>Not Run</t>
        </is>
      </c>
      <c r="L2531" s="16" t="inlineStr">
        <is>
          <t>Medium</t>
        </is>
      </c>
      <c r="M2531" s="16" t="inlineStr"/>
      <c r="N2531" s="16" t="inlineStr"/>
      <c r="O2531" s="16" t="inlineStr"/>
    </row>
    <row r="2532" ht="72" customHeight="1">
      <c r="A2532" s="16" t="inlineStr">
        <is>
          <t>TC-PE-0021</t>
        </is>
      </c>
      <c r="B2532" s="16" t="inlineStr">
        <is>
          <t>Performance</t>
        </is>
      </c>
      <c r="C2532" s="16" t="inlineStr">
        <is>
          <t>Boundaries</t>
        </is>
      </c>
      <c r="D2532" s="16" t="inlineStr">
        <is>
          <t>Performance</t>
        </is>
      </c>
      <c r="E2532" s="16" t="inlineStr">
        <is>
          <t>Stress: Workspace with 1000 history runs and switch</t>
        </is>
      </c>
      <c r="F2532" s="16" t="inlineStr">
        <is>
          <t>-</t>
        </is>
      </c>
      <c r="G2532" s="16" t="inlineStr">
        <is>
          <t>1. Switch workspaces.</t>
        </is>
      </c>
      <c r="H2532" s="16" t="inlineStr">
        <is>
          <t>Workspace with 1000 history runs and switch</t>
        </is>
      </c>
      <c r="I2532" s="16" t="inlineStr">
        <is>
          <t>&lt;2s.</t>
        </is>
      </c>
      <c r="J2532" s="16" t="inlineStr"/>
      <c r="K2532" s="16" t="inlineStr">
        <is>
          <t>Not Run</t>
        </is>
      </c>
      <c r="L2532" s="16" t="inlineStr">
        <is>
          <t>Medium</t>
        </is>
      </c>
      <c r="M2532" s="16" t="inlineStr"/>
      <c r="N2532" s="16" t="inlineStr"/>
      <c r="O2532" s="16" t="inlineStr"/>
    </row>
    <row r="2533" ht="72" customHeight="1">
      <c r="A2533" s="16" t="inlineStr">
        <is>
          <t>TC-PE-0022</t>
        </is>
      </c>
      <c r="B2533" s="16" t="inlineStr">
        <is>
          <t>Performance</t>
        </is>
      </c>
      <c r="C2533" s="16" t="inlineStr">
        <is>
          <t>Boundaries</t>
        </is>
      </c>
      <c r="D2533" s="16" t="inlineStr">
        <is>
          <t>Edge Case</t>
        </is>
      </c>
      <c r="E2533" s="16" t="inlineStr">
        <is>
          <t>Stress: Unicode-heavy workspace (all names CJK)</t>
        </is>
      </c>
      <c r="F2533" s="16" t="inlineStr">
        <is>
          <t>-</t>
        </is>
      </c>
      <c r="G2533" s="16" t="inlineStr">
        <is>
          <t>1. Open.</t>
        </is>
      </c>
      <c r="H2533" s="16" t="inlineStr">
        <is>
          <t>Unicode-heavy workspace (all names CJK)</t>
        </is>
      </c>
      <c r="I2533" s="16" t="inlineStr">
        <is>
          <t>All names render; search works.</t>
        </is>
      </c>
      <c r="J2533" s="16" t="inlineStr"/>
      <c r="K2533" s="16" t="inlineStr">
        <is>
          <t>Not Run</t>
        </is>
      </c>
      <c r="L2533" s="16" t="inlineStr">
        <is>
          <t>Low</t>
        </is>
      </c>
      <c r="M2533" s="16" t="inlineStr"/>
      <c r="N2533" s="16" t="inlineStr"/>
      <c r="O2533" s="16" t="inlineStr"/>
    </row>
    <row r="2534" ht="72" customHeight="1">
      <c r="A2534" s="16" t="inlineStr">
        <is>
          <t>TC-PE-0023</t>
        </is>
      </c>
      <c r="B2534" s="16" t="inlineStr">
        <is>
          <t>Performance</t>
        </is>
      </c>
      <c r="C2534" s="16" t="inlineStr">
        <is>
          <t>Boundaries</t>
        </is>
      </c>
      <c r="D2534" s="16" t="inlineStr">
        <is>
          <t>Edge Case</t>
        </is>
      </c>
      <c r="E2534" s="16" t="inlineStr">
        <is>
          <t>Stress: Very deep folder nesting (20 levels)</t>
        </is>
      </c>
      <c r="F2534" s="16" t="inlineStr">
        <is>
          <t>-</t>
        </is>
      </c>
      <c r="G2534" s="16" t="inlineStr">
        <is>
          <t>1. Open.</t>
        </is>
      </c>
      <c r="H2534" s="16" t="inlineStr">
        <is>
          <t>Very deep folder nesting (20 levels)</t>
        </is>
      </c>
      <c r="I2534" s="16" t="inlineStr">
        <is>
          <t>Renders; no recursion limit hit.</t>
        </is>
      </c>
      <c r="J2534" s="16" t="inlineStr"/>
      <c r="K2534" s="16" t="inlineStr">
        <is>
          <t>Not Run</t>
        </is>
      </c>
      <c r="L2534" s="16" t="inlineStr">
        <is>
          <t>Low</t>
        </is>
      </c>
      <c r="M2534" s="16" t="inlineStr"/>
      <c r="N2534" s="16" t="inlineStr"/>
      <c r="O2534" s="16" t="inlineStr"/>
    </row>
    <row r="2535" ht="72" customHeight="1">
      <c r="A2535" s="16" t="inlineStr">
        <is>
          <t>TC-PE-0024</t>
        </is>
      </c>
      <c r="B2535" s="16" t="inlineStr">
        <is>
          <t>Performance</t>
        </is>
      </c>
      <c r="C2535" s="16" t="inlineStr">
        <is>
          <t>Boundaries</t>
        </is>
      </c>
      <c r="D2535" s="16" t="inlineStr">
        <is>
          <t>Edge Case</t>
        </is>
      </c>
      <c r="E2535" s="16" t="inlineStr">
        <is>
          <t>Stress: Request name with 500 chars</t>
        </is>
      </c>
      <c r="F2535" s="16" t="inlineStr">
        <is>
          <t>-</t>
        </is>
      </c>
      <c r="G2535" s="16" t="inlineStr">
        <is>
          <t>1. Create.</t>
        </is>
      </c>
      <c r="H2535" s="16" t="inlineStr">
        <is>
          <t>Request name with 500 chars</t>
        </is>
      </c>
      <c r="I2535" s="16" t="inlineStr">
        <is>
          <t>Truncated or accepted; tooltip shows full.</t>
        </is>
      </c>
      <c r="J2535" s="16" t="inlineStr"/>
      <c r="K2535" s="16" t="inlineStr">
        <is>
          <t>Not Run</t>
        </is>
      </c>
      <c r="L2535" s="16" t="inlineStr">
        <is>
          <t>Low</t>
        </is>
      </c>
      <c r="M2535" s="16" t="inlineStr"/>
      <c r="N2535" s="16" t="inlineStr"/>
      <c r="O2535" s="16" t="inlineStr"/>
    </row>
    <row r="2536" ht="72" customHeight="1">
      <c r="A2536" s="16" t="inlineStr">
        <is>
          <t>TC-PE-0025</t>
        </is>
      </c>
      <c r="B2536" s="16" t="inlineStr">
        <is>
          <t>Performance</t>
        </is>
      </c>
      <c r="C2536" s="16" t="inlineStr">
        <is>
          <t>Boundaries</t>
        </is>
      </c>
      <c r="D2536" s="16" t="inlineStr">
        <is>
          <t>Edge Case</t>
        </is>
      </c>
      <c r="E2536" s="16" t="inlineStr">
        <is>
          <t>Stress: URL with 16KB length</t>
        </is>
      </c>
      <c r="F2536" s="16" t="inlineStr">
        <is>
          <t>-</t>
        </is>
      </c>
      <c r="G2536" s="16" t="inlineStr">
        <is>
          <t>1. Send.</t>
        </is>
      </c>
      <c r="H2536" s="16" t="inlineStr">
        <is>
          <t>URL with 16KB length</t>
        </is>
      </c>
      <c r="I2536" s="16" t="inlineStr">
        <is>
          <t>Either rejected by client/server with clear error or sent.</t>
        </is>
      </c>
      <c r="J2536" s="16" t="inlineStr"/>
      <c r="K2536" s="16" t="inlineStr">
        <is>
          <t>Not Run</t>
        </is>
      </c>
      <c r="L2536" s="16" t="inlineStr">
        <is>
          <t>Low</t>
        </is>
      </c>
      <c r="M2536" s="16" t="inlineStr"/>
      <c r="N2536" s="16" t="inlineStr"/>
      <c r="O2536" s="16" t="inlineStr"/>
    </row>
    <row r="2537" ht="72" customHeight="1">
      <c r="A2537" s="16" t="inlineStr">
        <is>
          <t>TC-GT-0014</t>
        </is>
      </c>
      <c r="B2537" s="16" t="inlineStr">
        <is>
          <t>Git Integration</t>
        </is>
      </c>
      <c r="C2537" s="16" t="inlineStr">
        <is>
          <t>GitHub Flow</t>
        </is>
      </c>
      <c r="D2537" s="16" t="inlineStr">
        <is>
          <t>Functional</t>
        </is>
      </c>
      <c r="E2537" s="16" t="inlineStr">
        <is>
          <t>GitHub flow: Link to public repo</t>
        </is>
      </c>
      <c r="F2537" s="16" t="inlineStr">
        <is>
          <t>Public repo owned by user</t>
        </is>
      </c>
      <c r="G2537" s="16" t="inlineStr">
        <is>
          <t>1. Link.</t>
        </is>
      </c>
      <c r="H2537" s="16" t="inlineStr">
        <is>
          <t>Link to public repo</t>
        </is>
      </c>
      <c r="I2537" s="16" t="inlineStr">
        <is>
          <t>Repo accepted; working branch created.</t>
        </is>
      </c>
      <c r="J2537" s="16" t="inlineStr"/>
      <c r="K2537" s="16" t="inlineStr">
        <is>
          <t>Not Run</t>
        </is>
      </c>
      <c r="L2537" s="16" t="inlineStr">
        <is>
          <t>High</t>
        </is>
      </c>
      <c r="M2537" s="16" t="inlineStr"/>
      <c r="N2537" s="16" t="inlineStr"/>
      <c r="O2537" s="16" t="inlineStr"/>
    </row>
    <row r="2538" ht="72" customHeight="1">
      <c r="A2538" s="16" t="inlineStr">
        <is>
          <t>TC-GT-0015</t>
        </is>
      </c>
      <c r="B2538" s="16" t="inlineStr">
        <is>
          <t>Git Integration</t>
        </is>
      </c>
      <c r="C2538" s="16" t="inlineStr">
        <is>
          <t>GitHub Flow</t>
        </is>
      </c>
      <c r="D2538" s="16" t="inlineStr">
        <is>
          <t>Functional</t>
        </is>
      </c>
      <c r="E2538" s="16" t="inlineStr">
        <is>
          <t>GitHub flow: Link to private repo with personal token</t>
        </is>
      </c>
      <c r="F2538" s="16" t="inlineStr">
        <is>
          <t>Private with full scope</t>
        </is>
      </c>
      <c r="G2538" s="16" t="inlineStr">
        <is>
          <t>1. Link.</t>
        </is>
      </c>
      <c r="H2538" s="16" t="inlineStr">
        <is>
          <t>Link to private repo with personal token</t>
        </is>
      </c>
      <c r="I2538" s="16" t="inlineStr">
        <is>
          <t>Accepted; private indicator shown.</t>
        </is>
      </c>
      <c r="J2538" s="16" t="inlineStr"/>
      <c r="K2538" s="16" t="inlineStr">
        <is>
          <t>Not Run</t>
        </is>
      </c>
      <c r="L2538" s="16" t="inlineStr">
        <is>
          <t>High</t>
        </is>
      </c>
      <c r="M2538" s="16" t="inlineStr"/>
      <c r="N2538" s="16" t="inlineStr"/>
      <c r="O2538" s="16" t="inlineStr"/>
    </row>
    <row r="2539" ht="72" customHeight="1">
      <c r="A2539" s="16" t="inlineStr">
        <is>
          <t>TC-GT-0016</t>
        </is>
      </c>
      <c r="B2539" s="16" t="inlineStr">
        <is>
          <t>Git Integration</t>
        </is>
      </c>
      <c r="C2539" s="16" t="inlineStr">
        <is>
          <t>GitHub Flow</t>
        </is>
      </c>
      <c r="D2539" s="16" t="inlineStr">
        <is>
          <t>Functional</t>
        </is>
      </c>
      <c r="E2539" s="16" t="inlineStr">
        <is>
          <t>GitHub flow: Link to org repo (member, write)</t>
        </is>
      </c>
      <c r="F2539" s="16" t="inlineStr">
        <is>
          <t>Org member write</t>
        </is>
      </c>
      <c r="G2539" s="16" t="inlineStr">
        <is>
          <t>1. Link.</t>
        </is>
      </c>
      <c r="H2539" s="16" t="inlineStr">
        <is>
          <t>Link to org repo (member, write)</t>
        </is>
      </c>
      <c r="I2539" s="16" t="inlineStr">
        <is>
          <t>Accepted.</t>
        </is>
      </c>
      <c r="J2539" s="16" t="inlineStr"/>
      <c r="K2539" s="16" t="inlineStr">
        <is>
          <t>Not Run</t>
        </is>
      </c>
      <c r="L2539" s="16" t="inlineStr">
        <is>
          <t>Medium</t>
        </is>
      </c>
      <c r="M2539" s="16" t="inlineStr"/>
      <c r="N2539" s="16" t="inlineStr"/>
      <c r="O2539" s="16" t="inlineStr"/>
    </row>
    <row r="2540" ht="72" customHeight="1">
      <c r="A2540" s="16" t="inlineStr">
        <is>
          <t>TC-GT-0017</t>
        </is>
      </c>
      <c r="B2540" s="16" t="inlineStr">
        <is>
          <t>Git Integration</t>
        </is>
      </c>
      <c r="C2540" s="16" t="inlineStr">
        <is>
          <t>GitHub Flow</t>
        </is>
      </c>
      <c r="D2540" s="16" t="inlineStr">
        <is>
          <t>Functional</t>
        </is>
      </c>
      <c r="E2540" s="16" t="inlineStr">
        <is>
          <t>GitHub flow: Link to org repo (member, read-only)</t>
        </is>
      </c>
      <c r="F2540" s="16" t="inlineStr">
        <is>
          <t>Read-only</t>
        </is>
      </c>
      <c r="G2540" s="16" t="inlineStr">
        <is>
          <t>1. Link; attempt Push.</t>
        </is>
      </c>
      <c r="H2540" s="16" t="inlineStr">
        <is>
          <t>Link to org repo (member, read-only)</t>
        </is>
      </c>
      <c r="I2540" s="16" t="inlineStr">
        <is>
          <t>Push fails with clear permission error; read still works.</t>
        </is>
      </c>
      <c r="J2540" s="16" t="inlineStr"/>
      <c r="K2540" s="16" t="inlineStr">
        <is>
          <t>Not Run</t>
        </is>
      </c>
      <c r="L2540" s="16" t="inlineStr">
        <is>
          <t>Medium</t>
        </is>
      </c>
      <c r="M2540" s="16" t="inlineStr"/>
      <c r="N2540" s="16" t="inlineStr"/>
      <c r="O2540" s="16" t="inlineStr"/>
    </row>
    <row r="2541" ht="72" customHeight="1">
      <c r="A2541" s="16" t="inlineStr">
        <is>
          <t>TC-GT-0018</t>
        </is>
      </c>
      <c r="B2541" s="16" t="inlineStr">
        <is>
          <t>Git Integration</t>
        </is>
      </c>
      <c r="C2541" s="16" t="inlineStr">
        <is>
          <t>GitHub Flow</t>
        </is>
      </c>
      <c r="D2541" s="16" t="inlineStr">
        <is>
          <t>Functional</t>
        </is>
      </c>
      <c r="E2541" s="16" t="inlineStr">
        <is>
          <t>GitHub flow: Link to org repo (non-member, public)</t>
        </is>
      </c>
      <c r="F2541" s="16" t="inlineStr">
        <is>
          <t>Non-member public</t>
        </is>
      </c>
      <c r="G2541" s="16" t="inlineStr">
        <is>
          <t>1. Link.</t>
        </is>
      </c>
      <c r="H2541" s="16" t="inlineStr">
        <is>
          <t>Link to org repo (non-member, public)</t>
        </is>
      </c>
      <c r="I2541" s="16" t="inlineStr">
        <is>
          <t>Allowed for read; push fails clearly.</t>
        </is>
      </c>
      <c r="J2541" s="16" t="inlineStr"/>
      <c r="K2541" s="16" t="inlineStr">
        <is>
          <t>Not Run</t>
        </is>
      </c>
      <c r="L2541" s="16" t="inlineStr">
        <is>
          <t>Low</t>
        </is>
      </c>
      <c r="M2541" s="16" t="inlineStr"/>
      <c r="N2541" s="16" t="inlineStr"/>
      <c r="O2541" s="16" t="inlineStr"/>
    </row>
    <row r="2542" ht="72" customHeight="1">
      <c r="A2542" s="16" t="inlineStr">
        <is>
          <t>TC-GT-0019</t>
        </is>
      </c>
      <c r="B2542" s="16" t="inlineStr">
        <is>
          <t>Git Integration</t>
        </is>
      </c>
      <c r="C2542" s="16" t="inlineStr">
        <is>
          <t>GitHub Flow</t>
        </is>
      </c>
      <c r="D2542" s="16" t="inlineStr">
        <is>
          <t>Functional</t>
        </is>
      </c>
      <c r="E2542" s="16" t="inlineStr">
        <is>
          <t>GitHub flow: Link to org repo (non-member, private)</t>
        </is>
      </c>
      <c r="F2542" s="16" t="inlineStr">
        <is>
          <t>Private not accessible</t>
        </is>
      </c>
      <c r="G2542" s="16" t="inlineStr">
        <is>
          <t>1. Link.</t>
        </is>
      </c>
      <c r="H2542" s="16" t="inlineStr">
        <is>
          <t>Link to org repo (non-member, private)</t>
        </is>
      </c>
      <c r="I2542" s="16" t="inlineStr">
        <is>
          <t>Permission error.</t>
        </is>
      </c>
      <c r="J2542" s="16" t="inlineStr"/>
      <c r="K2542" s="16" t="inlineStr">
        <is>
          <t>Not Run</t>
        </is>
      </c>
      <c r="L2542" s="16" t="inlineStr">
        <is>
          <t>Medium</t>
        </is>
      </c>
      <c r="M2542" s="16" t="inlineStr"/>
      <c r="N2542" s="16" t="inlineStr"/>
      <c r="O2542" s="16" t="inlineStr"/>
    </row>
    <row r="2543" ht="72" customHeight="1">
      <c r="A2543" s="16" t="inlineStr">
        <is>
          <t>TC-GT-0020</t>
        </is>
      </c>
      <c r="B2543" s="16" t="inlineStr">
        <is>
          <t>Git Integration</t>
        </is>
      </c>
      <c r="C2543" s="16" t="inlineStr">
        <is>
          <t>GitHub Flow</t>
        </is>
      </c>
      <c r="D2543" s="16" t="inlineStr">
        <is>
          <t>Functional</t>
        </is>
      </c>
      <c r="E2543" s="16" t="inlineStr">
        <is>
          <t>GitHub flow: Link to repo with branch protection</t>
        </is>
      </c>
      <c r="F2543" s="16" t="inlineStr">
        <is>
          <t>Main protected</t>
        </is>
      </c>
      <c r="G2543" s="16" t="inlineStr">
        <is>
          <t>1. Link.</t>
        </is>
      </c>
      <c r="H2543" s="16" t="inlineStr">
        <is>
          <t>Link to repo with branch protection</t>
        </is>
      </c>
      <c r="I2543" s="16" t="inlineStr">
        <is>
          <t>Working branch policy honored; push to main blocked.</t>
        </is>
      </c>
      <c r="J2543" s="16" t="inlineStr"/>
      <c r="K2543" s="16" t="inlineStr">
        <is>
          <t>Not Run</t>
        </is>
      </c>
      <c r="L2543" s="16" t="inlineStr">
        <is>
          <t>Medium</t>
        </is>
      </c>
      <c r="M2543" s="16" t="inlineStr"/>
      <c r="N2543" s="16" t="inlineStr"/>
      <c r="O2543" s="16" t="inlineStr"/>
    </row>
    <row r="2544" ht="72" customHeight="1">
      <c r="A2544" s="16" t="inlineStr">
        <is>
          <t>TC-GT-0021</t>
        </is>
      </c>
      <c r="B2544" s="16" t="inlineStr">
        <is>
          <t>Git Integration</t>
        </is>
      </c>
      <c r="C2544" s="16" t="inlineStr">
        <is>
          <t>GitHub Flow</t>
        </is>
      </c>
      <c r="D2544" s="16" t="inlineStr">
        <is>
          <t>Functional</t>
        </is>
      </c>
      <c r="E2544" s="16" t="inlineStr">
        <is>
          <t>GitHub flow: Link to archived repo</t>
        </is>
      </c>
      <c r="F2544" s="16" t="inlineStr">
        <is>
          <t>Archived repo</t>
        </is>
      </c>
      <c r="G2544" s="16" t="inlineStr">
        <is>
          <t>1. Link.</t>
        </is>
      </c>
      <c r="H2544" s="16" t="inlineStr">
        <is>
          <t>Link to archived repo</t>
        </is>
      </c>
      <c r="I2544" s="16" t="inlineStr">
        <is>
          <t>Read OK; push blocked with clear error.</t>
        </is>
      </c>
      <c r="J2544" s="16" t="inlineStr"/>
      <c r="K2544" s="16" t="inlineStr">
        <is>
          <t>Not Run</t>
        </is>
      </c>
      <c r="L2544" s="16" t="inlineStr">
        <is>
          <t>Low</t>
        </is>
      </c>
      <c r="M2544" s="16" t="inlineStr"/>
      <c r="N2544" s="16" t="inlineStr"/>
      <c r="O2544" s="16" t="inlineStr"/>
    </row>
    <row r="2545" ht="72" customHeight="1">
      <c r="A2545" s="16" t="inlineStr">
        <is>
          <t>TC-GT-0022</t>
        </is>
      </c>
      <c r="B2545" s="16" t="inlineStr">
        <is>
          <t>Git Integration</t>
        </is>
      </c>
      <c r="C2545" s="16" t="inlineStr">
        <is>
          <t>GitHub Flow</t>
        </is>
      </c>
      <c r="D2545" s="16" t="inlineStr">
        <is>
          <t>Functional</t>
        </is>
      </c>
      <c r="E2545" s="16" t="inlineStr">
        <is>
          <t>GitHub flow: Link to forked repo (upstream PR)</t>
        </is>
      </c>
      <c r="F2545" s="16" t="inlineStr">
        <is>
          <t>User fork</t>
        </is>
      </c>
      <c r="G2545" s="16" t="inlineStr">
        <is>
          <t>1. Link.</t>
        </is>
      </c>
      <c r="H2545" s="16" t="inlineStr">
        <is>
          <t>Link to forked repo (upstream PR)</t>
        </is>
      </c>
      <c r="I2545" s="16" t="inlineStr">
        <is>
          <t>Working branch on fork; PR opens against upstream.</t>
        </is>
      </c>
      <c r="J2545" s="16" t="inlineStr"/>
      <c r="K2545" s="16" t="inlineStr">
        <is>
          <t>Not Run</t>
        </is>
      </c>
      <c r="L2545" s="16" t="inlineStr">
        <is>
          <t>Medium</t>
        </is>
      </c>
      <c r="M2545" s="16" t="inlineStr"/>
      <c r="N2545" s="16" t="inlineStr"/>
      <c r="O2545" s="16" t="inlineStr"/>
    </row>
    <row r="2546" ht="72" customHeight="1">
      <c r="A2546" s="16" t="inlineStr">
        <is>
          <t>TC-GT-0023</t>
        </is>
      </c>
      <c r="B2546" s="16" t="inlineStr">
        <is>
          <t>Git Integration</t>
        </is>
      </c>
      <c r="C2546" s="16" t="inlineStr">
        <is>
          <t>GitHub Flow</t>
        </is>
      </c>
      <c r="D2546" s="16" t="inlineStr">
        <is>
          <t>Functional</t>
        </is>
      </c>
      <c r="E2546" s="16" t="inlineStr">
        <is>
          <t>GitHub flow: OAuth scope downgrade after linking</t>
        </is>
      </c>
      <c r="F2546" s="16" t="inlineStr">
        <is>
          <t>User revoked scope</t>
        </is>
      </c>
      <c r="G2546" s="16" t="inlineStr">
        <is>
          <t>1. Push.</t>
        </is>
      </c>
      <c r="H2546" s="16" t="inlineStr">
        <is>
          <t>OAuth scope downgrade after linking</t>
        </is>
      </c>
      <c r="I2546" s="16" t="inlineStr">
        <is>
          <t>Detects insufficient scope; prompts re-auth with needed scopes.</t>
        </is>
      </c>
      <c r="J2546" s="16" t="inlineStr"/>
      <c r="K2546" s="16" t="inlineStr">
        <is>
          <t>Not Run</t>
        </is>
      </c>
      <c r="L2546" s="16" t="inlineStr">
        <is>
          <t>Medium</t>
        </is>
      </c>
      <c r="M2546" s="16" t="inlineStr"/>
      <c r="N2546" s="16" t="inlineStr"/>
      <c r="O2546" s="16" t="inlineStr"/>
    </row>
    <row r="2547" ht="72" customHeight="1">
      <c r="A2547" s="16" t="inlineStr">
        <is>
          <t>TC-GT-0024</t>
        </is>
      </c>
      <c r="B2547" s="16" t="inlineStr">
        <is>
          <t>Git Integration</t>
        </is>
      </c>
      <c r="C2547" s="16" t="inlineStr">
        <is>
          <t>GitHub Flow</t>
        </is>
      </c>
      <c r="D2547" s="16" t="inlineStr">
        <is>
          <t>Functional</t>
        </is>
      </c>
      <c r="E2547" s="16" t="inlineStr">
        <is>
          <t>GitHub flow: Repo deleted after linking</t>
        </is>
      </c>
      <c r="F2547" s="16" t="inlineStr">
        <is>
          <t>Remote repo missing</t>
        </is>
      </c>
      <c r="G2547" s="16" t="inlineStr">
        <is>
          <t>1. Pull.</t>
        </is>
      </c>
      <c r="H2547" s="16" t="inlineStr">
        <is>
          <t>Repo deleted after linking</t>
        </is>
      </c>
      <c r="I2547" s="16" t="inlineStr">
        <is>
          <t>Clear error 'repo not found'; offer unlink.</t>
        </is>
      </c>
      <c r="J2547" s="16" t="inlineStr"/>
      <c r="K2547" s="16" t="inlineStr">
        <is>
          <t>Not Run</t>
        </is>
      </c>
      <c r="L2547" s="16" t="inlineStr">
        <is>
          <t>Medium</t>
        </is>
      </c>
      <c r="M2547" s="16" t="inlineStr"/>
      <c r="N2547" s="16" t="inlineStr"/>
      <c r="O2547" s="16" t="inlineStr"/>
    </row>
    <row r="2548" ht="72" customHeight="1">
      <c r="A2548" s="16" t="inlineStr">
        <is>
          <t>TC-GT-0025</t>
        </is>
      </c>
      <c r="B2548" s="16" t="inlineStr">
        <is>
          <t>Git Integration</t>
        </is>
      </c>
      <c r="C2548" s="16" t="inlineStr">
        <is>
          <t>GitHub Flow</t>
        </is>
      </c>
      <c r="D2548" s="16" t="inlineStr">
        <is>
          <t>Functional</t>
        </is>
      </c>
      <c r="E2548" s="16" t="inlineStr">
        <is>
          <t>GitHub flow: Repo renamed by owner</t>
        </is>
      </c>
      <c r="F2548" s="16" t="inlineStr">
        <is>
          <t>Path moved</t>
        </is>
      </c>
      <c r="G2548" s="16" t="inlineStr">
        <is>
          <t>1. Pull.</t>
        </is>
      </c>
      <c r="H2548" s="16" t="inlineStr">
        <is>
          <t>Repo renamed by owner</t>
        </is>
      </c>
      <c r="I2548" s="16" t="inlineStr">
        <is>
          <t>Detect rename via GitHub redirect; update link or prompt.</t>
        </is>
      </c>
      <c r="J2548" s="16" t="inlineStr"/>
      <c r="K2548" s="16" t="inlineStr">
        <is>
          <t>Not Run</t>
        </is>
      </c>
      <c r="L2548" s="16" t="inlineStr">
        <is>
          <t>Medium</t>
        </is>
      </c>
      <c r="M2548" s="16" t="inlineStr"/>
      <c r="N2548" s="16" t="inlineStr"/>
      <c r="O2548" s="16" t="inlineStr"/>
    </row>
    <row r="2549" ht="72" customHeight="1">
      <c r="A2549" s="16" t="inlineStr">
        <is>
          <t>TC-GT-0026</t>
        </is>
      </c>
      <c r="B2549" s="16" t="inlineStr">
        <is>
          <t>Git Integration</t>
        </is>
      </c>
      <c r="C2549" s="16" t="inlineStr">
        <is>
          <t>GitHub Flow</t>
        </is>
      </c>
      <c r="D2549" s="16" t="inlineStr">
        <is>
          <t>Functional</t>
        </is>
      </c>
      <c r="E2549" s="16" t="inlineStr">
        <is>
          <t>GitHub flow: Repo transferred to another owner</t>
        </is>
      </c>
      <c r="F2549" s="16" t="inlineStr">
        <is>
          <t>Ownership change</t>
        </is>
      </c>
      <c r="G2549" s="16" t="inlineStr">
        <is>
          <t>1. Pull.</t>
        </is>
      </c>
      <c r="H2549" s="16" t="inlineStr">
        <is>
          <t>Repo transferred to another owner</t>
        </is>
      </c>
      <c r="I2549" s="16" t="inlineStr">
        <is>
          <t>Detect transfer; prompt to update link.</t>
        </is>
      </c>
      <c r="J2549" s="16" t="inlineStr"/>
      <c r="K2549" s="16" t="inlineStr">
        <is>
          <t>Not Run</t>
        </is>
      </c>
      <c r="L2549" s="16" t="inlineStr">
        <is>
          <t>Medium</t>
        </is>
      </c>
      <c r="M2549" s="16" t="inlineStr"/>
      <c r="N2549" s="16" t="inlineStr"/>
      <c r="O2549" s="16" t="inlineStr"/>
    </row>
    <row r="2550" ht="72" customHeight="1">
      <c r="A2550" s="16" t="inlineStr">
        <is>
          <t>TC-GT-0027</t>
        </is>
      </c>
      <c r="B2550" s="16" t="inlineStr">
        <is>
          <t>Git Integration</t>
        </is>
      </c>
      <c r="C2550" s="16" t="inlineStr">
        <is>
          <t>GitHub Flow</t>
        </is>
      </c>
      <c r="D2550" s="16" t="inlineStr">
        <is>
          <t>Functional</t>
        </is>
      </c>
      <c r="E2550" s="16" t="inlineStr">
        <is>
          <t>GitHub flow: Branch protection requires status checks</t>
        </is>
      </c>
      <c r="F2550" s="16" t="inlineStr">
        <is>
          <t>Required CI</t>
        </is>
      </c>
      <c r="G2550" s="16" t="inlineStr">
        <is>
          <t>1. PR open.</t>
        </is>
      </c>
      <c r="H2550" s="16" t="inlineStr">
        <is>
          <t>Branch protection requires status checks</t>
        </is>
      </c>
      <c r="I2550" s="16" t="inlineStr">
        <is>
          <t>PR remains open until checks; user informed.</t>
        </is>
      </c>
      <c r="J2550" s="16" t="inlineStr"/>
      <c r="K2550" s="16" t="inlineStr">
        <is>
          <t>Not Run</t>
        </is>
      </c>
      <c r="L2550" s="16" t="inlineStr">
        <is>
          <t>Low</t>
        </is>
      </c>
      <c r="M2550" s="16" t="inlineStr"/>
      <c r="N2550" s="16" t="inlineStr"/>
      <c r="O2550" s="16" t="inlineStr"/>
    </row>
    <row r="2551" ht="72" customHeight="1">
      <c r="A2551" s="16" t="inlineStr">
        <is>
          <t>TC-GT-0028</t>
        </is>
      </c>
      <c r="B2551" s="16" t="inlineStr">
        <is>
          <t>Git Integration</t>
        </is>
      </c>
      <c r="C2551" s="16" t="inlineStr">
        <is>
          <t>GitHub Flow</t>
        </is>
      </c>
      <c r="D2551" s="16" t="inlineStr">
        <is>
          <t>Functional</t>
        </is>
      </c>
      <c r="E2551" s="16" t="inlineStr">
        <is>
          <t>GitHub flow: Push to branch with PR draft</t>
        </is>
      </c>
      <c r="F2551" s="16" t="inlineStr">
        <is>
          <t>PR draft</t>
        </is>
      </c>
      <c r="G2551" s="16" t="inlineStr">
        <is>
          <t>1. Push.</t>
        </is>
      </c>
      <c r="H2551" s="16" t="inlineStr">
        <is>
          <t>Push to branch with PR draft</t>
        </is>
      </c>
      <c r="I2551" s="16" t="inlineStr">
        <is>
          <t>Adds commits to PR; PR updated.</t>
        </is>
      </c>
      <c r="J2551" s="16" t="inlineStr"/>
      <c r="K2551" s="16" t="inlineStr">
        <is>
          <t>Not Run</t>
        </is>
      </c>
      <c r="L2551" s="16" t="inlineStr">
        <is>
          <t>Medium</t>
        </is>
      </c>
      <c r="M2551" s="16" t="inlineStr"/>
      <c r="N2551" s="16" t="inlineStr"/>
      <c r="O2551" s="16" t="inlineStr"/>
    </row>
    <row r="2552" ht="72" customHeight="1">
      <c r="A2552" s="16" t="inlineStr">
        <is>
          <t>TC-GT-0029</t>
        </is>
      </c>
      <c r="B2552" s="16" t="inlineStr">
        <is>
          <t>Git Integration</t>
        </is>
      </c>
      <c r="C2552" s="16" t="inlineStr">
        <is>
          <t>GitHub Flow</t>
        </is>
      </c>
      <c r="D2552" s="16" t="inlineStr">
        <is>
          <t>Functional</t>
        </is>
      </c>
      <c r="E2552" s="16" t="inlineStr">
        <is>
          <t>GitHub flow: PR merged via squash on GitHub</t>
        </is>
      </c>
      <c r="F2552" s="16" t="inlineStr">
        <is>
          <t>Squash merge</t>
        </is>
      </c>
      <c r="G2552" s="16" t="inlineStr">
        <is>
          <t>1. PR merged.
2. Refresh.</t>
        </is>
      </c>
      <c r="H2552" s="16" t="inlineStr">
        <is>
          <t>PR merged via squash on GitHub</t>
        </is>
      </c>
      <c r="I2552" s="16" t="inlineStr">
        <is>
          <t>Working branch retired; local snapshot updated to squashed main; user prompted for next branch.</t>
        </is>
      </c>
      <c r="J2552" s="16" t="inlineStr"/>
      <c r="K2552" s="16" t="inlineStr">
        <is>
          <t>Not Run</t>
        </is>
      </c>
      <c r="L2552" s="16" t="inlineStr">
        <is>
          <t>High</t>
        </is>
      </c>
      <c r="M2552" s="16" t="inlineStr"/>
      <c r="N2552" s="16" t="inlineStr"/>
      <c r="O2552" s="16" t="inlineStr"/>
    </row>
    <row r="2553" ht="72" customHeight="1">
      <c r="A2553" s="16" t="inlineStr">
        <is>
          <t>TC-GT-0030</t>
        </is>
      </c>
      <c r="B2553" s="16" t="inlineStr">
        <is>
          <t>Git Integration</t>
        </is>
      </c>
      <c r="C2553" s="16" t="inlineStr">
        <is>
          <t>GitHub Flow</t>
        </is>
      </c>
      <c r="D2553" s="16" t="inlineStr">
        <is>
          <t>Functional</t>
        </is>
      </c>
      <c r="E2553" s="16" t="inlineStr">
        <is>
          <t>GitHub flow: PR merged via rebase on GitHub</t>
        </is>
      </c>
      <c r="F2553" s="16" t="inlineStr">
        <is>
          <t>Rebase merge</t>
        </is>
      </c>
      <c r="G2553" s="16" t="inlineStr">
        <is>
          <t>1. Merge.
2. Refresh.</t>
        </is>
      </c>
      <c r="H2553" s="16" t="inlineStr">
        <is>
          <t>PR merged via rebase on GitHub</t>
        </is>
      </c>
      <c r="I2553" s="16" t="inlineStr">
        <is>
          <t>History updated; identical content; retire flow works.</t>
        </is>
      </c>
      <c r="J2553" s="16" t="inlineStr"/>
      <c r="K2553" s="16" t="inlineStr">
        <is>
          <t>Not Run</t>
        </is>
      </c>
      <c r="L2553" s="16" t="inlineStr">
        <is>
          <t>Medium</t>
        </is>
      </c>
      <c r="M2553" s="16" t="inlineStr"/>
      <c r="N2553" s="16" t="inlineStr"/>
      <c r="O2553" s="16" t="inlineStr"/>
    </row>
    <row r="2554" ht="72" customHeight="1">
      <c r="A2554" s="16" t="inlineStr">
        <is>
          <t>TC-GT-0031</t>
        </is>
      </c>
      <c r="B2554" s="16" t="inlineStr">
        <is>
          <t>Git Integration</t>
        </is>
      </c>
      <c r="C2554" s="16" t="inlineStr">
        <is>
          <t>GitHub Flow</t>
        </is>
      </c>
      <c r="D2554" s="16" t="inlineStr">
        <is>
          <t>Functional</t>
        </is>
      </c>
      <c r="E2554" s="16" t="inlineStr">
        <is>
          <t>GitHub flow: PR merged via merge commit</t>
        </is>
      </c>
      <c r="F2554" s="16" t="inlineStr">
        <is>
          <t>Merge commit</t>
        </is>
      </c>
      <c r="G2554" s="16" t="inlineStr">
        <is>
          <t>1. Merge.
2. Refresh.</t>
        </is>
      </c>
      <c r="H2554" s="16" t="inlineStr">
        <is>
          <t>PR merged via merge commit</t>
        </is>
      </c>
      <c r="I2554" s="16" t="inlineStr">
        <is>
          <t>Same.</t>
        </is>
      </c>
      <c r="J2554" s="16" t="inlineStr"/>
      <c r="K2554" s="16" t="inlineStr">
        <is>
          <t>Not Run</t>
        </is>
      </c>
      <c r="L2554" s="16" t="inlineStr">
        <is>
          <t>Medium</t>
        </is>
      </c>
      <c r="M2554" s="16" t="inlineStr"/>
      <c r="N2554" s="16" t="inlineStr"/>
      <c r="O2554" s="16" t="inlineStr"/>
    </row>
    <row r="2555" ht="72" customHeight="1">
      <c r="A2555" s="16" t="inlineStr">
        <is>
          <t>TC-GT-0032</t>
        </is>
      </c>
      <c r="B2555" s="16" t="inlineStr">
        <is>
          <t>Git Integration</t>
        </is>
      </c>
      <c r="C2555" s="16" t="inlineStr">
        <is>
          <t>GitHub Flow</t>
        </is>
      </c>
      <c r="D2555" s="16" t="inlineStr">
        <is>
          <t>Functional</t>
        </is>
      </c>
      <c r="E2555" s="16" t="inlineStr">
        <is>
          <t>GitHub flow: Direct push to main by collaborator</t>
        </is>
      </c>
      <c r="F2555" s="16" t="inlineStr">
        <is>
          <t>Direct main edits</t>
        </is>
      </c>
      <c r="G2555" s="16" t="inlineStr">
        <is>
          <t>1. Refresh.</t>
        </is>
      </c>
      <c r="H2555" s="16" t="inlineStr">
        <is>
          <t>Direct push to main by collaborator</t>
        </is>
      </c>
      <c r="I2555" s="16" t="inlineStr">
        <is>
          <t>Local pulls main delta; conflict if local diverged.</t>
        </is>
      </c>
      <c r="J2555" s="16" t="inlineStr"/>
      <c r="K2555" s="16" t="inlineStr">
        <is>
          <t>Not Run</t>
        </is>
      </c>
      <c r="L2555" s="16" t="inlineStr">
        <is>
          <t>Medium</t>
        </is>
      </c>
      <c r="M2555" s="16" t="inlineStr"/>
      <c r="N2555" s="16" t="inlineStr"/>
      <c r="O2555" s="16" t="inlineStr"/>
    </row>
    <row r="2556" ht="72" customHeight="1">
      <c r="A2556" s="16" t="inlineStr">
        <is>
          <t>TC-GT-0033</t>
        </is>
      </c>
      <c r="B2556" s="16" t="inlineStr">
        <is>
          <t>Git Integration</t>
        </is>
      </c>
      <c r="C2556" s="16" t="inlineStr">
        <is>
          <t>GitHub Flow</t>
        </is>
      </c>
      <c r="D2556" s="16" t="inlineStr">
        <is>
          <t>Functional</t>
        </is>
      </c>
      <c r="E2556" s="16" t="inlineStr">
        <is>
          <t>GitHub flow: Force-push on working branch</t>
        </is>
      </c>
      <c r="F2556" s="16" t="inlineStr">
        <is>
          <t>Remote force push</t>
        </is>
      </c>
      <c r="G2556" s="16" t="inlineStr">
        <is>
          <t>1. Pull.</t>
        </is>
      </c>
      <c r="H2556" s="16" t="inlineStr">
        <is>
          <t>Force-push on working branch</t>
        </is>
      </c>
      <c r="I2556" s="16" t="inlineStr">
        <is>
          <t>Detected; user warned; reset path offered.</t>
        </is>
      </c>
      <c r="J2556" s="16" t="inlineStr"/>
      <c r="K2556" s="16" t="inlineStr">
        <is>
          <t>Not Run</t>
        </is>
      </c>
      <c r="L2556" s="16" t="inlineStr">
        <is>
          <t>Medium</t>
        </is>
      </c>
      <c r="M2556" s="16" t="inlineStr"/>
      <c r="N2556" s="16" t="inlineStr"/>
      <c r="O2556" s="16" t="inlineStr"/>
    </row>
    <row r="2557" ht="72" customHeight="1">
      <c r="A2557" s="16" t="inlineStr">
        <is>
          <t>TC-GT-0034</t>
        </is>
      </c>
      <c r="B2557" s="16" t="inlineStr">
        <is>
          <t>Git Integration</t>
        </is>
      </c>
      <c r="C2557" s="16" t="inlineStr">
        <is>
          <t>GitHub Flow</t>
        </is>
      </c>
      <c r="D2557" s="16" t="inlineStr">
        <is>
          <t>Functional</t>
        </is>
      </c>
      <c r="E2557" s="16" t="inlineStr">
        <is>
          <t>GitHub flow: Concurrent push from two devices</t>
        </is>
      </c>
      <c r="F2557" s="16" t="inlineStr">
        <is>
          <t>Race</t>
        </is>
      </c>
      <c r="G2557" s="16" t="inlineStr">
        <is>
          <t>1. Both push.</t>
        </is>
      </c>
      <c r="H2557" s="16" t="inlineStr">
        <is>
          <t>Concurrent push from two devices</t>
        </is>
      </c>
      <c r="I2557" s="16" t="inlineStr">
        <is>
          <t>Second fails; pull+merge required.</t>
        </is>
      </c>
      <c r="J2557" s="16" t="inlineStr"/>
      <c r="K2557" s="16" t="inlineStr">
        <is>
          <t>Not Run</t>
        </is>
      </c>
      <c r="L2557" s="16" t="inlineStr">
        <is>
          <t>High</t>
        </is>
      </c>
      <c r="M2557" s="16" t="inlineStr"/>
      <c r="N2557" s="16" t="inlineStr"/>
      <c r="O2557" s="16" t="inlineStr"/>
    </row>
    <row r="2558" ht="72" customHeight="1">
      <c r="A2558" s="16" t="inlineStr">
        <is>
          <t>TC-GT-0035</t>
        </is>
      </c>
      <c r="B2558" s="16" t="inlineStr">
        <is>
          <t>Git Integration</t>
        </is>
      </c>
      <c r="C2558" s="16" t="inlineStr">
        <is>
          <t>GitHub Flow</t>
        </is>
      </c>
      <c r="D2558" s="16" t="inlineStr">
        <is>
          <t>Functional</t>
        </is>
      </c>
      <c r="E2558" s="16" t="inlineStr">
        <is>
          <t>GitHub flow: OAuth token revoked on github.com mid-session</t>
        </is>
      </c>
      <c r="F2558" s="16" t="inlineStr">
        <is>
          <t>Revoked</t>
        </is>
      </c>
      <c r="G2558" s="16" t="inlineStr">
        <is>
          <t>1. Push.</t>
        </is>
      </c>
      <c r="H2558" s="16" t="inlineStr">
        <is>
          <t>OAuth token revoked on github.com mid-session</t>
        </is>
      </c>
      <c r="I2558" s="16" t="inlineStr">
        <is>
          <t>401 detected; re-auth prompted; edits preserved.</t>
        </is>
      </c>
      <c r="J2558" s="16" t="inlineStr"/>
      <c r="K2558" s="16" t="inlineStr">
        <is>
          <t>Not Run</t>
        </is>
      </c>
      <c r="L2558" s="16" t="inlineStr">
        <is>
          <t>High</t>
        </is>
      </c>
      <c r="M2558" s="16" t="inlineStr"/>
      <c r="N2558" s="16" t="inlineStr"/>
      <c r="O2558" s="16" t="inlineStr"/>
    </row>
    <row r="2559" ht="72" customHeight="1">
      <c r="A2559" s="16" t="inlineStr">
        <is>
          <t>TC-GT-0036</t>
        </is>
      </c>
      <c r="B2559" s="16" t="inlineStr">
        <is>
          <t>Git Integration</t>
        </is>
      </c>
      <c r="C2559" s="16" t="inlineStr">
        <is>
          <t>GitHub Flow</t>
        </is>
      </c>
      <c r="D2559" s="16" t="inlineStr">
        <is>
          <t>Functional</t>
        </is>
      </c>
      <c r="E2559" s="16" t="inlineStr">
        <is>
          <t>GitHub flow: Network drops during push (large)</t>
        </is>
      </c>
      <c r="F2559" s="16" t="inlineStr">
        <is>
          <t>Mid-upload drop</t>
        </is>
      </c>
      <c r="G2559" s="16" t="inlineStr">
        <is>
          <t>1. Push large; drop network.</t>
        </is>
      </c>
      <c r="H2559" s="16" t="inlineStr">
        <is>
          <t>Network drops during push (large)</t>
        </is>
      </c>
      <c r="I2559" s="16" t="inlineStr">
        <is>
          <t>Push fails cleanly; edits intact; retry button.</t>
        </is>
      </c>
      <c r="J2559" s="16" t="inlineStr"/>
      <c r="K2559" s="16" t="inlineStr">
        <is>
          <t>Not Run</t>
        </is>
      </c>
      <c r="L2559" s="16" t="inlineStr">
        <is>
          <t>Medium</t>
        </is>
      </c>
      <c r="M2559" s="16" t="inlineStr"/>
      <c r="N2559" s="16" t="inlineStr"/>
      <c r="O2559" s="16" t="inlineStr"/>
    </row>
    <row r="2560" ht="72" customHeight="1">
      <c r="A2560" s="16" t="inlineStr">
        <is>
          <t>TC-GT-0037</t>
        </is>
      </c>
      <c r="B2560" s="16" t="inlineStr">
        <is>
          <t>Git Integration</t>
        </is>
      </c>
      <c r="C2560" s="16" t="inlineStr">
        <is>
          <t>GitHub Flow</t>
        </is>
      </c>
      <c r="D2560" s="16" t="inlineStr">
        <is>
          <t>Functional</t>
        </is>
      </c>
      <c r="E2560" s="16" t="inlineStr">
        <is>
          <t>GitHub flow: Network drops during pull</t>
        </is>
      </c>
      <c r="F2560" s="16" t="inlineStr">
        <is>
          <t>Mid-download drop</t>
        </is>
      </c>
      <c r="G2560" s="16" t="inlineStr">
        <is>
          <t>1. Drop.</t>
        </is>
      </c>
      <c r="H2560" s="16" t="inlineStr">
        <is>
          <t>Network drops during pull</t>
        </is>
      </c>
      <c r="I2560" s="16" t="inlineStr">
        <is>
          <t>Pull fails cleanly; existing state intact.</t>
        </is>
      </c>
      <c r="J2560" s="16" t="inlineStr"/>
      <c r="K2560" s="16" t="inlineStr">
        <is>
          <t>Not Run</t>
        </is>
      </c>
      <c r="L2560" s="16" t="inlineStr">
        <is>
          <t>Medium</t>
        </is>
      </c>
      <c r="M2560" s="16" t="inlineStr"/>
      <c r="N2560" s="16" t="inlineStr"/>
      <c r="O2560" s="16" t="inlineStr"/>
    </row>
    <row r="2561" ht="72" customHeight="1">
      <c r="A2561" s="16" t="inlineStr">
        <is>
          <t>TC-GT-0038</t>
        </is>
      </c>
      <c r="B2561" s="16" t="inlineStr">
        <is>
          <t>Git Integration</t>
        </is>
      </c>
      <c r="C2561" s="16" t="inlineStr">
        <is>
          <t>GitHub Flow</t>
        </is>
      </c>
      <c r="D2561" s="16" t="inlineStr">
        <is>
          <t>Functional</t>
        </is>
      </c>
      <c r="E2561" s="16" t="inlineStr">
        <is>
          <t>GitHub flow: Workspace push includes secrets metadata only (not values)</t>
        </is>
      </c>
      <c r="F2561" s="16" t="inlineStr">
        <is>
          <t>Privacy</t>
        </is>
      </c>
      <c r="G2561" s="16" t="inlineStr">
        <is>
          <t>1. Push; inspect commit.</t>
        </is>
      </c>
      <c r="H2561" s="16" t="inlineStr">
        <is>
          <t>Workspace push includes secrets metadata only (not values)</t>
        </is>
      </c>
      <c r="I2561" s="16" t="inlineStr">
        <is>
          <t>Commit has secret slot metadata and ciphertext-as-stored; no plaintext secret values.</t>
        </is>
      </c>
      <c r="J2561" s="16" t="inlineStr"/>
      <c r="K2561" s="16" t="inlineStr">
        <is>
          <t>Not Run</t>
        </is>
      </c>
      <c r="L2561" s="16" t="inlineStr">
        <is>
          <t>High</t>
        </is>
      </c>
      <c r="M2561" s="16" t="inlineStr"/>
      <c r="N2561" s="16" t="inlineStr"/>
      <c r="O2561" s="16" t="inlineStr"/>
    </row>
    <row r="2562" ht="72" customHeight="1">
      <c r="A2562" s="16" t="inlineStr">
        <is>
          <t>TC-GT-0039</t>
        </is>
      </c>
      <c r="B2562" s="16" t="inlineStr">
        <is>
          <t>Git Integration</t>
        </is>
      </c>
      <c r="C2562" s="16" t="inlineStr">
        <is>
          <t>GitHub Flow</t>
        </is>
      </c>
      <c r="D2562" s="16" t="inlineStr">
        <is>
          <t>Functional</t>
        </is>
      </c>
      <c r="E2562" s="16" t="inlineStr">
        <is>
          <t>GitHub flow: Push of conflict resolution</t>
        </is>
      </c>
      <c r="F2562" s="16" t="inlineStr">
        <is>
          <t>After resolving</t>
        </is>
      </c>
      <c r="G2562" s="16" t="inlineStr">
        <is>
          <t>1. Push resolved state.</t>
        </is>
      </c>
      <c r="H2562" s="16" t="inlineStr">
        <is>
          <t>Push of conflict resolution</t>
        </is>
      </c>
      <c r="I2562" s="16" t="inlineStr">
        <is>
          <t>New commit pushed; sync snapshot advanced.</t>
        </is>
      </c>
      <c r="J2562" s="16" t="inlineStr"/>
      <c r="K2562" s="16" t="inlineStr">
        <is>
          <t>Not Run</t>
        </is>
      </c>
      <c r="L2562" s="16" t="inlineStr">
        <is>
          <t>Medium</t>
        </is>
      </c>
      <c r="M2562" s="16" t="inlineStr"/>
      <c r="N2562" s="16" t="inlineStr"/>
      <c r="O2562" s="16" t="inlineStr"/>
    </row>
    <row r="2563" ht="72" customHeight="1">
      <c r="A2563" s="16" t="inlineStr">
        <is>
          <t>TC-GT-0040</t>
        </is>
      </c>
      <c r="B2563" s="16" t="inlineStr">
        <is>
          <t>Git Integration</t>
        </is>
      </c>
      <c r="C2563" s="16" t="inlineStr">
        <is>
          <t>GitHub Flow</t>
        </is>
      </c>
      <c r="D2563" s="16" t="inlineStr">
        <is>
          <t>Functional</t>
        </is>
      </c>
      <c r="E2563" s="16" t="inlineStr">
        <is>
          <t>GitHub flow: Open PR shows in workspace UI</t>
        </is>
      </c>
      <c r="F2563" s="16" t="inlineStr">
        <is>
          <t>PR badge</t>
        </is>
      </c>
      <c r="G2563" s="16" t="inlineStr">
        <is>
          <t>1. PR open.</t>
        </is>
      </c>
      <c r="H2563" s="16" t="inlineStr">
        <is>
          <t>Open PR shows in workspace UI</t>
        </is>
      </c>
      <c r="I2563" s="16" t="inlineStr">
        <is>
          <t>App shows 'PR open' badge with link to GitHub.</t>
        </is>
      </c>
      <c r="J2563" s="16" t="inlineStr"/>
      <c r="K2563" s="16" t="inlineStr">
        <is>
          <t>Not Run</t>
        </is>
      </c>
      <c r="L2563" s="16" t="inlineStr">
        <is>
          <t>Low</t>
        </is>
      </c>
      <c r="M2563" s="16" t="inlineStr"/>
      <c r="N2563" s="16" t="inlineStr"/>
      <c r="O2563" s="16" t="inlineStr"/>
    </row>
    <row r="2564" ht="72" customHeight="1">
      <c r="A2564" s="16" t="inlineStr">
        <is>
          <t>TC-SC-0012</t>
        </is>
      </c>
      <c r="B2564" s="16" t="inlineStr">
        <is>
          <t>Pre-request Scripts &amp; Tests</t>
        </is>
      </c>
      <c r="C2564" s="16" t="inlineStr">
        <is>
          <t>Assertion Matrix</t>
        </is>
      </c>
      <c r="D2564" s="16" t="inlineStr">
        <is>
          <t>Functional</t>
        </is>
      </c>
      <c r="E2564" s="16" t="inlineStr">
        <is>
          <t>Assertion: HTTP status equals</t>
        </is>
      </c>
      <c r="F2564" s="16" t="inlineStr">
        <is>
          <t>-</t>
        </is>
      </c>
      <c r="G2564" s="16" t="inlineStr">
        <is>
          <t>1. Add assertion: target='status code (e.g., 200)', operator='equals', expected=&lt;a value that should pass&gt;.
2. Send and observe Tests result.</t>
        </is>
      </c>
      <c r="H2564" s="16" t="inlineStr">
        <is>
          <t>target=HTTP status op=equals</t>
        </is>
      </c>
      <c r="I2564" s="16" t="inlineStr">
        <is>
          <t>Pass case: assertion green; actual matches expected per operator. Failure case (separately): red row with clear actual vs expected delta. Operator 'equals' applies correct semantics.</t>
        </is>
      </c>
      <c r="J2564" s="16" t="inlineStr"/>
      <c r="K2564" s="16" t="inlineStr">
        <is>
          <t>Not Run</t>
        </is>
      </c>
      <c r="L2564" s="16" t="inlineStr">
        <is>
          <t>High</t>
        </is>
      </c>
      <c r="M2564" s="16" t="inlineStr"/>
      <c r="N2564" s="16" t="inlineStr"/>
      <c r="O2564" s="16" t="inlineStr"/>
    </row>
    <row r="2565" ht="72" customHeight="1">
      <c r="A2565" s="16" t="inlineStr">
        <is>
          <t>TC-SC-0013</t>
        </is>
      </c>
      <c r="B2565" s="16" t="inlineStr">
        <is>
          <t>Pre-request Scripts &amp; Tests</t>
        </is>
      </c>
      <c r="C2565" s="16" t="inlineStr">
        <is>
          <t>Assertion Matrix</t>
        </is>
      </c>
      <c r="D2565" s="16" t="inlineStr">
        <is>
          <t>Functional</t>
        </is>
      </c>
      <c r="E2565" s="16" t="inlineStr">
        <is>
          <t>Assertion: HTTP status not-equals</t>
        </is>
      </c>
      <c r="F2565" s="16" t="inlineStr">
        <is>
          <t>-</t>
        </is>
      </c>
      <c r="G2565" s="16" t="inlineStr">
        <is>
          <t>1. Add assertion: target='status code (e.g., 200)', operator='not-equals', expected=&lt;a value that should pass&gt;.
2. Send and observe Tests result.</t>
        </is>
      </c>
      <c r="H2565" s="16" t="inlineStr">
        <is>
          <t>target=HTTP status op=not-equals</t>
        </is>
      </c>
      <c r="I2565" s="16" t="inlineStr">
        <is>
          <t>Pass case: assertion green; actual matches expected per operator. Failure case (separately): red row with clear actual vs expected delta. Operator 'not-equals' applies correct semantics.</t>
        </is>
      </c>
      <c r="J2565" s="16" t="inlineStr"/>
      <c r="K2565" s="16" t="inlineStr">
        <is>
          <t>Not Run</t>
        </is>
      </c>
      <c r="L2565" s="16" t="inlineStr">
        <is>
          <t>Medium</t>
        </is>
      </c>
      <c r="M2565" s="16" t="inlineStr"/>
      <c r="N2565" s="16" t="inlineStr"/>
      <c r="O2565" s="16" t="inlineStr"/>
    </row>
    <row r="2566" ht="72" customHeight="1">
      <c r="A2566" s="16" t="inlineStr">
        <is>
          <t>TC-SC-0014</t>
        </is>
      </c>
      <c r="B2566" s="16" t="inlineStr">
        <is>
          <t>Pre-request Scripts &amp; Tests</t>
        </is>
      </c>
      <c r="C2566" s="16" t="inlineStr">
        <is>
          <t>Assertion Matrix</t>
        </is>
      </c>
      <c r="D2566" s="16" t="inlineStr">
        <is>
          <t>Functional</t>
        </is>
      </c>
      <c r="E2566" s="16" t="inlineStr">
        <is>
          <t>Assertion: HTTP status contains</t>
        </is>
      </c>
      <c r="F2566" s="16" t="inlineStr">
        <is>
          <t>-</t>
        </is>
      </c>
      <c r="G2566" s="16" t="inlineStr">
        <is>
          <t>1. Add assertion: target='status code (e.g., 200)', operator='contains', expected=&lt;a value that should pass&gt;.
2. Send and observe Tests result.</t>
        </is>
      </c>
      <c r="H2566" s="16" t="inlineStr">
        <is>
          <t>target=HTTP status op=contains</t>
        </is>
      </c>
      <c r="I2566" s="16" t="inlineStr">
        <is>
          <t>Pass case: assertion green; actual matches expected per operator. Failure case (separately): red row with clear actual vs expected delta. Operator 'contains' applies correct semantics.</t>
        </is>
      </c>
      <c r="J2566" s="16" t="inlineStr"/>
      <c r="K2566" s="16" t="inlineStr">
        <is>
          <t>Not Run</t>
        </is>
      </c>
      <c r="L2566" s="16" t="inlineStr">
        <is>
          <t>High</t>
        </is>
      </c>
      <c r="M2566" s="16" t="inlineStr"/>
      <c r="N2566" s="16" t="inlineStr"/>
      <c r="O2566" s="16" t="inlineStr"/>
    </row>
    <row r="2567" ht="72" customHeight="1">
      <c r="A2567" s="16" t="inlineStr">
        <is>
          <t>TC-SC-0015</t>
        </is>
      </c>
      <c r="B2567" s="16" t="inlineStr">
        <is>
          <t>Pre-request Scripts &amp; Tests</t>
        </is>
      </c>
      <c r="C2567" s="16" t="inlineStr">
        <is>
          <t>Assertion Matrix</t>
        </is>
      </c>
      <c r="D2567" s="16" t="inlineStr">
        <is>
          <t>Functional</t>
        </is>
      </c>
      <c r="E2567" s="16" t="inlineStr">
        <is>
          <t>Assertion: HTTP status not-contains</t>
        </is>
      </c>
      <c r="F2567" s="16" t="inlineStr">
        <is>
          <t>-</t>
        </is>
      </c>
      <c r="G2567" s="16" t="inlineStr">
        <is>
          <t>1. Add assertion: target='status code (e.g., 200)', operator='not-contains', expected=&lt;a value that should pass&gt;.
2. Send and observe Tests result.</t>
        </is>
      </c>
      <c r="H2567" s="16" t="inlineStr">
        <is>
          <t>target=HTTP status op=not-contains</t>
        </is>
      </c>
      <c r="I2567" s="16" t="inlineStr">
        <is>
          <t>Pass case: assertion green; actual matches expected per operator. Failure case (separately): red row with clear actual vs expected delta. Operator 'not-contains' applies correct semantics.</t>
        </is>
      </c>
      <c r="J2567" s="16" t="inlineStr"/>
      <c r="K2567" s="16" t="inlineStr">
        <is>
          <t>Not Run</t>
        </is>
      </c>
      <c r="L2567" s="16" t="inlineStr">
        <is>
          <t>Medium</t>
        </is>
      </c>
      <c r="M2567" s="16" t="inlineStr"/>
      <c r="N2567" s="16" t="inlineStr"/>
      <c r="O2567" s="16" t="inlineStr"/>
    </row>
    <row r="2568" ht="72" customHeight="1">
      <c r="A2568" s="16" t="inlineStr">
        <is>
          <t>TC-SC-0016</t>
        </is>
      </c>
      <c r="B2568" s="16" t="inlineStr">
        <is>
          <t>Pre-request Scripts &amp; Tests</t>
        </is>
      </c>
      <c r="C2568" s="16" t="inlineStr">
        <is>
          <t>Assertion Matrix</t>
        </is>
      </c>
      <c r="D2568" s="16" t="inlineStr">
        <is>
          <t>Functional</t>
        </is>
      </c>
      <c r="E2568" s="16" t="inlineStr">
        <is>
          <t>Assertion: HTTP status starts-with</t>
        </is>
      </c>
      <c r="F2568" s="16" t="inlineStr">
        <is>
          <t>-</t>
        </is>
      </c>
      <c r="G2568" s="16" t="inlineStr">
        <is>
          <t>1. Add assertion: target='status code (e.g., 200)', operator='starts-with', expected=&lt;a value that should pass&gt;.
2. Send and observe Tests result.</t>
        </is>
      </c>
      <c r="H2568" s="16" t="inlineStr">
        <is>
          <t>target=HTTP status op=starts-with</t>
        </is>
      </c>
      <c r="I2568" s="16" t="inlineStr">
        <is>
          <t>Pass case: assertion green; actual matches expected per operator. Failure case (separately): red row with clear actual vs expected delta. Operator 'starts-with' applies correct semantics.</t>
        </is>
      </c>
      <c r="J2568" s="16" t="inlineStr"/>
      <c r="K2568" s="16" t="inlineStr">
        <is>
          <t>Not Run</t>
        </is>
      </c>
      <c r="L2568" s="16" t="inlineStr">
        <is>
          <t>Medium</t>
        </is>
      </c>
      <c r="M2568" s="16" t="inlineStr"/>
      <c r="N2568" s="16" t="inlineStr"/>
      <c r="O2568" s="16" t="inlineStr"/>
    </row>
    <row r="2569" ht="72" customHeight="1">
      <c r="A2569" s="16" t="inlineStr">
        <is>
          <t>TC-SC-0017</t>
        </is>
      </c>
      <c r="B2569" s="16" t="inlineStr">
        <is>
          <t>Pre-request Scripts &amp; Tests</t>
        </is>
      </c>
      <c r="C2569" s="16" t="inlineStr">
        <is>
          <t>Assertion Matrix</t>
        </is>
      </c>
      <c r="D2569" s="16" t="inlineStr">
        <is>
          <t>Functional</t>
        </is>
      </c>
      <c r="E2569" s="16" t="inlineStr">
        <is>
          <t>Assertion: HTTP status ends-with</t>
        </is>
      </c>
      <c r="F2569" s="16" t="inlineStr">
        <is>
          <t>-</t>
        </is>
      </c>
      <c r="G2569" s="16" t="inlineStr">
        <is>
          <t>1. Add assertion: target='status code (e.g., 200)', operator='ends-with', expected=&lt;a value that should pass&gt;.
2. Send and observe Tests result.</t>
        </is>
      </c>
      <c r="H2569" s="16" t="inlineStr">
        <is>
          <t>target=HTTP status op=ends-with</t>
        </is>
      </c>
      <c r="I2569" s="16" t="inlineStr">
        <is>
          <t>Pass case: assertion green; actual matches expected per operator. Failure case (separately): red row with clear actual vs expected delta. Operator 'ends-with' applies correct semantics.</t>
        </is>
      </c>
      <c r="J2569" s="16" t="inlineStr"/>
      <c r="K2569" s="16" t="inlineStr">
        <is>
          <t>Not Run</t>
        </is>
      </c>
      <c r="L2569" s="16" t="inlineStr">
        <is>
          <t>Medium</t>
        </is>
      </c>
      <c r="M2569" s="16" t="inlineStr"/>
      <c r="N2569" s="16" t="inlineStr"/>
      <c r="O2569" s="16" t="inlineStr"/>
    </row>
    <row r="2570" ht="72" customHeight="1">
      <c r="A2570" s="16" t="inlineStr">
        <is>
          <t>TC-SC-0018</t>
        </is>
      </c>
      <c r="B2570" s="16" t="inlineStr">
        <is>
          <t>Pre-request Scripts &amp; Tests</t>
        </is>
      </c>
      <c r="C2570" s="16" t="inlineStr">
        <is>
          <t>Assertion Matrix</t>
        </is>
      </c>
      <c r="D2570" s="16" t="inlineStr">
        <is>
          <t>Functional</t>
        </is>
      </c>
      <c r="E2570" s="16" t="inlineStr">
        <is>
          <t>Assertion: HTTP status matches (regex)</t>
        </is>
      </c>
      <c r="F2570" s="16" t="inlineStr">
        <is>
          <t>-</t>
        </is>
      </c>
      <c r="G2570" s="16" t="inlineStr">
        <is>
          <t>1. Add assertion: target='status code (e.g., 200)', operator='matches (regex)', expected=&lt;a value that should pass&gt;.
2. Send and observe Tests result.</t>
        </is>
      </c>
      <c r="H2570" s="16" t="inlineStr">
        <is>
          <t>target=HTTP status op=matches (regex)</t>
        </is>
      </c>
      <c r="I2570" s="16" t="inlineStr">
        <is>
          <t>Pass case: assertion green; actual matches expected per operator. Failure case (separately): red row with clear actual vs expected delta. Operator 'matches (regex)' applies correct semantics.</t>
        </is>
      </c>
      <c r="J2570" s="16" t="inlineStr"/>
      <c r="K2570" s="16" t="inlineStr">
        <is>
          <t>Not Run</t>
        </is>
      </c>
      <c r="L2570" s="16" t="inlineStr">
        <is>
          <t>High</t>
        </is>
      </c>
      <c r="M2570" s="16" t="inlineStr"/>
      <c r="N2570" s="16" t="inlineStr"/>
      <c r="O2570" s="16" t="inlineStr"/>
    </row>
    <row r="2571" ht="72" customHeight="1">
      <c r="A2571" s="16" t="inlineStr">
        <is>
          <t>TC-SC-0019</t>
        </is>
      </c>
      <c r="B2571" s="16" t="inlineStr">
        <is>
          <t>Pre-request Scripts &amp; Tests</t>
        </is>
      </c>
      <c r="C2571" s="16" t="inlineStr">
        <is>
          <t>Assertion Matrix</t>
        </is>
      </c>
      <c r="D2571" s="16" t="inlineStr">
        <is>
          <t>Functional</t>
        </is>
      </c>
      <c r="E2571" s="16" t="inlineStr">
        <is>
          <t>Assertion: HTTP status lt</t>
        </is>
      </c>
      <c r="F2571" s="16" t="inlineStr">
        <is>
          <t>-</t>
        </is>
      </c>
      <c r="G2571" s="16" t="inlineStr">
        <is>
          <t>1. Add assertion: target='status code (e.g., 200)', operator='lt', expected=&lt;a value that should pass&gt;.
2. Send and observe Tests result.</t>
        </is>
      </c>
      <c r="H2571" s="16" t="inlineStr">
        <is>
          <t>target=HTTP status op=lt</t>
        </is>
      </c>
      <c r="I2571" s="16" t="inlineStr">
        <is>
          <t>Pass case: assertion green; actual matches expected per operator. Failure case (separately): red row with clear actual vs expected delta. Operator 'lt' applies correct semantics.</t>
        </is>
      </c>
      <c r="J2571" s="16" t="inlineStr"/>
      <c r="K2571" s="16" t="inlineStr">
        <is>
          <t>Not Run</t>
        </is>
      </c>
      <c r="L2571" s="16" t="inlineStr">
        <is>
          <t>High</t>
        </is>
      </c>
      <c r="M2571" s="16" t="inlineStr"/>
      <c r="N2571" s="16" t="inlineStr"/>
      <c r="O2571" s="16" t="inlineStr"/>
    </row>
    <row r="2572" ht="72" customHeight="1">
      <c r="A2572" s="16" t="inlineStr">
        <is>
          <t>TC-SC-0020</t>
        </is>
      </c>
      <c r="B2572" s="16" t="inlineStr">
        <is>
          <t>Pre-request Scripts &amp; Tests</t>
        </is>
      </c>
      <c r="C2572" s="16" t="inlineStr">
        <is>
          <t>Assertion Matrix</t>
        </is>
      </c>
      <c r="D2572" s="16" t="inlineStr">
        <is>
          <t>Functional</t>
        </is>
      </c>
      <c r="E2572" s="16" t="inlineStr">
        <is>
          <t>Assertion: HTTP status lte</t>
        </is>
      </c>
      <c r="F2572" s="16" t="inlineStr">
        <is>
          <t>-</t>
        </is>
      </c>
      <c r="G2572" s="16" t="inlineStr">
        <is>
          <t>1. Add assertion: target='status code (e.g., 200)', operator='lte', expected=&lt;a value that should pass&gt;.
2. Send and observe Tests result.</t>
        </is>
      </c>
      <c r="H2572" s="16" t="inlineStr">
        <is>
          <t>target=HTTP status op=lte</t>
        </is>
      </c>
      <c r="I2572" s="16" t="inlineStr">
        <is>
          <t>Pass case: assertion green; actual matches expected per operator. Failure case (separately): red row with clear actual vs expected delta. Operator 'lte' applies correct semantics.</t>
        </is>
      </c>
      <c r="J2572" s="16" t="inlineStr"/>
      <c r="K2572" s="16" t="inlineStr">
        <is>
          <t>Not Run</t>
        </is>
      </c>
      <c r="L2572" s="16" t="inlineStr">
        <is>
          <t>Medium</t>
        </is>
      </c>
      <c r="M2572" s="16" t="inlineStr"/>
      <c r="N2572" s="16" t="inlineStr"/>
      <c r="O2572" s="16" t="inlineStr"/>
    </row>
    <row r="2573" ht="72" customHeight="1">
      <c r="A2573" s="16" t="inlineStr">
        <is>
          <t>TC-SC-0021</t>
        </is>
      </c>
      <c r="B2573" s="16" t="inlineStr">
        <is>
          <t>Pre-request Scripts &amp; Tests</t>
        </is>
      </c>
      <c r="C2573" s="16" t="inlineStr">
        <is>
          <t>Assertion Matrix</t>
        </is>
      </c>
      <c r="D2573" s="16" t="inlineStr">
        <is>
          <t>Functional</t>
        </is>
      </c>
      <c r="E2573" s="16" t="inlineStr">
        <is>
          <t>Assertion: HTTP status gt</t>
        </is>
      </c>
      <c r="F2573" s="16" t="inlineStr">
        <is>
          <t>-</t>
        </is>
      </c>
      <c r="G2573" s="16" t="inlineStr">
        <is>
          <t>1. Add assertion: target='status code (e.g., 200)', operator='gt', expected=&lt;a value that should pass&gt;.
2. Send and observe Tests result.</t>
        </is>
      </c>
      <c r="H2573" s="16" t="inlineStr">
        <is>
          <t>target=HTTP status op=gt</t>
        </is>
      </c>
      <c r="I2573" s="16" t="inlineStr">
        <is>
          <t>Pass case: assertion green; actual matches expected per operator. Failure case (separately): red row with clear actual vs expected delta. Operator 'gt' applies correct semantics.</t>
        </is>
      </c>
      <c r="J2573" s="16" t="inlineStr"/>
      <c r="K2573" s="16" t="inlineStr">
        <is>
          <t>Not Run</t>
        </is>
      </c>
      <c r="L2573" s="16" t="inlineStr">
        <is>
          <t>High</t>
        </is>
      </c>
      <c r="M2573" s="16" t="inlineStr"/>
      <c r="N2573" s="16" t="inlineStr"/>
      <c r="O2573" s="16" t="inlineStr"/>
    </row>
    <row r="2574" ht="72" customHeight="1">
      <c r="A2574" s="16" t="inlineStr">
        <is>
          <t>TC-SC-0022</t>
        </is>
      </c>
      <c r="B2574" s="16" t="inlineStr">
        <is>
          <t>Pre-request Scripts &amp; Tests</t>
        </is>
      </c>
      <c r="C2574" s="16" t="inlineStr">
        <is>
          <t>Assertion Matrix</t>
        </is>
      </c>
      <c r="D2574" s="16" t="inlineStr">
        <is>
          <t>Functional</t>
        </is>
      </c>
      <c r="E2574" s="16" t="inlineStr">
        <is>
          <t>Assertion: HTTP status gte</t>
        </is>
      </c>
      <c r="F2574" s="16" t="inlineStr">
        <is>
          <t>-</t>
        </is>
      </c>
      <c r="G2574" s="16" t="inlineStr">
        <is>
          <t>1. Add assertion: target='status code (e.g., 200)', operator='gte', expected=&lt;a value that should pass&gt;.
2. Send and observe Tests result.</t>
        </is>
      </c>
      <c r="H2574" s="16" t="inlineStr">
        <is>
          <t>target=HTTP status op=gte</t>
        </is>
      </c>
      <c r="I2574" s="16" t="inlineStr">
        <is>
          <t>Pass case: assertion green; actual matches expected per operator. Failure case (separately): red row with clear actual vs expected delta. Operator 'gte' applies correct semantics.</t>
        </is>
      </c>
      <c r="J2574" s="16" t="inlineStr"/>
      <c r="K2574" s="16" t="inlineStr">
        <is>
          <t>Not Run</t>
        </is>
      </c>
      <c r="L2574" s="16" t="inlineStr">
        <is>
          <t>Medium</t>
        </is>
      </c>
      <c r="M2574" s="16" t="inlineStr"/>
      <c r="N2574" s="16" t="inlineStr"/>
      <c r="O2574" s="16" t="inlineStr"/>
    </row>
    <row r="2575" ht="72" customHeight="1">
      <c r="A2575" s="16" t="inlineStr">
        <is>
          <t>TC-SC-0023</t>
        </is>
      </c>
      <c r="B2575" s="16" t="inlineStr">
        <is>
          <t>Pre-request Scripts &amp; Tests</t>
        </is>
      </c>
      <c r="C2575" s="16" t="inlineStr">
        <is>
          <t>Assertion Matrix</t>
        </is>
      </c>
      <c r="D2575" s="16" t="inlineStr">
        <is>
          <t>Functional</t>
        </is>
      </c>
      <c r="E2575" s="16" t="inlineStr">
        <is>
          <t>Assertion: HTTP status exists</t>
        </is>
      </c>
      <c r="F2575" s="16" t="inlineStr">
        <is>
          <t>-</t>
        </is>
      </c>
      <c r="G2575" s="16" t="inlineStr">
        <is>
          <t>1. Add assertion: target='status code (e.g., 200)', operator='exists', expected=&lt;a value that should pass&gt;.
2. Send and observe Tests result.</t>
        </is>
      </c>
      <c r="H2575" s="16" t="inlineStr">
        <is>
          <t>target=HTTP status op=exists</t>
        </is>
      </c>
      <c r="I2575" s="16" t="inlineStr">
        <is>
          <t>Pass case: assertion green; actual matches expected per operator. Failure case (separately): red row with clear actual vs expected delta. Operator 'exists' applies correct semantics.</t>
        </is>
      </c>
      <c r="J2575" s="16" t="inlineStr"/>
      <c r="K2575" s="16" t="inlineStr">
        <is>
          <t>Not Run</t>
        </is>
      </c>
      <c r="L2575" s="16" t="inlineStr">
        <is>
          <t>High</t>
        </is>
      </c>
      <c r="M2575" s="16" t="inlineStr"/>
      <c r="N2575" s="16" t="inlineStr"/>
      <c r="O2575" s="16" t="inlineStr"/>
    </row>
    <row r="2576" ht="72" customHeight="1">
      <c r="A2576" s="16" t="inlineStr">
        <is>
          <t>TC-SC-0024</t>
        </is>
      </c>
      <c r="B2576" s="16" t="inlineStr">
        <is>
          <t>Pre-request Scripts &amp; Tests</t>
        </is>
      </c>
      <c r="C2576" s="16" t="inlineStr">
        <is>
          <t>Assertion Matrix</t>
        </is>
      </c>
      <c r="D2576" s="16" t="inlineStr">
        <is>
          <t>Functional</t>
        </is>
      </c>
      <c r="E2576" s="16" t="inlineStr">
        <is>
          <t>Assertion: HTTP status not-exists</t>
        </is>
      </c>
      <c r="F2576" s="16" t="inlineStr">
        <is>
          <t>-</t>
        </is>
      </c>
      <c r="G2576" s="16" t="inlineStr">
        <is>
          <t>1. Add assertion: target='status code (e.g., 200)', operator='not-exists', expected=&lt;a value that should pass&gt;.
2. Send and observe Tests result.</t>
        </is>
      </c>
      <c r="H2576" s="16" t="inlineStr">
        <is>
          <t>target=HTTP status op=not-exists</t>
        </is>
      </c>
      <c r="I2576" s="16" t="inlineStr">
        <is>
          <t>Pass case: assertion green; actual matches expected per operator. Failure case (separately): red row with clear actual vs expected delta. Operator 'not-exists' applies correct semantics.</t>
        </is>
      </c>
      <c r="J2576" s="16" t="inlineStr"/>
      <c r="K2576" s="16" t="inlineStr">
        <is>
          <t>Not Run</t>
        </is>
      </c>
      <c r="L2576" s="16" t="inlineStr">
        <is>
          <t>Medium</t>
        </is>
      </c>
      <c r="M2576" s="16" t="inlineStr"/>
      <c r="N2576" s="16" t="inlineStr"/>
      <c r="O2576" s="16" t="inlineStr"/>
    </row>
    <row r="2577" ht="72" customHeight="1">
      <c r="A2577" s="16" t="inlineStr">
        <is>
          <t>TC-SC-0025</t>
        </is>
      </c>
      <c r="B2577" s="16" t="inlineStr">
        <is>
          <t>Pre-request Scripts &amp; Tests</t>
        </is>
      </c>
      <c r="C2577" s="16" t="inlineStr">
        <is>
          <t>Assertion Matrix</t>
        </is>
      </c>
      <c r="D2577" s="16" t="inlineStr">
        <is>
          <t>Functional</t>
        </is>
      </c>
      <c r="E2577" s="16" t="inlineStr">
        <is>
          <t>Assertion: HTTP status is-type (string/number/boolean/null/array/object)</t>
        </is>
      </c>
      <c r="F2577" s="16" t="inlineStr">
        <is>
          <t>-</t>
        </is>
      </c>
      <c r="G2577" s="16" t="inlineStr">
        <is>
          <t>1. Add assertion: target='status code (e.g., 200)', operator='is-type (string/number/boolean/null/array/object)', expected=&lt;a value that should pass&gt;.
2. Send and observe Tests result.</t>
        </is>
      </c>
      <c r="H2577" s="16" t="inlineStr">
        <is>
          <t>target=HTTP status op=is-type (string/number/boolean/null/array/object)</t>
        </is>
      </c>
      <c r="I2577" s="16" t="inlineStr">
        <is>
          <t>Pass case: assertion green; actual matches expected per operator. Failure case (separately): red row with clear actual vs expected delta. Operator 'is-type (string/number/boolean/null/array/object)' applies correct semantics.</t>
        </is>
      </c>
      <c r="J2577" s="16" t="inlineStr"/>
      <c r="K2577" s="16" t="inlineStr">
        <is>
          <t>Not Run</t>
        </is>
      </c>
      <c r="L2577" s="16" t="inlineStr">
        <is>
          <t>Medium</t>
        </is>
      </c>
      <c r="M2577" s="16" t="inlineStr"/>
      <c r="N2577" s="16" t="inlineStr"/>
      <c r="O2577" s="16" t="inlineStr"/>
    </row>
    <row r="2578" ht="72" customHeight="1">
      <c r="A2578" s="16" t="inlineStr">
        <is>
          <t>TC-SC-0026</t>
        </is>
      </c>
      <c r="B2578" s="16" t="inlineStr">
        <is>
          <t>Pre-request Scripts &amp; Tests</t>
        </is>
      </c>
      <c r="C2578" s="16" t="inlineStr">
        <is>
          <t>Assertion Matrix</t>
        </is>
      </c>
      <c r="D2578" s="16" t="inlineStr">
        <is>
          <t>Functional</t>
        </is>
      </c>
      <c r="E2578" s="16" t="inlineStr">
        <is>
          <t>Assertion: HTTP status length-equals</t>
        </is>
      </c>
      <c r="F2578" s="16" t="inlineStr">
        <is>
          <t>-</t>
        </is>
      </c>
      <c r="G2578" s="16" t="inlineStr">
        <is>
          <t>1. Add assertion: target='status code (e.g., 200)', operator='length-equals', expected=&lt;a value that should pass&gt;.
2. Send and observe Tests result.</t>
        </is>
      </c>
      <c r="H2578" s="16" t="inlineStr">
        <is>
          <t>target=HTTP status op=length-equals</t>
        </is>
      </c>
      <c r="I2578" s="16" t="inlineStr">
        <is>
          <t>Pass case: assertion green; actual matches expected per operator. Failure case (separately): red row with clear actual vs expected delta. Operator 'length-equals' applies correct semantics.</t>
        </is>
      </c>
      <c r="J2578" s="16" t="inlineStr"/>
      <c r="K2578" s="16" t="inlineStr">
        <is>
          <t>Not Run</t>
        </is>
      </c>
      <c r="L2578" s="16" t="inlineStr">
        <is>
          <t>Medium</t>
        </is>
      </c>
      <c r="M2578" s="16" t="inlineStr"/>
      <c r="N2578" s="16" t="inlineStr"/>
      <c r="O2578" s="16" t="inlineStr"/>
    </row>
    <row r="2579" ht="72" customHeight="1">
      <c r="A2579" s="16" t="inlineStr">
        <is>
          <t>TC-SC-0027</t>
        </is>
      </c>
      <c r="B2579" s="16" t="inlineStr">
        <is>
          <t>Pre-request Scripts &amp; Tests</t>
        </is>
      </c>
      <c r="C2579" s="16" t="inlineStr">
        <is>
          <t>Assertion Matrix</t>
        </is>
      </c>
      <c r="D2579" s="16" t="inlineStr">
        <is>
          <t>Functional</t>
        </is>
      </c>
      <c r="E2579" s="16" t="inlineStr">
        <is>
          <t>Assertion: HTTP status length-gt</t>
        </is>
      </c>
      <c r="F2579" s="16" t="inlineStr">
        <is>
          <t>-</t>
        </is>
      </c>
      <c r="G2579" s="16" t="inlineStr">
        <is>
          <t>1. Add assertion: target='status code (e.g., 200)', operator='length-gt', expected=&lt;a value that should pass&gt;.
2. Send and observe Tests result.</t>
        </is>
      </c>
      <c r="H2579" s="16" t="inlineStr">
        <is>
          <t>target=HTTP status op=length-gt</t>
        </is>
      </c>
      <c r="I2579" s="16" t="inlineStr">
        <is>
          <t>Pass case: assertion green; actual matches expected per operator. Failure case (separately): red row with clear actual vs expected delta. Operator 'length-gt' applies correct semantics.</t>
        </is>
      </c>
      <c r="J2579" s="16" t="inlineStr"/>
      <c r="K2579" s="16" t="inlineStr">
        <is>
          <t>Not Run</t>
        </is>
      </c>
      <c r="L2579" s="16" t="inlineStr">
        <is>
          <t>Medium</t>
        </is>
      </c>
      <c r="M2579" s="16" t="inlineStr"/>
      <c r="N2579" s="16" t="inlineStr"/>
      <c r="O2579" s="16" t="inlineStr"/>
    </row>
    <row r="2580" ht="72" customHeight="1">
      <c r="A2580" s="16" t="inlineStr">
        <is>
          <t>TC-SC-0028</t>
        </is>
      </c>
      <c r="B2580" s="16" t="inlineStr">
        <is>
          <t>Pre-request Scripts &amp; Tests</t>
        </is>
      </c>
      <c r="C2580" s="16" t="inlineStr">
        <is>
          <t>Assertion Matrix</t>
        </is>
      </c>
      <c r="D2580" s="16" t="inlineStr">
        <is>
          <t>Functional</t>
        </is>
      </c>
      <c r="E2580" s="16" t="inlineStr">
        <is>
          <t>Assertion: HTTP status length-lt</t>
        </is>
      </c>
      <c r="F2580" s="16" t="inlineStr">
        <is>
          <t>-</t>
        </is>
      </c>
      <c r="G2580" s="16" t="inlineStr">
        <is>
          <t>1. Add assertion: target='status code (e.g., 200)', operator='length-lt', expected=&lt;a value that should pass&gt;.
2. Send and observe Tests result.</t>
        </is>
      </c>
      <c r="H2580" s="16" t="inlineStr">
        <is>
          <t>target=HTTP status op=length-lt</t>
        </is>
      </c>
      <c r="I2580" s="16" t="inlineStr">
        <is>
          <t>Pass case: assertion green; actual matches expected per operator. Failure case (separately): red row with clear actual vs expected delta. Operator 'length-lt' applies correct semantics.</t>
        </is>
      </c>
      <c r="J2580" s="16" t="inlineStr"/>
      <c r="K2580" s="16" t="inlineStr">
        <is>
          <t>Not Run</t>
        </is>
      </c>
      <c r="L2580" s="16" t="inlineStr">
        <is>
          <t>Medium</t>
        </is>
      </c>
      <c r="M2580" s="16" t="inlineStr"/>
      <c r="N2580" s="16" t="inlineStr"/>
      <c r="O2580" s="16" t="inlineStr"/>
    </row>
    <row r="2581" ht="72" customHeight="1">
      <c r="A2581" s="16" t="inlineStr">
        <is>
          <t>TC-SC-0029</t>
        </is>
      </c>
      <c r="B2581" s="16" t="inlineStr">
        <is>
          <t>Pre-request Scripts &amp; Tests</t>
        </is>
      </c>
      <c r="C2581" s="16" t="inlineStr">
        <is>
          <t>Assertion Matrix</t>
        </is>
      </c>
      <c r="D2581" s="16" t="inlineStr">
        <is>
          <t>Functional</t>
        </is>
      </c>
      <c r="E2581" s="16" t="inlineStr">
        <is>
          <t>Assertion: Response time (ms) equals</t>
        </is>
      </c>
      <c r="F2581" s="16" t="inlineStr">
        <is>
          <t>-</t>
        </is>
      </c>
      <c r="G2581" s="16" t="inlineStr">
        <is>
          <t>1. Add assertion: target='responseTime', operator='equals', expected=&lt;a value that should pass&gt;.
2. Send and observe Tests result.</t>
        </is>
      </c>
      <c r="H2581" s="16" t="inlineStr">
        <is>
          <t>target=Response time (ms) op=equals</t>
        </is>
      </c>
      <c r="I2581" s="16" t="inlineStr">
        <is>
          <t>Pass case: assertion green; actual matches expected per operator. Failure case (separately): red row with clear actual vs expected delta. Operator 'equals' applies correct semantics.</t>
        </is>
      </c>
      <c r="J2581" s="16" t="inlineStr"/>
      <c r="K2581" s="16" t="inlineStr">
        <is>
          <t>Not Run</t>
        </is>
      </c>
      <c r="L2581" s="16" t="inlineStr">
        <is>
          <t>High</t>
        </is>
      </c>
      <c r="M2581" s="16" t="inlineStr"/>
      <c r="N2581" s="16" t="inlineStr"/>
      <c r="O2581" s="16" t="inlineStr"/>
    </row>
    <row r="2582" ht="72" customHeight="1">
      <c r="A2582" s="16" t="inlineStr">
        <is>
          <t>TC-SC-0030</t>
        </is>
      </c>
      <c r="B2582" s="16" t="inlineStr">
        <is>
          <t>Pre-request Scripts &amp; Tests</t>
        </is>
      </c>
      <c r="C2582" s="16" t="inlineStr">
        <is>
          <t>Assertion Matrix</t>
        </is>
      </c>
      <c r="D2582" s="16" t="inlineStr">
        <is>
          <t>Functional</t>
        </is>
      </c>
      <c r="E2582" s="16" t="inlineStr">
        <is>
          <t>Assertion: Response time (ms) not-equals</t>
        </is>
      </c>
      <c r="F2582" s="16" t="inlineStr">
        <is>
          <t>-</t>
        </is>
      </c>
      <c r="G2582" s="16" t="inlineStr">
        <is>
          <t>1. Add assertion: target='responseTime', operator='not-equals', expected=&lt;a value that should pass&gt;.
2. Send and observe Tests result.</t>
        </is>
      </c>
      <c r="H2582" s="16" t="inlineStr">
        <is>
          <t>target=Response time (ms) op=not-equals</t>
        </is>
      </c>
      <c r="I2582" s="16" t="inlineStr">
        <is>
          <t>Pass case: assertion green; actual matches expected per operator. Failure case (separately): red row with clear actual vs expected delta. Operator 'not-equals' applies correct semantics.</t>
        </is>
      </c>
      <c r="J2582" s="16" t="inlineStr"/>
      <c r="K2582" s="16" t="inlineStr">
        <is>
          <t>Not Run</t>
        </is>
      </c>
      <c r="L2582" s="16" t="inlineStr">
        <is>
          <t>Medium</t>
        </is>
      </c>
      <c r="M2582" s="16" t="inlineStr"/>
      <c r="N2582" s="16" t="inlineStr"/>
      <c r="O2582" s="16" t="inlineStr"/>
    </row>
    <row r="2583" ht="72" customHeight="1">
      <c r="A2583" s="16" t="inlineStr">
        <is>
          <t>TC-SC-0031</t>
        </is>
      </c>
      <c r="B2583" s="16" t="inlineStr">
        <is>
          <t>Pre-request Scripts &amp; Tests</t>
        </is>
      </c>
      <c r="C2583" s="16" t="inlineStr">
        <is>
          <t>Assertion Matrix</t>
        </is>
      </c>
      <c r="D2583" s="16" t="inlineStr">
        <is>
          <t>Functional</t>
        </is>
      </c>
      <c r="E2583" s="16" t="inlineStr">
        <is>
          <t>Assertion: Response time (ms) contains</t>
        </is>
      </c>
      <c r="F2583" s="16" t="inlineStr">
        <is>
          <t>-</t>
        </is>
      </c>
      <c r="G2583" s="16" t="inlineStr">
        <is>
          <t>1. Add assertion: target='responseTime', operator='contains', expected=&lt;a value that should pass&gt;.
2. Send and observe Tests result.</t>
        </is>
      </c>
      <c r="H2583" s="16" t="inlineStr">
        <is>
          <t>target=Response time (ms) op=contains</t>
        </is>
      </c>
      <c r="I2583" s="16" t="inlineStr">
        <is>
          <t>Pass case: assertion green; actual matches expected per operator. Failure case (separately): red row with clear actual vs expected delta. Operator 'contains' applies correct semantics.</t>
        </is>
      </c>
      <c r="J2583" s="16" t="inlineStr"/>
      <c r="K2583" s="16" t="inlineStr">
        <is>
          <t>Not Run</t>
        </is>
      </c>
      <c r="L2583" s="16" t="inlineStr">
        <is>
          <t>High</t>
        </is>
      </c>
      <c r="M2583" s="16" t="inlineStr"/>
      <c r="N2583" s="16" t="inlineStr"/>
      <c r="O2583" s="16" t="inlineStr"/>
    </row>
    <row r="2584" ht="72" customHeight="1">
      <c r="A2584" s="16" t="inlineStr">
        <is>
          <t>TC-SC-0032</t>
        </is>
      </c>
      <c r="B2584" s="16" t="inlineStr">
        <is>
          <t>Pre-request Scripts &amp; Tests</t>
        </is>
      </c>
      <c r="C2584" s="16" t="inlineStr">
        <is>
          <t>Assertion Matrix</t>
        </is>
      </c>
      <c r="D2584" s="16" t="inlineStr">
        <is>
          <t>Functional</t>
        </is>
      </c>
      <c r="E2584" s="16" t="inlineStr">
        <is>
          <t>Assertion: Response time (ms) not-contains</t>
        </is>
      </c>
      <c r="F2584" s="16" t="inlineStr">
        <is>
          <t>-</t>
        </is>
      </c>
      <c r="G2584" s="16" t="inlineStr">
        <is>
          <t>1. Add assertion: target='responseTime', operator='not-contains', expected=&lt;a value that should pass&gt;.
2. Send and observe Tests result.</t>
        </is>
      </c>
      <c r="H2584" s="16" t="inlineStr">
        <is>
          <t>target=Response time (ms) op=not-contains</t>
        </is>
      </c>
      <c r="I2584" s="16" t="inlineStr">
        <is>
          <t>Pass case: assertion green; actual matches expected per operator. Failure case (separately): red row with clear actual vs expected delta. Operator 'not-contains' applies correct semantics.</t>
        </is>
      </c>
      <c r="J2584" s="16" t="inlineStr"/>
      <c r="K2584" s="16" t="inlineStr">
        <is>
          <t>Not Run</t>
        </is>
      </c>
      <c r="L2584" s="16" t="inlineStr">
        <is>
          <t>Medium</t>
        </is>
      </c>
      <c r="M2584" s="16" t="inlineStr"/>
      <c r="N2584" s="16" t="inlineStr"/>
      <c r="O2584" s="16" t="inlineStr"/>
    </row>
    <row r="2585" ht="72" customHeight="1">
      <c r="A2585" s="16" t="inlineStr">
        <is>
          <t>TC-SC-0033</t>
        </is>
      </c>
      <c r="B2585" s="16" t="inlineStr">
        <is>
          <t>Pre-request Scripts &amp; Tests</t>
        </is>
      </c>
      <c r="C2585" s="16" t="inlineStr">
        <is>
          <t>Assertion Matrix</t>
        </is>
      </c>
      <c r="D2585" s="16" t="inlineStr">
        <is>
          <t>Functional</t>
        </is>
      </c>
      <c r="E2585" s="16" t="inlineStr">
        <is>
          <t>Assertion: Response time (ms) starts-with</t>
        </is>
      </c>
      <c r="F2585" s="16" t="inlineStr">
        <is>
          <t>-</t>
        </is>
      </c>
      <c r="G2585" s="16" t="inlineStr">
        <is>
          <t>1. Add assertion: target='responseTime', operator='starts-with', expected=&lt;a value that should pass&gt;.
2. Send and observe Tests result.</t>
        </is>
      </c>
      <c r="H2585" s="16" t="inlineStr">
        <is>
          <t>target=Response time (ms) op=starts-with</t>
        </is>
      </c>
      <c r="I2585" s="16" t="inlineStr">
        <is>
          <t>Pass case: assertion green; actual matches expected per operator. Failure case (separately): red row with clear actual vs expected delta. Operator 'starts-with' applies correct semantics.</t>
        </is>
      </c>
      <c r="J2585" s="16" t="inlineStr"/>
      <c r="K2585" s="16" t="inlineStr">
        <is>
          <t>Not Run</t>
        </is>
      </c>
      <c r="L2585" s="16" t="inlineStr">
        <is>
          <t>Medium</t>
        </is>
      </c>
      <c r="M2585" s="16" t="inlineStr"/>
      <c r="N2585" s="16" t="inlineStr"/>
      <c r="O2585" s="16" t="inlineStr"/>
    </row>
    <row r="2586" ht="72" customHeight="1">
      <c r="A2586" s="16" t="inlineStr">
        <is>
          <t>TC-SC-0034</t>
        </is>
      </c>
      <c r="B2586" s="16" t="inlineStr">
        <is>
          <t>Pre-request Scripts &amp; Tests</t>
        </is>
      </c>
      <c r="C2586" s="16" t="inlineStr">
        <is>
          <t>Assertion Matrix</t>
        </is>
      </c>
      <c r="D2586" s="16" t="inlineStr">
        <is>
          <t>Functional</t>
        </is>
      </c>
      <c r="E2586" s="16" t="inlineStr">
        <is>
          <t>Assertion: Response time (ms) ends-with</t>
        </is>
      </c>
      <c r="F2586" s="16" t="inlineStr">
        <is>
          <t>-</t>
        </is>
      </c>
      <c r="G2586" s="16" t="inlineStr">
        <is>
          <t>1. Add assertion: target='responseTime', operator='ends-with', expected=&lt;a value that should pass&gt;.
2. Send and observe Tests result.</t>
        </is>
      </c>
      <c r="H2586" s="16" t="inlineStr">
        <is>
          <t>target=Response time (ms) op=ends-with</t>
        </is>
      </c>
      <c r="I2586" s="16" t="inlineStr">
        <is>
          <t>Pass case: assertion green; actual matches expected per operator. Failure case (separately): red row with clear actual vs expected delta. Operator 'ends-with' applies correct semantics.</t>
        </is>
      </c>
      <c r="J2586" s="16" t="inlineStr"/>
      <c r="K2586" s="16" t="inlineStr">
        <is>
          <t>Not Run</t>
        </is>
      </c>
      <c r="L2586" s="16" t="inlineStr">
        <is>
          <t>Medium</t>
        </is>
      </c>
      <c r="M2586" s="16" t="inlineStr"/>
      <c r="N2586" s="16" t="inlineStr"/>
      <c r="O2586" s="16" t="inlineStr"/>
    </row>
    <row r="2587" ht="72" customHeight="1">
      <c r="A2587" s="16" t="inlineStr">
        <is>
          <t>TC-SC-0035</t>
        </is>
      </c>
      <c r="B2587" s="16" t="inlineStr">
        <is>
          <t>Pre-request Scripts &amp; Tests</t>
        </is>
      </c>
      <c r="C2587" s="16" t="inlineStr">
        <is>
          <t>Assertion Matrix</t>
        </is>
      </c>
      <c r="D2587" s="16" t="inlineStr">
        <is>
          <t>Functional</t>
        </is>
      </c>
      <c r="E2587" s="16" t="inlineStr">
        <is>
          <t>Assertion: Response time (ms) matches (regex)</t>
        </is>
      </c>
      <c r="F2587" s="16" t="inlineStr">
        <is>
          <t>-</t>
        </is>
      </c>
      <c r="G2587" s="16" t="inlineStr">
        <is>
          <t>1. Add assertion: target='responseTime', operator='matches (regex)', expected=&lt;a value that should pass&gt;.
2. Send and observe Tests result.</t>
        </is>
      </c>
      <c r="H2587" s="16" t="inlineStr">
        <is>
          <t>target=Response time (ms) op=matches (regex)</t>
        </is>
      </c>
      <c r="I2587" s="16" t="inlineStr">
        <is>
          <t>Pass case: assertion green; actual matches expected per operator. Failure case (separately): red row with clear actual vs expected delta. Operator 'matches (regex)' applies correct semantics.</t>
        </is>
      </c>
      <c r="J2587" s="16" t="inlineStr"/>
      <c r="K2587" s="16" t="inlineStr">
        <is>
          <t>Not Run</t>
        </is>
      </c>
      <c r="L2587" s="16" t="inlineStr">
        <is>
          <t>High</t>
        </is>
      </c>
      <c r="M2587" s="16" t="inlineStr"/>
      <c r="N2587" s="16" t="inlineStr"/>
      <c r="O2587" s="16" t="inlineStr"/>
    </row>
    <row r="2588" ht="72" customHeight="1">
      <c r="A2588" s="16" t="inlineStr">
        <is>
          <t>TC-SC-0036</t>
        </is>
      </c>
      <c r="B2588" s="16" t="inlineStr">
        <is>
          <t>Pre-request Scripts &amp; Tests</t>
        </is>
      </c>
      <c r="C2588" s="16" t="inlineStr">
        <is>
          <t>Assertion Matrix</t>
        </is>
      </c>
      <c r="D2588" s="16" t="inlineStr">
        <is>
          <t>Functional</t>
        </is>
      </c>
      <c r="E2588" s="16" t="inlineStr">
        <is>
          <t>Assertion: Response time (ms) lt</t>
        </is>
      </c>
      <c r="F2588" s="16" t="inlineStr">
        <is>
          <t>-</t>
        </is>
      </c>
      <c r="G2588" s="16" t="inlineStr">
        <is>
          <t>1. Add assertion: target='responseTime', operator='lt', expected=&lt;a value that should pass&gt;.
2. Send and observe Tests result.</t>
        </is>
      </c>
      <c r="H2588" s="16" t="inlineStr">
        <is>
          <t>target=Response time (ms) op=lt</t>
        </is>
      </c>
      <c r="I2588" s="16" t="inlineStr">
        <is>
          <t>Pass case: assertion green; actual matches expected per operator. Failure case (separately): red row with clear actual vs expected delta. Operator 'lt' applies correct semantics.</t>
        </is>
      </c>
      <c r="J2588" s="16" t="inlineStr"/>
      <c r="K2588" s="16" t="inlineStr">
        <is>
          <t>Not Run</t>
        </is>
      </c>
      <c r="L2588" s="16" t="inlineStr">
        <is>
          <t>High</t>
        </is>
      </c>
      <c r="M2588" s="16" t="inlineStr"/>
      <c r="N2588" s="16" t="inlineStr"/>
      <c r="O2588" s="16" t="inlineStr"/>
    </row>
    <row r="2589" ht="72" customHeight="1">
      <c r="A2589" s="16" t="inlineStr">
        <is>
          <t>TC-SC-0037</t>
        </is>
      </c>
      <c r="B2589" s="16" t="inlineStr">
        <is>
          <t>Pre-request Scripts &amp; Tests</t>
        </is>
      </c>
      <c r="C2589" s="16" t="inlineStr">
        <is>
          <t>Assertion Matrix</t>
        </is>
      </c>
      <c r="D2589" s="16" t="inlineStr">
        <is>
          <t>Functional</t>
        </is>
      </c>
      <c r="E2589" s="16" t="inlineStr">
        <is>
          <t>Assertion: Response time (ms) lte</t>
        </is>
      </c>
      <c r="F2589" s="16" t="inlineStr">
        <is>
          <t>-</t>
        </is>
      </c>
      <c r="G2589" s="16" t="inlineStr">
        <is>
          <t>1. Add assertion: target='responseTime', operator='lte', expected=&lt;a value that should pass&gt;.
2. Send and observe Tests result.</t>
        </is>
      </c>
      <c r="H2589" s="16" t="inlineStr">
        <is>
          <t>target=Response time (ms) op=lte</t>
        </is>
      </c>
      <c r="I2589" s="16" t="inlineStr">
        <is>
          <t>Pass case: assertion green; actual matches expected per operator. Failure case (separately): red row with clear actual vs expected delta. Operator 'lte' applies correct semantics.</t>
        </is>
      </c>
      <c r="J2589" s="16" t="inlineStr"/>
      <c r="K2589" s="16" t="inlineStr">
        <is>
          <t>Not Run</t>
        </is>
      </c>
      <c r="L2589" s="16" t="inlineStr">
        <is>
          <t>Medium</t>
        </is>
      </c>
      <c r="M2589" s="16" t="inlineStr"/>
      <c r="N2589" s="16" t="inlineStr"/>
      <c r="O2589" s="16" t="inlineStr"/>
    </row>
    <row r="2590" ht="72" customHeight="1">
      <c r="A2590" s="16" t="inlineStr">
        <is>
          <t>TC-SC-0038</t>
        </is>
      </c>
      <c r="B2590" s="16" t="inlineStr">
        <is>
          <t>Pre-request Scripts &amp; Tests</t>
        </is>
      </c>
      <c r="C2590" s="16" t="inlineStr">
        <is>
          <t>Assertion Matrix</t>
        </is>
      </c>
      <c r="D2590" s="16" t="inlineStr">
        <is>
          <t>Functional</t>
        </is>
      </c>
      <c r="E2590" s="16" t="inlineStr">
        <is>
          <t>Assertion: Response time (ms) gt</t>
        </is>
      </c>
      <c r="F2590" s="16" t="inlineStr">
        <is>
          <t>-</t>
        </is>
      </c>
      <c r="G2590" s="16" t="inlineStr">
        <is>
          <t>1. Add assertion: target='responseTime', operator='gt', expected=&lt;a value that should pass&gt;.
2. Send and observe Tests result.</t>
        </is>
      </c>
      <c r="H2590" s="16" t="inlineStr">
        <is>
          <t>target=Response time (ms) op=gt</t>
        </is>
      </c>
      <c r="I2590" s="16" t="inlineStr">
        <is>
          <t>Pass case: assertion green; actual matches expected per operator. Failure case (separately): red row with clear actual vs expected delta. Operator 'gt' applies correct semantics.</t>
        </is>
      </c>
      <c r="J2590" s="16" t="inlineStr"/>
      <c r="K2590" s="16" t="inlineStr">
        <is>
          <t>Not Run</t>
        </is>
      </c>
      <c r="L2590" s="16" t="inlineStr">
        <is>
          <t>High</t>
        </is>
      </c>
      <c r="M2590" s="16" t="inlineStr"/>
      <c r="N2590" s="16" t="inlineStr"/>
      <c r="O2590" s="16" t="inlineStr"/>
    </row>
    <row r="2591" ht="72" customHeight="1">
      <c r="A2591" s="16" t="inlineStr">
        <is>
          <t>TC-SC-0039</t>
        </is>
      </c>
      <c r="B2591" s="16" t="inlineStr">
        <is>
          <t>Pre-request Scripts &amp; Tests</t>
        </is>
      </c>
      <c r="C2591" s="16" t="inlineStr">
        <is>
          <t>Assertion Matrix</t>
        </is>
      </c>
      <c r="D2591" s="16" t="inlineStr">
        <is>
          <t>Functional</t>
        </is>
      </c>
      <c r="E2591" s="16" t="inlineStr">
        <is>
          <t>Assertion: Response time (ms) gte</t>
        </is>
      </c>
      <c r="F2591" s="16" t="inlineStr">
        <is>
          <t>-</t>
        </is>
      </c>
      <c r="G2591" s="16" t="inlineStr">
        <is>
          <t>1. Add assertion: target='responseTime', operator='gte', expected=&lt;a value that should pass&gt;.
2. Send and observe Tests result.</t>
        </is>
      </c>
      <c r="H2591" s="16" t="inlineStr">
        <is>
          <t>target=Response time (ms) op=gte</t>
        </is>
      </c>
      <c r="I2591" s="16" t="inlineStr">
        <is>
          <t>Pass case: assertion green; actual matches expected per operator. Failure case (separately): red row with clear actual vs expected delta. Operator 'gte' applies correct semantics.</t>
        </is>
      </c>
      <c r="J2591" s="16" t="inlineStr"/>
      <c r="K2591" s="16" t="inlineStr">
        <is>
          <t>Not Run</t>
        </is>
      </c>
      <c r="L2591" s="16" t="inlineStr">
        <is>
          <t>Medium</t>
        </is>
      </c>
      <c r="M2591" s="16" t="inlineStr"/>
      <c r="N2591" s="16" t="inlineStr"/>
      <c r="O2591" s="16" t="inlineStr"/>
    </row>
    <row r="2592" ht="72" customHeight="1">
      <c r="A2592" s="16" t="inlineStr">
        <is>
          <t>TC-SC-0040</t>
        </is>
      </c>
      <c r="B2592" s="16" t="inlineStr">
        <is>
          <t>Pre-request Scripts &amp; Tests</t>
        </is>
      </c>
      <c r="C2592" s="16" t="inlineStr">
        <is>
          <t>Assertion Matrix</t>
        </is>
      </c>
      <c r="D2592" s="16" t="inlineStr">
        <is>
          <t>Functional</t>
        </is>
      </c>
      <c r="E2592" s="16" t="inlineStr">
        <is>
          <t>Assertion: Response time (ms) exists</t>
        </is>
      </c>
      <c r="F2592" s="16" t="inlineStr">
        <is>
          <t>-</t>
        </is>
      </c>
      <c r="G2592" s="16" t="inlineStr">
        <is>
          <t>1. Add assertion: target='responseTime', operator='exists', expected=&lt;a value that should pass&gt;.
2. Send and observe Tests result.</t>
        </is>
      </c>
      <c r="H2592" s="16" t="inlineStr">
        <is>
          <t>target=Response time (ms) op=exists</t>
        </is>
      </c>
      <c r="I2592" s="16" t="inlineStr">
        <is>
          <t>Pass case: assertion green; actual matches expected per operator. Failure case (separately): red row with clear actual vs expected delta. Operator 'exists' applies correct semantics.</t>
        </is>
      </c>
      <c r="J2592" s="16" t="inlineStr"/>
      <c r="K2592" s="16" t="inlineStr">
        <is>
          <t>Not Run</t>
        </is>
      </c>
      <c r="L2592" s="16" t="inlineStr">
        <is>
          <t>High</t>
        </is>
      </c>
      <c r="M2592" s="16" t="inlineStr"/>
      <c r="N2592" s="16" t="inlineStr"/>
      <c r="O2592" s="16" t="inlineStr"/>
    </row>
    <row r="2593" ht="72" customHeight="1">
      <c r="A2593" s="16" t="inlineStr">
        <is>
          <t>TC-SC-0041</t>
        </is>
      </c>
      <c r="B2593" s="16" t="inlineStr">
        <is>
          <t>Pre-request Scripts &amp; Tests</t>
        </is>
      </c>
      <c r="C2593" s="16" t="inlineStr">
        <is>
          <t>Assertion Matrix</t>
        </is>
      </c>
      <c r="D2593" s="16" t="inlineStr">
        <is>
          <t>Functional</t>
        </is>
      </c>
      <c r="E2593" s="16" t="inlineStr">
        <is>
          <t>Assertion: Response time (ms) not-exists</t>
        </is>
      </c>
      <c r="F2593" s="16" t="inlineStr">
        <is>
          <t>-</t>
        </is>
      </c>
      <c r="G2593" s="16" t="inlineStr">
        <is>
          <t>1. Add assertion: target='responseTime', operator='not-exists', expected=&lt;a value that should pass&gt;.
2. Send and observe Tests result.</t>
        </is>
      </c>
      <c r="H2593" s="16" t="inlineStr">
        <is>
          <t>target=Response time (ms) op=not-exists</t>
        </is>
      </c>
      <c r="I2593" s="16" t="inlineStr">
        <is>
          <t>Pass case: assertion green; actual matches expected per operator. Failure case (separately): red row with clear actual vs expected delta. Operator 'not-exists' applies correct semantics.</t>
        </is>
      </c>
      <c r="J2593" s="16" t="inlineStr"/>
      <c r="K2593" s="16" t="inlineStr">
        <is>
          <t>Not Run</t>
        </is>
      </c>
      <c r="L2593" s="16" t="inlineStr">
        <is>
          <t>Medium</t>
        </is>
      </c>
      <c r="M2593" s="16" t="inlineStr"/>
      <c r="N2593" s="16" t="inlineStr"/>
      <c r="O2593" s="16" t="inlineStr"/>
    </row>
    <row r="2594" ht="72" customHeight="1">
      <c r="A2594" s="16" t="inlineStr">
        <is>
          <t>TC-SC-0042</t>
        </is>
      </c>
      <c r="B2594" s="16" t="inlineStr">
        <is>
          <t>Pre-request Scripts &amp; Tests</t>
        </is>
      </c>
      <c r="C2594" s="16" t="inlineStr">
        <is>
          <t>Assertion Matrix</t>
        </is>
      </c>
      <c r="D2594" s="16" t="inlineStr">
        <is>
          <t>Functional</t>
        </is>
      </c>
      <c r="E2594" s="16" t="inlineStr">
        <is>
          <t>Assertion: Response time (ms) is-type (string/number/boolean/null/array/object)</t>
        </is>
      </c>
      <c r="F2594" s="16" t="inlineStr">
        <is>
          <t>-</t>
        </is>
      </c>
      <c r="G2594" s="16" t="inlineStr">
        <is>
          <t>1. Add assertion: target='responseTime', operator='is-type (string/number/boolean/null/array/object)', expected=&lt;a value that should pass&gt;.
2. Send and observe Tests result.</t>
        </is>
      </c>
      <c r="H2594" s="16" t="inlineStr">
        <is>
          <t>target=Response time (ms) op=is-type (string/number/boolean/null/array/object)</t>
        </is>
      </c>
      <c r="I2594" s="16" t="inlineStr">
        <is>
          <t>Pass case: assertion green; actual matches expected per operator. Failure case (separately): red row with clear actual vs expected delta. Operator 'is-type (string/number/boolean/null/array/object)' applies correct semantics.</t>
        </is>
      </c>
      <c r="J2594" s="16" t="inlineStr"/>
      <c r="K2594" s="16" t="inlineStr">
        <is>
          <t>Not Run</t>
        </is>
      </c>
      <c r="L2594" s="16" t="inlineStr">
        <is>
          <t>Medium</t>
        </is>
      </c>
      <c r="M2594" s="16" t="inlineStr"/>
      <c r="N2594" s="16" t="inlineStr"/>
      <c r="O2594" s="16" t="inlineStr"/>
    </row>
    <row r="2595" ht="72" customHeight="1">
      <c r="A2595" s="16" t="inlineStr">
        <is>
          <t>TC-SC-0043</t>
        </is>
      </c>
      <c r="B2595" s="16" t="inlineStr">
        <is>
          <t>Pre-request Scripts &amp; Tests</t>
        </is>
      </c>
      <c r="C2595" s="16" t="inlineStr">
        <is>
          <t>Assertion Matrix</t>
        </is>
      </c>
      <c r="D2595" s="16" t="inlineStr">
        <is>
          <t>Functional</t>
        </is>
      </c>
      <c r="E2595" s="16" t="inlineStr">
        <is>
          <t>Assertion: Response time (ms) length-equals</t>
        </is>
      </c>
      <c r="F2595" s="16" t="inlineStr">
        <is>
          <t>-</t>
        </is>
      </c>
      <c r="G2595" s="16" t="inlineStr">
        <is>
          <t>1. Add assertion: target='responseTime', operator='length-equals', expected=&lt;a value that should pass&gt;.
2. Send and observe Tests result.</t>
        </is>
      </c>
      <c r="H2595" s="16" t="inlineStr">
        <is>
          <t>target=Response time (ms) op=length-equals</t>
        </is>
      </c>
      <c r="I2595" s="16" t="inlineStr">
        <is>
          <t>Pass case: assertion green; actual matches expected per operator. Failure case (separately): red row with clear actual vs expected delta. Operator 'length-equals' applies correct semantics.</t>
        </is>
      </c>
      <c r="J2595" s="16" t="inlineStr"/>
      <c r="K2595" s="16" t="inlineStr">
        <is>
          <t>Not Run</t>
        </is>
      </c>
      <c r="L2595" s="16" t="inlineStr">
        <is>
          <t>Medium</t>
        </is>
      </c>
      <c r="M2595" s="16" t="inlineStr"/>
      <c r="N2595" s="16" t="inlineStr"/>
      <c r="O2595" s="16" t="inlineStr"/>
    </row>
    <row r="2596" ht="72" customHeight="1">
      <c r="A2596" s="16" t="inlineStr">
        <is>
          <t>TC-SC-0044</t>
        </is>
      </c>
      <c r="B2596" s="16" t="inlineStr">
        <is>
          <t>Pre-request Scripts &amp; Tests</t>
        </is>
      </c>
      <c r="C2596" s="16" t="inlineStr">
        <is>
          <t>Assertion Matrix</t>
        </is>
      </c>
      <c r="D2596" s="16" t="inlineStr">
        <is>
          <t>Functional</t>
        </is>
      </c>
      <c r="E2596" s="16" t="inlineStr">
        <is>
          <t>Assertion: Response time (ms) length-gt</t>
        </is>
      </c>
      <c r="F2596" s="16" t="inlineStr">
        <is>
          <t>-</t>
        </is>
      </c>
      <c r="G2596" s="16" t="inlineStr">
        <is>
          <t>1. Add assertion: target='responseTime', operator='length-gt', expected=&lt;a value that should pass&gt;.
2. Send and observe Tests result.</t>
        </is>
      </c>
      <c r="H2596" s="16" t="inlineStr">
        <is>
          <t>target=Response time (ms) op=length-gt</t>
        </is>
      </c>
      <c r="I2596" s="16" t="inlineStr">
        <is>
          <t>Pass case: assertion green; actual matches expected per operator. Failure case (separately): red row with clear actual vs expected delta. Operator 'length-gt' applies correct semantics.</t>
        </is>
      </c>
      <c r="J2596" s="16" t="inlineStr"/>
      <c r="K2596" s="16" t="inlineStr">
        <is>
          <t>Not Run</t>
        </is>
      </c>
      <c r="L2596" s="16" t="inlineStr">
        <is>
          <t>Medium</t>
        </is>
      </c>
      <c r="M2596" s="16" t="inlineStr"/>
      <c r="N2596" s="16" t="inlineStr"/>
      <c r="O2596" s="16" t="inlineStr"/>
    </row>
    <row r="2597" ht="72" customHeight="1">
      <c r="A2597" s="16" t="inlineStr">
        <is>
          <t>TC-SC-0045</t>
        </is>
      </c>
      <c r="B2597" s="16" t="inlineStr">
        <is>
          <t>Pre-request Scripts &amp; Tests</t>
        </is>
      </c>
      <c r="C2597" s="16" t="inlineStr">
        <is>
          <t>Assertion Matrix</t>
        </is>
      </c>
      <c r="D2597" s="16" t="inlineStr">
        <is>
          <t>Functional</t>
        </is>
      </c>
      <c r="E2597" s="16" t="inlineStr">
        <is>
          <t>Assertion: Response time (ms) length-lt</t>
        </is>
      </c>
      <c r="F2597" s="16" t="inlineStr">
        <is>
          <t>-</t>
        </is>
      </c>
      <c r="G2597" s="16" t="inlineStr">
        <is>
          <t>1. Add assertion: target='responseTime', operator='length-lt', expected=&lt;a value that should pass&gt;.
2. Send and observe Tests result.</t>
        </is>
      </c>
      <c r="H2597" s="16" t="inlineStr">
        <is>
          <t>target=Response time (ms) op=length-lt</t>
        </is>
      </c>
      <c r="I2597" s="16" t="inlineStr">
        <is>
          <t>Pass case: assertion green; actual matches expected per operator. Failure case (separately): red row with clear actual vs expected delta. Operator 'length-lt' applies correct semantics.</t>
        </is>
      </c>
      <c r="J2597" s="16" t="inlineStr"/>
      <c r="K2597" s="16" t="inlineStr">
        <is>
          <t>Not Run</t>
        </is>
      </c>
      <c r="L2597" s="16" t="inlineStr">
        <is>
          <t>Medium</t>
        </is>
      </c>
      <c r="M2597" s="16" t="inlineStr"/>
      <c r="N2597" s="16" t="inlineStr"/>
      <c r="O2597" s="16" t="inlineStr"/>
    </row>
    <row r="2598" ht="72" customHeight="1">
      <c r="A2598" s="16" t="inlineStr">
        <is>
          <t>TC-SC-0046</t>
        </is>
      </c>
      <c r="B2598" s="16" t="inlineStr">
        <is>
          <t>Pre-request Scripts &amp; Tests</t>
        </is>
      </c>
      <c r="C2598" s="16" t="inlineStr">
        <is>
          <t>Assertion Matrix</t>
        </is>
      </c>
      <c r="D2598" s="16" t="inlineStr">
        <is>
          <t>Functional</t>
        </is>
      </c>
      <c r="E2598" s="16" t="inlineStr">
        <is>
          <t>Assertion: Response size (bytes) equals</t>
        </is>
      </c>
      <c r="F2598" s="16" t="inlineStr">
        <is>
          <t>-</t>
        </is>
      </c>
      <c r="G2598" s="16" t="inlineStr">
        <is>
          <t>1. Add assertion: target='responseSize', operator='equals', expected=&lt;a value that should pass&gt;.
2. Send and observe Tests result.</t>
        </is>
      </c>
      <c r="H2598" s="16" t="inlineStr">
        <is>
          <t>target=Response size (bytes) op=equals</t>
        </is>
      </c>
      <c r="I2598" s="16" t="inlineStr">
        <is>
          <t>Pass case: assertion green; actual matches expected per operator. Failure case (separately): red row with clear actual vs expected delta. Operator 'equals' applies correct semantics.</t>
        </is>
      </c>
      <c r="J2598" s="16" t="inlineStr"/>
      <c r="K2598" s="16" t="inlineStr">
        <is>
          <t>Not Run</t>
        </is>
      </c>
      <c r="L2598" s="16" t="inlineStr">
        <is>
          <t>Medium</t>
        </is>
      </c>
      <c r="M2598" s="16" t="inlineStr"/>
      <c r="N2598" s="16" t="inlineStr"/>
      <c r="O2598" s="16" t="inlineStr"/>
    </row>
    <row r="2599" ht="72" customHeight="1">
      <c r="A2599" s="16" t="inlineStr">
        <is>
          <t>TC-SC-0047</t>
        </is>
      </c>
      <c r="B2599" s="16" t="inlineStr">
        <is>
          <t>Pre-request Scripts &amp; Tests</t>
        </is>
      </c>
      <c r="C2599" s="16" t="inlineStr">
        <is>
          <t>Assertion Matrix</t>
        </is>
      </c>
      <c r="D2599" s="16" t="inlineStr">
        <is>
          <t>Functional</t>
        </is>
      </c>
      <c r="E2599" s="16" t="inlineStr">
        <is>
          <t>Assertion: Response size (bytes) not-equals</t>
        </is>
      </c>
      <c r="F2599" s="16" t="inlineStr">
        <is>
          <t>-</t>
        </is>
      </c>
      <c r="G2599" s="16" t="inlineStr">
        <is>
          <t>1. Add assertion: target='responseSize', operator='not-equals', expected=&lt;a value that should pass&gt;.
2. Send and observe Tests result.</t>
        </is>
      </c>
      <c r="H2599" s="16" t="inlineStr">
        <is>
          <t>target=Response size (bytes) op=not-equals</t>
        </is>
      </c>
      <c r="I2599" s="16" t="inlineStr">
        <is>
          <t>Pass case: assertion green; actual matches expected per operator. Failure case (separately): red row with clear actual vs expected delta. Operator 'not-equals' applies correct semantics.</t>
        </is>
      </c>
      <c r="J2599" s="16" t="inlineStr"/>
      <c r="K2599" s="16" t="inlineStr">
        <is>
          <t>Not Run</t>
        </is>
      </c>
      <c r="L2599" s="16" t="inlineStr">
        <is>
          <t>Medium</t>
        </is>
      </c>
      <c r="M2599" s="16" t="inlineStr"/>
      <c r="N2599" s="16" t="inlineStr"/>
      <c r="O2599" s="16" t="inlineStr"/>
    </row>
    <row r="2600" ht="72" customHeight="1">
      <c r="A2600" s="16" t="inlineStr">
        <is>
          <t>TC-SC-0048</t>
        </is>
      </c>
      <c r="B2600" s="16" t="inlineStr">
        <is>
          <t>Pre-request Scripts &amp; Tests</t>
        </is>
      </c>
      <c r="C2600" s="16" t="inlineStr">
        <is>
          <t>Assertion Matrix</t>
        </is>
      </c>
      <c r="D2600" s="16" t="inlineStr">
        <is>
          <t>Functional</t>
        </is>
      </c>
      <c r="E2600" s="16" t="inlineStr">
        <is>
          <t>Assertion: Response size (bytes) contains</t>
        </is>
      </c>
      <c r="F2600" s="16" t="inlineStr">
        <is>
          <t>-</t>
        </is>
      </c>
      <c r="G2600" s="16" t="inlineStr">
        <is>
          <t>1. Add assertion: target='responseSize', operator='contains', expected=&lt;a value that should pass&gt;.
2. Send and observe Tests result.</t>
        </is>
      </c>
      <c r="H2600" s="16" t="inlineStr">
        <is>
          <t>target=Response size (bytes) op=contains</t>
        </is>
      </c>
      <c r="I2600" s="16" t="inlineStr">
        <is>
          <t>Pass case: assertion green; actual matches expected per operator. Failure case (separately): red row with clear actual vs expected delta. Operator 'contains' applies correct semantics.</t>
        </is>
      </c>
      <c r="J2600" s="16" t="inlineStr"/>
      <c r="K2600" s="16" t="inlineStr">
        <is>
          <t>Not Run</t>
        </is>
      </c>
      <c r="L2600" s="16" t="inlineStr">
        <is>
          <t>Medium</t>
        </is>
      </c>
      <c r="M2600" s="16" t="inlineStr"/>
      <c r="N2600" s="16" t="inlineStr"/>
      <c r="O2600" s="16" t="inlineStr"/>
    </row>
    <row r="2601" ht="72" customHeight="1">
      <c r="A2601" s="16" t="inlineStr">
        <is>
          <t>TC-SC-0049</t>
        </is>
      </c>
      <c r="B2601" s="16" t="inlineStr">
        <is>
          <t>Pre-request Scripts &amp; Tests</t>
        </is>
      </c>
      <c r="C2601" s="16" t="inlineStr">
        <is>
          <t>Assertion Matrix</t>
        </is>
      </c>
      <c r="D2601" s="16" t="inlineStr">
        <is>
          <t>Functional</t>
        </is>
      </c>
      <c r="E2601" s="16" t="inlineStr">
        <is>
          <t>Assertion: Response size (bytes) not-contains</t>
        </is>
      </c>
      <c r="F2601" s="16" t="inlineStr">
        <is>
          <t>-</t>
        </is>
      </c>
      <c r="G2601" s="16" t="inlineStr">
        <is>
          <t>1. Add assertion: target='responseSize', operator='not-contains', expected=&lt;a value that should pass&gt;.
2. Send and observe Tests result.</t>
        </is>
      </c>
      <c r="H2601" s="16" t="inlineStr">
        <is>
          <t>target=Response size (bytes) op=not-contains</t>
        </is>
      </c>
      <c r="I2601" s="16" t="inlineStr">
        <is>
          <t>Pass case: assertion green; actual matches expected per operator. Failure case (separately): red row with clear actual vs expected delta. Operator 'not-contains' applies correct semantics.</t>
        </is>
      </c>
      <c r="J2601" s="16" t="inlineStr"/>
      <c r="K2601" s="16" t="inlineStr">
        <is>
          <t>Not Run</t>
        </is>
      </c>
      <c r="L2601" s="16" t="inlineStr">
        <is>
          <t>Medium</t>
        </is>
      </c>
      <c r="M2601" s="16" t="inlineStr"/>
      <c r="N2601" s="16" t="inlineStr"/>
      <c r="O2601" s="16" t="inlineStr"/>
    </row>
    <row r="2602" ht="72" customHeight="1">
      <c r="A2602" s="16" t="inlineStr">
        <is>
          <t>TC-SC-0050</t>
        </is>
      </c>
      <c r="B2602" s="16" t="inlineStr">
        <is>
          <t>Pre-request Scripts &amp; Tests</t>
        </is>
      </c>
      <c r="C2602" s="16" t="inlineStr">
        <is>
          <t>Assertion Matrix</t>
        </is>
      </c>
      <c r="D2602" s="16" t="inlineStr">
        <is>
          <t>Functional</t>
        </is>
      </c>
      <c r="E2602" s="16" t="inlineStr">
        <is>
          <t>Assertion: Response size (bytes) starts-with</t>
        </is>
      </c>
      <c r="F2602" s="16" t="inlineStr">
        <is>
          <t>-</t>
        </is>
      </c>
      <c r="G2602" s="16" t="inlineStr">
        <is>
          <t>1. Add assertion: target='responseSize', operator='starts-with', expected=&lt;a value that should pass&gt;.
2. Send and observe Tests result.</t>
        </is>
      </c>
      <c r="H2602" s="16" t="inlineStr">
        <is>
          <t>target=Response size (bytes) op=starts-with</t>
        </is>
      </c>
      <c r="I2602" s="16" t="inlineStr">
        <is>
          <t>Pass case: assertion green; actual matches expected per operator. Failure case (separately): red row with clear actual vs expected delta. Operator 'starts-with' applies correct semantics.</t>
        </is>
      </c>
      <c r="J2602" s="16" t="inlineStr"/>
      <c r="K2602" s="16" t="inlineStr">
        <is>
          <t>Not Run</t>
        </is>
      </c>
      <c r="L2602" s="16" t="inlineStr">
        <is>
          <t>Medium</t>
        </is>
      </c>
      <c r="M2602" s="16" t="inlineStr"/>
      <c r="N2602" s="16" t="inlineStr"/>
      <c r="O2602" s="16" t="inlineStr"/>
    </row>
    <row r="2603" ht="72" customHeight="1">
      <c r="A2603" s="16" t="inlineStr">
        <is>
          <t>TC-SC-0051</t>
        </is>
      </c>
      <c r="B2603" s="16" t="inlineStr">
        <is>
          <t>Pre-request Scripts &amp; Tests</t>
        </is>
      </c>
      <c r="C2603" s="16" t="inlineStr">
        <is>
          <t>Assertion Matrix</t>
        </is>
      </c>
      <c r="D2603" s="16" t="inlineStr">
        <is>
          <t>Functional</t>
        </is>
      </c>
      <c r="E2603" s="16" t="inlineStr">
        <is>
          <t>Assertion: Response size (bytes) ends-with</t>
        </is>
      </c>
      <c r="F2603" s="16" t="inlineStr">
        <is>
          <t>-</t>
        </is>
      </c>
      <c r="G2603" s="16" t="inlineStr">
        <is>
          <t>1. Add assertion: target='responseSize', operator='ends-with', expected=&lt;a value that should pass&gt;.
2. Send and observe Tests result.</t>
        </is>
      </c>
      <c r="H2603" s="16" t="inlineStr">
        <is>
          <t>target=Response size (bytes) op=ends-with</t>
        </is>
      </c>
      <c r="I2603" s="16" t="inlineStr">
        <is>
          <t>Pass case: assertion green; actual matches expected per operator. Failure case (separately): red row with clear actual vs expected delta. Operator 'ends-with' applies correct semantics.</t>
        </is>
      </c>
      <c r="J2603" s="16" t="inlineStr"/>
      <c r="K2603" s="16" t="inlineStr">
        <is>
          <t>Not Run</t>
        </is>
      </c>
      <c r="L2603" s="16" t="inlineStr">
        <is>
          <t>Medium</t>
        </is>
      </c>
      <c r="M2603" s="16" t="inlineStr"/>
      <c r="N2603" s="16" t="inlineStr"/>
      <c r="O2603" s="16" t="inlineStr"/>
    </row>
    <row r="2604" ht="72" customHeight="1">
      <c r="A2604" s="16" t="inlineStr">
        <is>
          <t>TC-SC-0052</t>
        </is>
      </c>
      <c r="B2604" s="16" t="inlineStr">
        <is>
          <t>Pre-request Scripts &amp; Tests</t>
        </is>
      </c>
      <c r="C2604" s="16" t="inlineStr">
        <is>
          <t>Assertion Matrix</t>
        </is>
      </c>
      <c r="D2604" s="16" t="inlineStr">
        <is>
          <t>Functional</t>
        </is>
      </c>
      <c r="E2604" s="16" t="inlineStr">
        <is>
          <t>Assertion: Response size (bytes) matches (regex)</t>
        </is>
      </c>
      <c r="F2604" s="16" t="inlineStr">
        <is>
          <t>-</t>
        </is>
      </c>
      <c r="G2604" s="16" t="inlineStr">
        <is>
          <t>1. Add assertion: target='responseSize', operator='matches (regex)', expected=&lt;a value that should pass&gt;.
2. Send and observe Tests result.</t>
        </is>
      </c>
      <c r="H2604" s="16" t="inlineStr">
        <is>
          <t>target=Response size (bytes) op=matches (regex)</t>
        </is>
      </c>
      <c r="I2604" s="16" t="inlineStr">
        <is>
          <t>Pass case: assertion green; actual matches expected per operator. Failure case (separately): red row with clear actual vs expected delta. Operator 'matches (regex)' applies correct semantics.</t>
        </is>
      </c>
      <c r="J2604" s="16" t="inlineStr"/>
      <c r="K2604" s="16" t="inlineStr">
        <is>
          <t>Not Run</t>
        </is>
      </c>
      <c r="L2604" s="16" t="inlineStr">
        <is>
          <t>Medium</t>
        </is>
      </c>
      <c r="M2604" s="16" t="inlineStr"/>
      <c r="N2604" s="16" t="inlineStr"/>
      <c r="O2604" s="16" t="inlineStr"/>
    </row>
    <row r="2605" ht="72" customHeight="1">
      <c r="A2605" s="16" t="inlineStr">
        <is>
          <t>TC-SC-0053</t>
        </is>
      </c>
      <c r="B2605" s="16" t="inlineStr">
        <is>
          <t>Pre-request Scripts &amp; Tests</t>
        </is>
      </c>
      <c r="C2605" s="16" t="inlineStr">
        <is>
          <t>Assertion Matrix</t>
        </is>
      </c>
      <c r="D2605" s="16" t="inlineStr">
        <is>
          <t>Functional</t>
        </is>
      </c>
      <c r="E2605" s="16" t="inlineStr">
        <is>
          <t>Assertion: Response size (bytes) lt</t>
        </is>
      </c>
      <c r="F2605" s="16" t="inlineStr">
        <is>
          <t>-</t>
        </is>
      </c>
      <c r="G2605" s="16" t="inlineStr">
        <is>
          <t>1. Add assertion: target='responseSize', operator='lt', expected=&lt;a value that should pass&gt;.
2. Send and observe Tests result.</t>
        </is>
      </c>
      <c r="H2605" s="16" t="inlineStr">
        <is>
          <t>target=Response size (bytes) op=lt</t>
        </is>
      </c>
      <c r="I2605" s="16" t="inlineStr">
        <is>
          <t>Pass case: assertion green; actual matches expected per operator. Failure case (separately): red row with clear actual vs expected delta. Operator 'lt' applies correct semantics.</t>
        </is>
      </c>
      <c r="J2605" s="16" t="inlineStr"/>
      <c r="K2605" s="16" t="inlineStr">
        <is>
          <t>Not Run</t>
        </is>
      </c>
      <c r="L2605" s="16" t="inlineStr">
        <is>
          <t>Medium</t>
        </is>
      </c>
      <c r="M2605" s="16" t="inlineStr"/>
      <c r="N2605" s="16" t="inlineStr"/>
      <c r="O2605" s="16" t="inlineStr"/>
    </row>
    <row r="2606" ht="72" customHeight="1">
      <c r="A2606" s="16" t="inlineStr">
        <is>
          <t>TC-SC-0054</t>
        </is>
      </c>
      <c r="B2606" s="16" t="inlineStr">
        <is>
          <t>Pre-request Scripts &amp; Tests</t>
        </is>
      </c>
      <c r="C2606" s="16" t="inlineStr">
        <is>
          <t>Assertion Matrix</t>
        </is>
      </c>
      <c r="D2606" s="16" t="inlineStr">
        <is>
          <t>Functional</t>
        </is>
      </c>
      <c r="E2606" s="16" t="inlineStr">
        <is>
          <t>Assertion: Response size (bytes) lte</t>
        </is>
      </c>
      <c r="F2606" s="16" t="inlineStr">
        <is>
          <t>-</t>
        </is>
      </c>
      <c r="G2606" s="16" t="inlineStr">
        <is>
          <t>1. Add assertion: target='responseSize', operator='lte', expected=&lt;a value that should pass&gt;.
2. Send and observe Tests result.</t>
        </is>
      </c>
      <c r="H2606" s="16" t="inlineStr">
        <is>
          <t>target=Response size (bytes) op=lte</t>
        </is>
      </c>
      <c r="I2606" s="16" t="inlineStr">
        <is>
          <t>Pass case: assertion green; actual matches expected per operator. Failure case (separately): red row with clear actual vs expected delta. Operator 'lte' applies correct semantics.</t>
        </is>
      </c>
      <c r="J2606" s="16" t="inlineStr"/>
      <c r="K2606" s="16" t="inlineStr">
        <is>
          <t>Not Run</t>
        </is>
      </c>
      <c r="L2606" s="16" t="inlineStr">
        <is>
          <t>Medium</t>
        </is>
      </c>
      <c r="M2606" s="16" t="inlineStr"/>
      <c r="N2606" s="16" t="inlineStr"/>
      <c r="O2606" s="16" t="inlineStr"/>
    </row>
    <row r="2607" ht="72" customHeight="1">
      <c r="A2607" s="16" t="inlineStr">
        <is>
          <t>TC-SC-0055</t>
        </is>
      </c>
      <c r="B2607" s="16" t="inlineStr">
        <is>
          <t>Pre-request Scripts &amp; Tests</t>
        </is>
      </c>
      <c r="C2607" s="16" t="inlineStr">
        <is>
          <t>Assertion Matrix</t>
        </is>
      </c>
      <c r="D2607" s="16" t="inlineStr">
        <is>
          <t>Functional</t>
        </is>
      </c>
      <c r="E2607" s="16" t="inlineStr">
        <is>
          <t>Assertion: Response size (bytes) gt</t>
        </is>
      </c>
      <c r="F2607" s="16" t="inlineStr">
        <is>
          <t>-</t>
        </is>
      </c>
      <c r="G2607" s="16" t="inlineStr">
        <is>
          <t>1. Add assertion: target='responseSize', operator='gt', expected=&lt;a value that should pass&gt;.
2. Send and observe Tests result.</t>
        </is>
      </c>
      <c r="H2607" s="16" t="inlineStr">
        <is>
          <t>target=Response size (bytes) op=gt</t>
        </is>
      </c>
      <c r="I2607" s="16" t="inlineStr">
        <is>
          <t>Pass case: assertion green; actual matches expected per operator. Failure case (separately): red row with clear actual vs expected delta. Operator 'gt' applies correct semantics.</t>
        </is>
      </c>
      <c r="J2607" s="16" t="inlineStr"/>
      <c r="K2607" s="16" t="inlineStr">
        <is>
          <t>Not Run</t>
        </is>
      </c>
      <c r="L2607" s="16" t="inlineStr">
        <is>
          <t>Medium</t>
        </is>
      </c>
      <c r="M2607" s="16" t="inlineStr"/>
      <c r="N2607" s="16" t="inlineStr"/>
      <c r="O2607" s="16" t="inlineStr"/>
    </row>
    <row r="2608" ht="72" customHeight="1">
      <c r="A2608" s="16" t="inlineStr">
        <is>
          <t>TC-SC-0056</t>
        </is>
      </c>
      <c r="B2608" s="16" t="inlineStr">
        <is>
          <t>Pre-request Scripts &amp; Tests</t>
        </is>
      </c>
      <c r="C2608" s="16" t="inlineStr">
        <is>
          <t>Assertion Matrix</t>
        </is>
      </c>
      <c r="D2608" s="16" t="inlineStr">
        <is>
          <t>Functional</t>
        </is>
      </c>
      <c r="E2608" s="16" t="inlineStr">
        <is>
          <t>Assertion: Response size (bytes) gte</t>
        </is>
      </c>
      <c r="F2608" s="16" t="inlineStr">
        <is>
          <t>-</t>
        </is>
      </c>
      <c r="G2608" s="16" t="inlineStr">
        <is>
          <t>1. Add assertion: target='responseSize', operator='gte', expected=&lt;a value that should pass&gt;.
2. Send and observe Tests result.</t>
        </is>
      </c>
      <c r="H2608" s="16" t="inlineStr">
        <is>
          <t>target=Response size (bytes) op=gte</t>
        </is>
      </c>
      <c r="I2608" s="16" t="inlineStr">
        <is>
          <t>Pass case: assertion green; actual matches expected per operator. Failure case (separately): red row with clear actual vs expected delta. Operator 'gte' applies correct semantics.</t>
        </is>
      </c>
      <c r="J2608" s="16" t="inlineStr"/>
      <c r="K2608" s="16" t="inlineStr">
        <is>
          <t>Not Run</t>
        </is>
      </c>
      <c r="L2608" s="16" t="inlineStr">
        <is>
          <t>Medium</t>
        </is>
      </c>
      <c r="M2608" s="16" t="inlineStr"/>
      <c r="N2608" s="16" t="inlineStr"/>
      <c r="O2608" s="16" t="inlineStr"/>
    </row>
    <row r="2609" ht="72" customHeight="1">
      <c r="A2609" s="16" t="inlineStr">
        <is>
          <t>TC-SC-0057</t>
        </is>
      </c>
      <c r="B2609" s="16" t="inlineStr">
        <is>
          <t>Pre-request Scripts &amp; Tests</t>
        </is>
      </c>
      <c r="C2609" s="16" t="inlineStr">
        <is>
          <t>Assertion Matrix</t>
        </is>
      </c>
      <c r="D2609" s="16" t="inlineStr">
        <is>
          <t>Functional</t>
        </is>
      </c>
      <c r="E2609" s="16" t="inlineStr">
        <is>
          <t>Assertion: Response size (bytes) exists</t>
        </is>
      </c>
      <c r="F2609" s="16" t="inlineStr">
        <is>
          <t>-</t>
        </is>
      </c>
      <c r="G2609" s="16" t="inlineStr">
        <is>
          <t>1. Add assertion: target='responseSize', operator='exists', expected=&lt;a value that should pass&gt;.
2. Send and observe Tests result.</t>
        </is>
      </c>
      <c r="H2609" s="16" t="inlineStr">
        <is>
          <t>target=Response size (bytes) op=exists</t>
        </is>
      </c>
      <c r="I2609" s="16" t="inlineStr">
        <is>
          <t>Pass case: assertion green; actual matches expected per operator. Failure case (separately): red row with clear actual vs expected delta. Operator 'exists' applies correct semantics.</t>
        </is>
      </c>
      <c r="J2609" s="16" t="inlineStr"/>
      <c r="K2609" s="16" t="inlineStr">
        <is>
          <t>Not Run</t>
        </is>
      </c>
      <c r="L2609" s="16" t="inlineStr">
        <is>
          <t>Medium</t>
        </is>
      </c>
      <c r="M2609" s="16" t="inlineStr"/>
      <c r="N2609" s="16" t="inlineStr"/>
      <c r="O2609" s="16" t="inlineStr"/>
    </row>
    <row r="2610" ht="72" customHeight="1">
      <c r="A2610" s="16" t="inlineStr">
        <is>
          <t>TC-SC-0058</t>
        </is>
      </c>
      <c r="B2610" s="16" t="inlineStr">
        <is>
          <t>Pre-request Scripts &amp; Tests</t>
        </is>
      </c>
      <c r="C2610" s="16" t="inlineStr">
        <is>
          <t>Assertion Matrix</t>
        </is>
      </c>
      <c r="D2610" s="16" t="inlineStr">
        <is>
          <t>Functional</t>
        </is>
      </c>
      <c r="E2610" s="16" t="inlineStr">
        <is>
          <t>Assertion: Response size (bytes) not-exists</t>
        </is>
      </c>
      <c r="F2610" s="16" t="inlineStr">
        <is>
          <t>-</t>
        </is>
      </c>
      <c r="G2610" s="16" t="inlineStr">
        <is>
          <t>1. Add assertion: target='responseSize', operator='not-exists', expected=&lt;a value that should pass&gt;.
2. Send and observe Tests result.</t>
        </is>
      </c>
      <c r="H2610" s="16" t="inlineStr">
        <is>
          <t>target=Response size (bytes) op=not-exists</t>
        </is>
      </c>
      <c r="I2610" s="16" t="inlineStr">
        <is>
          <t>Pass case: assertion green; actual matches expected per operator. Failure case (separately): red row with clear actual vs expected delta. Operator 'not-exists' applies correct semantics.</t>
        </is>
      </c>
      <c r="J2610" s="16" t="inlineStr"/>
      <c r="K2610" s="16" t="inlineStr">
        <is>
          <t>Not Run</t>
        </is>
      </c>
      <c r="L2610" s="16" t="inlineStr">
        <is>
          <t>Medium</t>
        </is>
      </c>
      <c r="M2610" s="16" t="inlineStr"/>
      <c r="N2610" s="16" t="inlineStr"/>
      <c r="O2610" s="16" t="inlineStr"/>
    </row>
    <row r="2611" ht="72" customHeight="1">
      <c r="A2611" s="16" t="inlineStr">
        <is>
          <t>TC-SC-0059</t>
        </is>
      </c>
      <c r="B2611" s="16" t="inlineStr">
        <is>
          <t>Pre-request Scripts &amp; Tests</t>
        </is>
      </c>
      <c r="C2611" s="16" t="inlineStr">
        <is>
          <t>Assertion Matrix</t>
        </is>
      </c>
      <c r="D2611" s="16" t="inlineStr">
        <is>
          <t>Functional</t>
        </is>
      </c>
      <c r="E2611" s="16" t="inlineStr">
        <is>
          <t>Assertion: Response size (bytes) is-type (string/number/boolean/null/array/object)</t>
        </is>
      </c>
      <c r="F2611" s="16" t="inlineStr">
        <is>
          <t>-</t>
        </is>
      </c>
      <c r="G2611" s="16" t="inlineStr">
        <is>
          <t>1. Add assertion: target='responseSize', operator='is-type (string/number/boolean/null/array/object)', expected=&lt;a value that should pass&gt;.
2. Send and observe Tests result.</t>
        </is>
      </c>
      <c r="H2611" s="16" t="inlineStr">
        <is>
          <t>target=Response size (bytes) op=is-type (string/number/boolean/null/array/object)</t>
        </is>
      </c>
      <c r="I2611" s="16" t="inlineStr">
        <is>
          <t>Pass case: assertion green; actual matches expected per operator. Failure case (separately): red row with clear actual vs expected delta. Operator 'is-type (string/number/boolean/null/array/object)' applies correct semantics.</t>
        </is>
      </c>
      <c r="J2611" s="16" t="inlineStr"/>
      <c r="K2611" s="16" t="inlineStr">
        <is>
          <t>Not Run</t>
        </is>
      </c>
      <c r="L2611" s="16" t="inlineStr">
        <is>
          <t>Medium</t>
        </is>
      </c>
      <c r="M2611" s="16" t="inlineStr"/>
      <c r="N2611" s="16" t="inlineStr"/>
      <c r="O2611" s="16" t="inlineStr"/>
    </row>
    <row r="2612" ht="72" customHeight="1">
      <c r="A2612" s="16" t="inlineStr">
        <is>
          <t>TC-SC-0060</t>
        </is>
      </c>
      <c r="B2612" s="16" t="inlineStr">
        <is>
          <t>Pre-request Scripts &amp; Tests</t>
        </is>
      </c>
      <c r="C2612" s="16" t="inlineStr">
        <is>
          <t>Assertion Matrix</t>
        </is>
      </c>
      <c r="D2612" s="16" t="inlineStr">
        <is>
          <t>Functional</t>
        </is>
      </c>
      <c r="E2612" s="16" t="inlineStr">
        <is>
          <t>Assertion: Response size (bytes) length-equals</t>
        </is>
      </c>
      <c r="F2612" s="16" t="inlineStr">
        <is>
          <t>-</t>
        </is>
      </c>
      <c r="G2612" s="16" t="inlineStr">
        <is>
          <t>1. Add assertion: target='responseSize', operator='length-equals', expected=&lt;a value that should pass&gt;.
2. Send and observe Tests result.</t>
        </is>
      </c>
      <c r="H2612" s="16" t="inlineStr">
        <is>
          <t>target=Response size (bytes) op=length-equals</t>
        </is>
      </c>
      <c r="I2612" s="16" t="inlineStr">
        <is>
          <t>Pass case: assertion green; actual matches expected per operator. Failure case (separately): red row with clear actual vs expected delta. Operator 'length-equals' applies correct semantics.</t>
        </is>
      </c>
      <c r="J2612" s="16" t="inlineStr"/>
      <c r="K2612" s="16" t="inlineStr">
        <is>
          <t>Not Run</t>
        </is>
      </c>
      <c r="L2612" s="16" t="inlineStr">
        <is>
          <t>Medium</t>
        </is>
      </c>
      <c r="M2612" s="16" t="inlineStr"/>
      <c r="N2612" s="16" t="inlineStr"/>
      <c r="O2612" s="16" t="inlineStr"/>
    </row>
    <row r="2613" ht="72" customHeight="1">
      <c r="A2613" s="16" t="inlineStr">
        <is>
          <t>TC-SC-0061</t>
        </is>
      </c>
      <c r="B2613" s="16" t="inlineStr">
        <is>
          <t>Pre-request Scripts &amp; Tests</t>
        </is>
      </c>
      <c r="C2613" s="16" t="inlineStr">
        <is>
          <t>Assertion Matrix</t>
        </is>
      </c>
      <c r="D2613" s="16" t="inlineStr">
        <is>
          <t>Functional</t>
        </is>
      </c>
      <c r="E2613" s="16" t="inlineStr">
        <is>
          <t>Assertion: Response size (bytes) length-gt</t>
        </is>
      </c>
      <c r="F2613" s="16" t="inlineStr">
        <is>
          <t>-</t>
        </is>
      </c>
      <c r="G2613" s="16" t="inlineStr">
        <is>
          <t>1. Add assertion: target='responseSize', operator='length-gt', expected=&lt;a value that should pass&gt;.
2. Send and observe Tests result.</t>
        </is>
      </c>
      <c r="H2613" s="16" t="inlineStr">
        <is>
          <t>target=Response size (bytes) op=length-gt</t>
        </is>
      </c>
      <c r="I2613" s="16" t="inlineStr">
        <is>
          <t>Pass case: assertion green; actual matches expected per operator. Failure case (separately): red row with clear actual vs expected delta. Operator 'length-gt' applies correct semantics.</t>
        </is>
      </c>
      <c r="J2613" s="16" t="inlineStr"/>
      <c r="K2613" s="16" t="inlineStr">
        <is>
          <t>Not Run</t>
        </is>
      </c>
      <c r="L2613" s="16" t="inlineStr">
        <is>
          <t>Medium</t>
        </is>
      </c>
      <c r="M2613" s="16" t="inlineStr"/>
      <c r="N2613" s="16" t="inlineStr"/>
      <c r="O2613" s="16" t="inlineStr"/>
    </row>
    <row r="2614" ht="72" customHeight="1">
      <c r="A2614" s="16" t="inlineStr">
        <is>
          <t>TC-SC-0062</t>
        </is>
      </c>
      <c r="B2614" s="16" t="inlineStr">
        <is>
          <t>Pre-request Scripts &amp; Tests</t>
        </is>
      </c>
      <c r="C2614" s="16" t="inlineStr">
        <is>
          <t>Assertion Matrix</t>
        </is>
      </c>
      <c r="D2614" s="16" t="inlineStr">
        <is>
          <t>Functional</t>
        </is>
      </c>
      <c r="E2614" s="16" t="inlineStr">
        <is>
          <t>Assertion: Response size (bytes) length-lt</t>
        </is>
      </c>
      <c r="F2614" s="16" t="inlineStr">
        <is>
          <t>-</t>
        </is>
      </c>
      <c r="G2614" s="16" t="inlineStr">
        <is>
          <t>1. Add assertion: target='responseSize', operator='length-lt', expected=&lt;a value that should pass&gt;.
2. Send and observe Tests result.</t>
        </is>
      </c>
      <c r="H2614" s="16" t="inlineStr">
        <is>
          <t>target=Response size (bytes) op=length-lt</t>
        </is>
      </c>
      <c r="I2614" s="16" t="inlineStr">
        <is>
          <t>Pass case: assertion green; actual matches expected per operator. Failure case (separately): red row with clear actual vs expected delta. Operator 'length-lt' applies correct semantics.</t>
        </is>
      </c>
      <c r="J2614" s="16" t="inlineStr"/>
      <c r="K2614" s="16" t="inlineStr">
        <is>
          <t>Not Run</t>
        </is>
      </c>
      <c r="L2614" s="16" t="inlineStr">
        <is>
          <t>Medium</t>
        </is>
      </c>
      <c r="M2614" s="16" t="inlineStr"/>
      <c r="N2614" s="16" t="inlineStr"/>
      <c r="O2614" s="16" t="inlineStr"/>
    </row>
    <row r="2615" ht="72" customHeight="1">
      <c r="A2615" s="16" t="inlineStr">
        <is>
          <t>TC-SC-0063</t>
        </is>
      </c>
      <c r="B2615" s="16" t="inlineStr">
        <is>
          <t>Pre-request Scripts &amp; Tests</t>
        </is>
      </c>
      <c r="C2615" s="16" t="inlineStr">
        <is>
          <t>Assertion Matrix</t>
        </is>
      </c>
      <c r="D2615" s="16" t="inlineStr">
        <is>
          <t>Functional</t>
        </is>
      </c>
      <c r="E2615" s="16" t="inlineStr">
        <is>
          <t>Assertion: Response header equals</t>
        </is>
      </c>
      <c r="F2615" s="16" t="inlineStr">
        <is>
          <t>-</t>
        </is>
      </c>
      <c r="G2615" s="16" t="inlineStr">
        <is>
          <t>1. Add assertion: target='header named Content-Type', operator='equals', expected=&lt;a value that should pass&gt;.
2. Send and observe Tests result.</t>
        </is>
      </c>
      <c r="H2615" s="16" t="inlineStr">
        <is>
          <t>target=Response header op=equals</t>
        </is>
      </c>
      <c r="I2615" s="16" t="inlineStr">
        <is>
          <t>Pass case: assertion green; actual matches expected per operator. Failure case (separately): red row with clear actual vs expected delta. Operator 'equals' applies correct semantics.</t>
        </is>
      </c>
      <c r="J2615" s="16" t="inlineStr"/>
      <c r="K2615" s="16" t="inlineStr">
        <is>
          <t>Not Run</t>
        </is>
      </c>
      <c r="L2615" s="16" t="inlineStr">
        <is>
          <t>Medium</t>
        </is>
      </c>
      <c r="M2615" s="16" t="inlineStr"/>
      <c r="N2615" s="16" t="inlineStr"/>
      <c r="O2615" s="16" t="inlineStr"/>
    </row>
    <row r="2616" ht="72" customHeight="1">
      <c r="A2616" s="16" t="inlineStr">
        <is>
          <t>TC-SC-0064</t>
        </is>
      </c>
      <c r="B2616" s="16" t="inlineStr">
        <is>
          <t>Pre-request Scripts &amp; Tests</t>
        </is>
      </c>
      <c r="C2616" s="16" t="inlineStr">
        <is>
          <t>Assertion Matrix</t>
        </is>
      </c>
      <c r="D2616" s="16" t="inlineStr">
        <is>
          <t>Functional</t>
        </is>
      </c>
      <c r="E2616" s="16" t="inlineStr">
        <is>
          <t>Assertion: Response header not-equals</t>
        </is>
      </c>
      <c r="F2616" s="16" t="inlineStr">
        <is>
          <t>-</t>
        </is>
      </c>
      <c r="G2616" s="16" t="inlineStr">
        <is>
          <t>1. Add assertion: target='header named Content-Type', operator='not-equals', expected=&lt;a value that should pass&gt;.
2. Send and observe Tests result.</t>
        </is>
      </c>
      <c r="H2616" s="16" t="inlineStr">
        <is>
          <t>target=Response header op=not-equals</t>
        </is>
      </c>
      <c r="I2616" s="16" t="inlineStr">
        <is>
          <t>Pass case: assertion green; actual matches expected per operator. Failure case (separately): red row with clear actual vs expected delta. Operator 'not-equals' applies correct semantics.</t>
        </is>
      </c>
      <c r="J2616" s="16" t="inlineStr"/>
      <c r="K2616" s="16" t="inlineStr">
        <is>
          <t>Not Run</t>
        </is>
      </c>
      <c r="L2616" s="16" t="inlineStr">
        <is>
          <t>Medium</t>
        </is>
      </c>
      <c r="M2616" s="16" t="inlineStr"/>
      <c r="N2616" s="16" t="inlineStr"/>
      <c r="O2616" s="16" t="inlineStr"/>
    </row>
    <row r="2617" ht="72" customHeight="1">
      <c r="A2617" s="16" t="inlineStr">
        <is>
          <t>TC-SC-0065</t>
        </is>
      </c>
      <c r="B2617" s="16" t="inlineStr">
        <is>
          <t>Pre-request Scripts &amp; Tests</t>
        </is>
      </c>
      <c r="C2617" s="16" t="inlineStr">
        <is>
          <t>Assertion Matrix</t>
        </is>
      </c>
      <c r="D2617" s="16" t="inlineStr">
        <is>
          <t>Functional</t>
        </is>
      </c>
      <c r="E2617" s="16" t="inlineStr">
        <is>
          <t>Assertion: Response header contains</t>
        </is>
      </c>
      <c r="F2617" s="16" t="inlineStr">
        <is>
          <t>-</t>
        </is>
      </c>
      <c r="G2617" s="16" t="inlineStr">
        <is>
          <t>1. Add assertion: target='header named Content-Type', operator='contains', expected=&lt;a value that should pass&gt;.
2. Send and observe Tests result.</t>
        </is>
      </c>
      <c r="H2617" s="16" t="inlineStr">
        <is>
          <t>target=Response header op=contains</t>
        </is>
      </c>
      <c r="I2617" s="16" t="inlineStr">
        <is>
          <t>Pass case: assertion green; actual matches expected per operator. Failure case (separately): red row with clear actual vs expected delta. Operator 'contains' applies correct semantics.</t>
        </is>
      </c>
      <c r="J2617" s="16" t="inlineStr"/>
      <c r="K2617" s="16" t="inlineStr">
        <is>
          <t>Not Run</t>
        </is>
      </c>
      <c r="L2617" s="16" t="inlineStr">
        <is>
          <t>Medium</t>
        </is>
      </c>
      <c r="M2617" s="16" t="inlineStr"/>
      <c r="N2617" s="16" t="inlineStr"/>
      <c r="O2617" s="16" t="inlineStr"/>
    </row>
    <row r="2618" ht="72" customHeight="1">
      <c r="A2618" s="16" t="inlineStr">
        <is>
          <t>TC-SC-0066</t>
        </is>
      </c>
      <c r="B2618" s="16" t="inlineStr">
        <is>
          <t>Pre-request Scripts &amp; Tests</t>
        </is>
      </c>
      <c r="C2618" s="16" t="inlineStr">
        <is>
          <t>Assertion Matrix</t>
        </is>
      </c>
      <c r="D2618" s="16" t="inlineStr">
        <is>
          <t>Functional</t>
        </is>
      </c>
      <c r="E2618" s="16" t="inlineStr">
        <is>
          <t>Assertion: Response header not-contains</t>
        </is>
      </c>
      <c r="F2618" s="16" t="inlineStr">
        <is>
          <t>-</t>
        </is>
      </c>
      <c r="G2618" s="16" t="inlineStr">
        <is>
          <t>1. Add assertion: target='header named Content-Type', operator='not-contains', expected=&lt;a value that should pass&gt;.
2. Send and observe Tests result.</t>
        </is>
      </c>
      <c r="H2618" s="16" t="inlineStr">
        <is>
          <t>target=Response header op=not-contains</t>
        </is>
      </c>
      <c r="I2618" s="16" t="inlineStr">
        <is>
          <t>Pass case: assertion green; actual matches expected per operator. Failure case (separately): red row with clear actual vs expected delta. Operator 'not-contains' applies correct semantics.</t>
        </is>
      </c>
      <c r="J2618" s="16" t="inlineStr"/>
      <c r="K2618" s="16" t="inlineStr">
        <is>
          <t>Not Run</t>
        </is>
      </c>
      <c r="L2618" s="16" t="inlineStr">
        <is>
          <t>Medium</t>
        </is>
      </c>
      <c r="M2618" s="16" t="inlineStr"/>
      <c r="N2618" s="16" t="inlineStr"/>
      <c r="O2618" s="16" t="inlineStr"/>
    </row>
    <row r="2619" ht="72" customHeight="1">
      <c r="A2619" s="16" t="inlineStr">
        <is>
          <t>TC-SC-0067</t>
        </is>
      </c>
      <c r="B2619" s="16" t="inlineStr">
        <is>
          <t>Pre-request Scripts &amp; Tests</t>
        </is>
      </c>
      <c r="C2619" s="16" t="inlineStr">
        <is>
          <t>Assertion Matrix</t>
        </is>
      </c>
      <c r="D2619" s="16" t="inlineStr">
        <is>
          <t>Functional</t>
        </is>
      </c>
      <c r="E2619" s="16" t="inlineStr">
        <is>
          <t>Assertion: Response header starts-with</t>
        </is>
      </c>
      <c r="F2619" s="16" t="inlineStr">
        <is>
          <t>-</t>
        </is>
      </c>
      <c r="G2619" s="16" t="inlineStr">
        <is>
          <t>1. Add assertion: target='header named Content-Type', operator='starts-with', expected=&lt;a value that should pass&gt;.
2. Send and observe Tests result.</t>
        </is>
      </c>
      <c r="H2619" s="16" t="inlineStr">
        <is>
          <t>target=Response header op=starts-with</t>
        </is>
      </c>
      <c r="I2619" s="16" t="inlineStr">
        <is>
          <t>Pass case: assertion green; actual matches expected per operator. Failure case (separately): red row with clear actual vs expected delta. Operator 'starts-with' applies correct semantics.</t>
        </is>
      </c>
      <c r="J2619" s="16" t="inlineStr"/>
      <c r="K2619" s="16" t="inlineStr">
        <is>
          <t>Not Run</t>
        </is>
      </c>
      <c r="L2619" s="16" t="inlineStr">
        <is>
          <t>Medium</t>
        </is>
      </c>
      <c r="M2619" s="16" t="inlineStr"/>
      <c r="N2619" s="16" t="inlineStr"/>
      <c r="O2619" s="16" t="inlineStr"/>
    </row>
    <row r="2620" ht="72" customHeight="1">
      <c r="A2620" s="16" t="inlineStr">
        <is>
          <t>TC-SC-0068</t>
        </is>
      </c>
      <c r="B2620" s="16" t="inlineStr">
        <is>
          <t>Pre-request Scripts &amp; Tests</t>
        </is>
      </c>
      <c r="C2620" s="16" t="inlineStr">
        <is>
          <t>Assertion Matrix</t>
        </is>
      </c>
      <c r="D2620" s="16" t="inlineStr">
        <is>
          <t>Functional</t>
        </is>
      </c>
      <c r="E2620" s="16" t="inlineStr">
        <is>
          <t>Assertion: Response header ends-with</t>
        </is>
      </c>
      <c r="F2620" s="16" t="inlineStr">
        <is>
          <t>-</t>
        </is>
      </c>
      <c r="G2620" s="16" t="inlineStr">
        <is>
          <t>1. Add assertion: target='header named Content-Type', operator='ends-with', expected=&lt;a value that should pass&gt;.
2. Send and observe Tests result.</t>
        </is>
      </c>
      <c r="H2620" s="16" t="inlineStr">
        <is>
          <t>target=Response header op=ends-with</t>
        </is>
      </c>
      <c r="I2620" s="16" t="inlineStr">
        <is>
          <t>Pass case: assertion green; actual matches expected per operator. Failure case (separately): red row with clear actual vs expected delta. Operator 'ends-with' applies correct semantics.</t>
        </is>
      </c>
      <c r="J2620" s="16" t="inlineStr"/>
      <c r="K2620" s="16" t="inlineStr">
        <is>
          <t>Not Run</t>
        </is>
      </c>
      <c r="L2620" s="16" t="inlineStr">
        <is>
          <t>Medium</t>
        </is>
      </c>
      <c r="M2620" s="16" t="inlineStr"/>
      <c r="N2620" s="16" t="inlineStr"/>
      <c r="O2620" s="16" t="inlineStr"/>
    </row>
    <row r="2621" ht="72" customHeight="1">
      <c r="A2621" s="16" t="inlineStr">
        <is>
          <t>TC-SC-0069</t>
        </is>
      </c>
      <c r="B2621" s="16" t="inlineStr">
        <is>
          <t>Pre-request Scripts &amp; Tests</t>
        </is>
      </c>
      <c r="C2621" s="16" t="inlineStr">
        <is>
          <t>Assertion Matrix</t>
        </is>
      </c>
      <c r="D2621" s="16" t="inlineStr">
        <is>
          <t>Functional</t>
        </is>
      </c>
      <c r="E2621" s="16" t="inlineStr">
        <is>
          <t>Assertion: Response header matches (regex)</t>
        </is>
      </c>
      <c r="F2621" s="16" t="inlineStr">
        <is>
          <t>-</t>
        </is>
      </c>
      <c r="G2621" s="16" t="inlineStr">
        <is>
          <t>1. Add assertion: target='header named Content-Type', operator='matches (regex)', expected=&lt;a value that should pass&gt;.
2. Send and observe Tests result.</t>
        </is>
      </c>
      <c r="H2621" s="16" t="inlineStr">
        <is>
          <t>target=Response header op=matches (regex)</t>
        </is>
      </c>
      <c r="I2621" s="16" t="inlineStr">
        <is>
          <t>Pass case: assertion green; actual matches expected per operator. Failure case (separately): red row with clear actual vs expected delta. Operator 'matches (regex)' applies correct semantics.</t>
        </is>
      </c>
      <c r="J2621" s="16" t="inlineStr"/>
      <c r="K2621" s="16" t="inlineStr">
        <is>
          <t>Not Run</t>
        </is>
      </c>
      <c r="L2621" s="16" t="inlineStr">
        <is>
          <t>Medium</t>
        </is>
      </c>
      <c r="M2621" s="16" t="inlineStr"/>
      <c r="N2621" s="16" t="inlineStr"/>
      <c r="O2621" s="16" t="inlineStr"/>
    </row>
    <row r="2622" ht="72" customHeight="1">
      <c r="A2622" s="16" t="inlineStr">
        <is>
          <t>TC-SC-0070</t>
        </is>
      </c>
      <c r="B2622" s="16" t="inlineStr">
        <is>
          <t>Pre-request Scripts &amp; Tests</t>
        </is>
      </c>
      <c r="C2622" s="16" t="inlineStr">
        <is>
          <t>Assertion Matrix</t>
        </is>
      </c>
      <c r="D2622" s="16" t="inlineStr">
        <is>
          <t>Functional</t>
        </is>
      </c>
      <c r="E2622" s="16" t="inlineStr">
        <is>
          <t>Assertion: Response header lt</t>
        </is>
      </c>
      <c r="F2622" s="16" t="inlineStr">
        <is>
          <t>-</t>
        </is>
      </c>
      <c r="G2622" s="16" t="inlineStr">
        <is>
          <t>1. Add assertion: target='header named Content-Type', operator='lt', expected=&lt;a value that should pass&gt;.
2. Send and observe Tests result.</t>
        </is>
      </c>
      <c r="H2622" s="16" t="inlineStr">
        <is>
          <t>target=Response header op=lt</t>
        </is>
      </c>
      <c r="I2622" s="16" t="inlineStr">
        <is>
          <t>Pass case: assertion green; actual matches expected per operator. Failure case (separately): red row with clear actual vs expected delta. Operator 'lt' applies correct semantics.</t>
        </is>
      </c>
      <c r="J2622" s="16" t="inlineStr"/>
      <c r="K2622" s="16" t="inlineStr">
        <is>
          <t>Not Run</t>
        </is>
      </c>
      <c r="L2622" s="16" t="inlineStr">
        <is>
          <t>Medium</t>
        </is>
      </c>
      <c r="M2622" s="16" t="inlineStr"/>
      <c r="N2622" s="16" t="inlineStr"/>
      <c r="O2622" s="16" t="inlineStr"/>
    </row>
    <row r="2623" ht="72" customHeight="1">
      <c r="A2623" s="16" t="inlineStr">
        <is>
          <t>TC-SC-0071</t>
        </is>
      </c>
      <c r="B2623" s="16" t="inlineStr">
        <is>
          <t>Pre-request Scripts &amp; Tests</t>
        </is>
      </c>
      <c r="C2623" s="16" t="inlineStr">
        <is>
          <t>Assertion Matrix</t>
        </is>
      </c>
      <c r="D2623" s="16" t="inlineStr">
        <is>
          <t>Functional</t>
        </is>
      </c>
      <c r="E2623" s="16" t="inlineStr">
        <is>
          <t>Assertion: Response header lte</t>
        </is>
      </c>
      <c r="F2623" s="16" t="inlineStr">
        <is>
          <t>-</t>
        </is>
      </c>
      <c r="G2623" s="16" t="inlineStr">
        <is>
          <t>1. Add assertion: target='header named Content-Type', operator='lte', expected=&lt;a value that should pass&gt;.
2. Send and observe Tests result.</t>
        </is>
      </c>
      <c r="H2623" s="16" t="inlineStr">
        <is>
          <t>target=Response header op=lte</t>
        </is>
      </c>
      <c r="I2623" s="16" t="inlineStr">
        <is>
          <t>Pass case: assertion green; actual matches expected per operator. Failure case (separately): red row with clear actual vs expected delta. Operator 'lte' applies correct semantics.</t>
        </is>
      </c>
      <c r="J2623" s="16" t="inlineStr"/>
      <c r="K2623" s="16" t="inlineStr">
        <is>
          <t>Not Run</t>
        </is>
      </c>
      <c r="L2623" s="16" t="inlineStr">
        <is>
          <t>Medium</t>
        </is>
      </c>
      <c r="M2623" s="16" t="inlineStr"/>
      <c r="N2623" s="16" t="inlineStr"/>
      <c r="O2623" s="16" t="inlineStr"/>
    </row>
    <row r="2624" ht="72" customHeight="1">
      <c r="A2624" s="16" t="inlineStr">
        <is>
          <t>TC-SC-0072</t>
        </is>
      </c>
      <c r="B2624" s="16" t="inlineStr">
        <is>
          <t>Pre-request Scripts &amp; Tests</t>
        </is>
      </c>
      <c r="C2624" s="16" t="inlineStr">
        <is>
          <t>Assertion Matrix</t>
        </is>
      </c>
      <c r="D2624" s="16" t="inlineStr">
        <is>
          <t>Functional</t>
        </is>
      </c>
      <c r="E2624" s="16" t="inlineStr">
        <is>
          <t>Assertion: Response header gt</t>
        </is>
      </c>
      <c r="F2624" s="16" t="inlineStr">
        <is>
          <t>-</t>
        </is>
      </c>
      <c r="G2624" s="16" t="inlineStr">
        <is>
          <t>1. Add assertion: target='header named Content-Type', operator='gt', expected=&lt;a value that should pass&gt;.
2. Send and observe Tests result.</t>
        </is>
      </c>
      <c r="H2624" s="16" t="inlineStr">
        <is>
          <t>target=Response header op=gt</t>
        </is>
      </c>
      <c r="I2624" s="16" t="inlineStr">
        <is>
          <t>Pass case: assertion green; actual matches expected per operator. Failure case (separately): red row with clear actual vs expected delta. Operator 'gt' applies correct semantics.</t>
        </is>
      </c>
      <c r="J2624" s="16" t="inlineStr"/>
      <c r="K2624" s="16" t="inlineStr">
        <is>
          <t>Not Run</t>
        </is>
      </c>
      <c r="L2624" s="16" t="inlineStr">
        <is>
          <t>Medium</t>
        </is>
      </c>
      <c r="M2624" s="16" t="inlineStr"/>
      <c r="N2624" s="16" t="inlineStr"/>
      <c r="O2624" s="16" t="inlineStr"/>
    </row>
    <row r="2625" ht="72" customHeight="1">
      <c r="A2625" s="16" t="inlineStr">
        <is>
          <t>TC-SC-0073</t>
        </is>
      </c>
      <c r="B2625" s="16" t="inlineStr">
        <is>
          <t>Pre-request Scripts &amp; Tests</t>
        </is>
      </c>
      <c r="C2625" s="16" t="inlineStr">
        <is>
          <t>Assertion Matrix</t>
        </is>
      </c>
      <c r="D2625" s="16" t="inlineStr">
        <is>
          <t>Functional</t>
        </is>
      </c>
      <c r="E2625" s="16" t="inlineStr">
        <is>
          <t>Assertion: Response header gte</t>
        </is>
      </c>
      <c r="F2625" s="16" t="inlineStr">
        <is>
          <t>-</t>
        </is>
      </c>
      <c r="G2625" s="16" t="inlineStr">
        <is>
          <t>1. Add assertion: target='header named Content-Type', operator='gte', expected=&lt;a value that should pass&gt;.
2. Send and observe Tests result.</t>
        </is>
      </c>
      <c r="H2625" s="16" t="inlineStr">
        <is>
          <t>target=Response header op=gte</t>
        </is>
      </c>
      <c r="I2625" s="16" t="inlineStr">
        <is>
          <t>Pass case: assertion green; actual matches expected per operator. Failure case (separately): red row with clear actual vs expected delta. Operator 'gte' applies correct semantics.</t>
        </is>
      </c>
      <c r="J2625" s="16" t="inlineStr"/>
      <c r="K2625" s="16" t="inlineStr">
        <is>
          <t>Not Run</t>
        </is>
      </c>
      <c r="L2625" s="16" t="inlineStr">
        <is>
          <t>Medium</t>
        </is>
      </c>
      <c r="M2625" s="16" t="inlineStr"/>
      <c r="N2625" s="16" t="inlineStr"/>
      <c r="O2625" s="16" t="inlineStr"/>
    </row>
    <row r="2626" ht="72" customHeight="1">
      <c r="A2626" s="16" t="inlineStr">
        <is>
          <t>TC-SC-0074</t>
        </is>
      </c>
      <c r="B2626" s="16" t="inlineStr">
        <is>
          <t>Pre-request Scripts &amp; Tests</t>
        </is>
      </c>
      <c r="C2626" s="16" t="inlineStr">
        <is>
          <t>Assertion Matrix</t>
        </is>
      </c>
      <c r="D2626" s="16" t="inlineStr">
        <is>
          <t>Functional</t>
        </is>
      </c>
      <c r="E2626" s="16" t="inlineStr">
        <is>
          <t>Assertion: Response header exists</t>
        </is>
      </c>
      <c r="F2626" s="16" t="inlineStr">
        <is>
          <t>-</t>
        </is>
      </c>
      <c r="G2626" s="16" t="inlineStr">
        <is>
          <t>1. Add assertion: target='header named Content-Type', operator='exists', expected=&lt;a value that should pass&gt;.
2. Send and observe Tests result.</t>
        </is>
      </c>
      <c r="H2626" s="16" t="inlineStr">
        <is>
          <t>target=Response header op=exists</t>
        </is>
      </c>
      <c r="I2626" s="16" t="inlineStr">
        <is>
          <t>Pass case: assertion green; actual matches expected per operator. Failure case (separately): red row with clear actual vs expected delta. Operator 'exists' applies correct semantics.</t>
        </is>
      </c>
      <c r="J2626" s="16" t="inlineStr"/>
      <c r="K2626" s="16" t="inlineStr">
        <is>
          <t>Not Run</t>
        </is>
      </c>
      <c r="L2626" s="16" t="inlineStr">
        <is>
          <t>Medium</t>
        </is>
      </c>
      <c r="M2626" s="16" t="inlineStr"/>
      <c r="N2626" s="16" t="inlineStr"/>
      <c r="O2626" s="16" t="inlineStr"/>
    </row>
    <row r="2627" ht="72" customHeight="1">
      <c r="A2627" s="16" t="inlineStr">
        <is>
          <t>TC-SC-0075</t>
        </is>
      </c>
      <c r="B2627" s="16" t="inlineStr">
        <is>
          <t>Pre-request Scripts &amp; Tests</t>
        </is>
      </c>
      <c r="C2627" s="16" t="inlineStr">
        <is>
          <t>Assertion Matrix</t>
        </is>
      </c>
      <c r="D2627" s="16" t="inlineStr">
        <is>
          <t>Functional</t>
        </is>
      </c>
      <c r="E2627" s="16" t="inlineStr">
        <is>
          <t>Assertion: Response header not-exists</t>
        </is>
      </c>
      <c r="F2627" s="16" t="inlineStr">
        <is>
          <t>-</t>
        </is>
      </c>
      <c r="G2627" s="16" t="inlineStr">
        <is>
          <t>1. Add assertion: target='header named Content-Type', operator='not-exists', expected=&lt;a value that should pass&gt;.
2. Send and observe Tests result.</t>
        </is>
      </c>
      <c r="H2627" s="16" t="inlineStr">
        <is>
          <t>target=Response header op=not-exists</t>
        </is>
      </c>
      <c r="I2627" s="16" t="inlineStr">
        <is>
          <t>Pass case: assertion green; actual matches expected per operator. Failure case (separately): red row with clear actual vs expected delta. Operator 'not-exists' applies correct semantics.</t>
        </is>
      </c>
      <c r="J2627" s="16" t="inlineStr"/>
      <c r="K2627" s="16" t="inlineStr">
        <is>
          <t>Not Run</t>
        </is>
      </c>
      <c r="L2627" s="16" t="inlineStr">
        <is>
          <t>Medium</t>
        </is>
      </c>
      <c r="M2627" s="16" t="inlineStr"/>
      <c r="N2627" s="16" t="inlineStr"/>
      <c r="O2627" s="16" t="inlineStr"/>
    </row>
    <row r="2628" ht="72" customHeight="1">
      <c r="A2628" s="16" t="inlineStr">
        <is>
          <t>TC-SC-0076</t>
        </is>
      </c>
      <c r="B2628" s="16" t="inlineStr">
        <is>
          <t>Pre-request Scripts &amp; Tests</t>
        </is>
      </c>
      <c r="C2628" s="16" t="inlineStr">
        <is>
          <t>Assertion Matrix</t>
        </is>
      </c>
      <c r="D2628" s="16" t="inlineStr">
        <is>
          <t>Functional</t>
        </is>
      </c>
      <c r="E2628" s="16" t="inlineStr">
        <is>
          <t>Assertion: Response header is-type (string/number/boolean/null/array/object)</t>
        </is>
      </c>
      <c r="F2628" s="16" t="inlineStr">
        <is>
          <t>-</t>
        </is>
      </c>
      <c r="G2628" s="16" t="inlineStr">
        <is>
          <t>1. Add assertion: target='header named Content-Type', operator='is-type (string/number/boolean/null/array/object)', expected=&lt;a value that should pass&gt;.
2. Send and observe Tests result.</t>
        </is>
      </c>
      <c r="H2628" s="16" t="inlineStr">
        <is>
          <t>target=Response header op=is-type (string/number/boolean/null/array/object)</t>
        </is>
      </c>
      <c r="I2628" s="16" t="inlineStr">
        <is>
          <t>Pass case: assertion green; actual matches expected per operator. Failure case (separately): red row with clear actual vs expected delta. Operator 'is-type (string/number/boolean/null/array/object)' applies correct semantics.</t>
        </is>
      </c>
      <c r="J2628" s="16" t="inlineStr"/>
      <c r="K2628" s="16" t="inlineStr">
        <is>
          <t>Not Run</t>
        </is>
      </c>
      <c r="L2628" s="16" t="inlineStr">
        <is>
          <t>Medium</t>
        </is>
      </c>
      <c r="M2628" s="16" t="inlineStr"/>
      <c r="N2628" s="16" t="inlineStr"/>
      <c r="O2628" s="16" t="inlineStr"/>
    </row>
    <row r="2629" ht="72" customHeight="1">
      <c r="A2629" s="16" t="inlineStr">
        <is>
          <t>TC-SC-0077</t>
        </is>
      </c>
      <c r="B2629" s="16" t="inlineStr">
        <is>
          <t>Pre-request Scripts &amp; Tests</t>
        </is>
      </c>
      <c r="C2629" s="16" t="inlineStr">
        <is>
          <t>Assertion Matrix</t>
        </is>
      </c>
      <c r="D2629" s="16" t="inlineStr">
        <is>
          <t>Functional</t>
        </is>
      </c>
      <c r="E2629" s="16" t="inlineStr">
        <is>
          <t>Assertion: Response header length-equals</t>
        </is>
      </c>
      <c r="F2629" s="16" t="inlineStr">
        <is>
          <t>-</t>
        </is>
      </c>
      <c r="G2629" s="16" t="inlineStr">
        <is>
          <t>1. Add assertion: target='header named Content-Type', operator='length-equals', expected=&lt;a value that should pass&gt;.
2. Send and observe Tests result.</t>
        </is>
      </c>
      <c r="H2629" s="16" t="inlineStr">
        <is>
          <t>target=Response header op=length-equals</t>
        </is>
      </c>
      <c r="I2629" s="16" t="inlineStr">
        <is>
          <t>Pass case: assertion green; actual matches expected per operator. Failure case (separately): red row with clear actual vs expected delta. Operator 'length-equals' applies correct semantics.</t>
        </is>
      </c>
      <c r="J2629" s="16" t="inlineStr"/>
      <c r="K2629" s="16" t="inlineStr">
        <is>
          <t>Not Run</t>
        </is>
      </c>
      <c r="L2629" s="16" t="inlineStr">
        <is>
          <t>Medium</t>
        </is>
      </c>
      <c r="M2629" s="16" t="inlineStr"/>
      <c r="N2629" s="16" t="inlineStr"/>
      <c r="O2629" s="16" t="inlineStr"/>
    </row>
    <row r="2630" ht="72" customHeight="1">
      <c r="A2630" s="16" t="inlineStr">
        <is>
          <t>TC-SC-0078</t>
        </is>
      </c>
      <c r="B2630" s="16" t="inlineStr">
        <is>
          <t>Pre-request Scripts &amp; Tests</t>
        </is>
      </c>
      <c r="C2630" s="16" t="inlineStr">
        <is>
          <t>Assertion Matrix</t>
        </is>
      </c>
      <c r="D2630" s="16" t="inlineStr">
        <is>
          <t>Functional</t>
        </is>
      </c>
      <c r="E2630" s="16" t="inlineStr">
        <is>
          <t>Assertion: Response header length-gt</t>
        </is>
      </c>
      <c r="F2630" s="16" t="inlineStr">
        <is>
          <t>-</t>
        </is>
      </c>
      <c r="G2630" s="16" t="inlineStr">
        <is>
          <t>1. Add assertion: target='header named Content-Type', operator='length-gt', expected=&lt;a value that should pass&gt;.
2. Send and observe Tests result.</t>
        </is>
      </c>
      <c r="H2630" s="16" t="inlineStr">
        <is>
          <t>target=Response header op=length-gt</t>
        </is>
      </c>
      <c r="I2630" s="16" t="inlineStr">
        <is>
          <t>Pass case: assertion green; actual matches expected per operator. Failure case (separately): red row with clear actual vs expected delta. Operator 'length-gt' applies correct semantics.</t>
        </is>
      </c>
      <c r="J2630" s="16" t="inlineStr"/>
      <c r="K2630" s="16" t="inlineStr">
        <is>
          <t>Not Run</t>
        </is>
      </c>
      <c r="L2630" s="16" t="inlineStr">
        <is>
          <t>Medium</t>
        </is>
      </c>
      <c r="M2630" s="16" t="inlineStr"/>
      <c r="N2630" s="16" t="inlineStr"/>
      <c r="O2630" s="16" t="inlineStr"/>
    </row>
    <row r="2631" ht="72" customHeight="1">
      <c r="A2631" s="16" t="inlineStr">
        <is>
          <t>TC-SC-0079</t>
        </is>
      </c>
      <c r="B2631" s="16" t="inlineStr">
        <is>
          <t>Pre-request Scripts &amp; Tests</t>
        </is>
      </c>
      <c r="C2631" s="16" t="inlineStr">
        <is>
          <t>Assertion Matrix</t>
        </is>
      </c>
      <c r="D2631" s="16" t="inlineStr">
        <is>
          <t>Functional</t>
        </is>
      </c>
      <c r="E2631" s="16" t="inlineStr">
        <is>
          <t>Assertion: Response header length-lt</t>
        </is>
      </c>
      <c r="F2631" s="16" t="inlineStr">
        <is>
          <t>-</t>
        </is>
      </c>
      <c r="G2631" s="16" t="inlineStr">
        <is>
          <t>1. Add assertion: target='header named Content-Type', operator='length-lt', expected=&lt;a value that should pass&gt;.
2. Send and observe Tests result.</t>
        </is>
      </c>
      <c r="H2631" s="16" t="inlineStr">
        <is>
          <t>target=Response header op=length-lt</t>
        </is>
      </c>
      <c r="I2631" s="16" t="inlineStr">
        <is>
          <t>Pass case: assertion green; actual matches expected per operator. Failure case (separately): red row with clear actual vs expected delta. Operator 'length-lt' applies correct semantics.</t>
        </is>
      </c>
      <c r="J2631" s="16" t="inlineStr"/>
      <c r="K2631" s="16" t="inlineStr">
        <is>
          <t>Not Run</t>
        </is>
      </c>
      <c r="L2631" s="16" t="inlineStr">
        <is>
          <t>Medium</t>
        </is>
      </c>
      <c r="M2631" s="16" t="inlineStr"/>
      <c r="N2631" s="16" t="inlineStr"/>
      <c r="O2631" s="16" t="inlineStr"/>
    </row>
    <row r="2632" ht="72" customHeight="1">
      <c r="A2632" s="16" t="inlineStr">
        <is>
          <t>TC-SC-0080</t>
        </is>
      </c>
      <c r="B2632" s="16" t="inlineStr">
        <is>
          <t>Pre-request Scripts &amp; Tests</t>
        </is>
      </c>
      <c r="C2632" s="16" t="inlineStr">
        <is>
          <t>Assertion Matrix</t>
        </is>
      </c>
      <c r="D2632" s="16" t="inlineStr">
        <is>
          <t>Functional</t>
        </is>
      </c>
      <c r="E2632" s="16" t="inlineStr">
        <is>
          <t>Assertion: Response body (JSON path) equals</t>
        </is>
      </c>
      <c r="F2632" s="16" t="inlineStr">
        <is>
          <t>-</t>
        </is>
      </c>
      <c r="G2632" s="16" t="inlineStr">
        <is>
          <t>1. Add assertion: target='body.user.id', operator='equals', expected=&lt;a value that should pass&gt;.
2. Send and observe Tests result.</t>
        </is>
      </c>
      <c r="H2632" s="16" t="inlineStr">
        <is>
          <t>target=Response body (JSON path) op=equals</t>
        </is>
      </c>
      <c r="I2632" s="16" t="inlineStr">
        <is>
          <t>Pass case: assertion green; actual matches expected per operator. Failure case (separately): red row with clear actual vs expected delta. Operator 'equals' applies correct semantics.</t>
        </is>
      </c>
      <c r="J2632" s="16" t="inlineStr"/>
      <c r="K2632" s="16" t="inlineStr">
        <is>
          <t>Not Run</t>
        </is>
      </c>
      <c r="L2632" s="16" t="inlineStr">
        <is>
          <t>High</t>
        </is>
      </c>
      <c r="M2632" s="16" t="inlineStr"/>
      <c r="N2632" s="16" t="inlineStr"/>
      <c r="O2632" s="16" t="inlineStr"/>
    </row>
    <row r="2633" ht="72" customHeight="1">
      <c r="A2633" s="16" t="inlineStr">
        <is>
          <t>TC-SC-0081</t>
        </is>
      </c>
      <c r="B2633" s="16" t="inlineStr">
        <is>
          <t>Pre-request Scripts &amp; Tests</t>
        </is>
      </c>
      <c r="C2633" s="16" t="inlineStr">
        <is>
          <t>Assertion Matrix</t>
        </is>
      </c>
      <c r="D2633" s="16" t="inlineStr">
        <is>
          <t>Functional</t>
        </is>
      </c>
      <c r="E2633" s="16" t="inlineStr">
        <is>
          <t>Assertion: Response body (JSON path) not-equals</t>
        </is>
      </c>
      <c r="F2633" s="16" t="inlineStr">
        <is>
          <t>-</t>
        </is>
      </c>
      <c r="G2633" s="16" t="inlineStr">
        <is>
          <t>1. Add assertion: target='body.user.id', operator='not-equals', expected=&lt;a value that should pass&gt;.
2. Send and observe Tests result.</t>
        </is>
      </c>
      <c r="H2633" s="16" t="inlineStr">
        <is>
          <t>target=Response body (JSON path) op=not-equals</t>
        </is>
      </c>
      <c r="I2633" s="16" t="inlineStr">
        <is>
          <t>Pass case: assertion green; actual matches expected per operator. Failure case (separately): red row with clear actual vs expected delta. Operator 'not-equals' applies correct semantics.</t>
        </is>
      </c>
      <c r="J2633" s="16" t="inlineStr"/>
      <c r="K2633" s="16" t="inlineStr">
        <is>
          <t>Not Run</t>
        </is>
      </c>
      <c r="L2633" s="16" t="inlineStr">
        <is>
          <t>Medium</t>
        </is>
      </c>
      <c r="M2633" s="16" t="inlineStr"/>
      <c r="N2633" s="16" t="inlineStr"/>
      <c r="O2633" s="16" t="inlineStr"/>
    </row>
    <row r="2634" ht="72" customHeight="1">
      <c r="A2634" s="16" t="inlineStr">
        <is>
          <t>TC-SC-0082</t>
        </is>
      </c>
      <c r="B2634" s="16" t="inlineStr">
        <is>
          <t>Pre-request Scripts &amp; Tests</t>
        </is>
      </c>
      <c r="C2634" s="16" t="inlineStr">
        <is>
          <t>Assertion Matrix</t>
        </is>
      </c>
      <c r="D2634" s="16" t="inlineStr">
        <is>
          <t>Functional</t>
        </is>
      </c>
      <c r="E2634" s="16" t="inlineStr">
        <is>
          <t>Assertion: Response body (JSON path) contains</t>
        </is>
      </c>
      <c r="F2634" s="16" t="inlineStr">
        <is>
          <t>-</t>
        </is>
      </c>
      <c r="G2634" s="16" t="inlineStr">
        <is>
          <t>1. Add assertion: target='body.user.id', operator='contains', expected=&lt;a value that should pass&gt;.
2. Send and observe Tests result.</t>
        </is>
      </c>
      <c r="H2634" s="16" t="inlineStr">
        <is>
          <t>target=Response body (JSON path) op=contains</t>
        </is>
      </c>
      <c r="I2634" s="16" t="inlineStr">
        <is>
          <t>Pass case: assertion green; actual matches expected per operator. Failure case (separately): red row with clear actual vs expected delta. Operator 'contains' applies correct semantics.</t>
        </is>
      </c>
      <c r="J2634" s="16" t="inlineStr"/>
      <c r="K2634" s="16" t="inlineStr">
        <is>
          <t>Not Run</t>
        </is>
      </c>
      <c r="L2634" s="16" t="inlineStr">
        <is>
          <t>High</t>
        </is>
      </c>
      <c r="M2634" s="16" t="inlineStr"/>
      <c r="N2634" s="16" t="inlineStr"/>
      <c r="O2634" s="16" t="inlineStr"/>
    </row>
    <row r="2635" ht="72" customHeight="1">
      <c r="A2635" s="16" t="inlineStr">
        <is>
          <t>TC-SC-0083</t>
        </is>
      </c>
      <c r="B2635" s="16" t="inlineStr">
        <is>
          <t>Pre-request Scripts &amp; Tests</t>
        </is>
      </c>
      <c r="C2635" s="16" t="inlineStr">
        <is>
          <t>Assertion Matrix</t>
        </is>
      </c>
      <c r="D2635" s="16" t="inlineStr">
        <is>
          <t>Functional</t>
        </is>
      </c>
      <c r="E2635" s="16" t="inlineStr">
        <is>
          <t>Assertion: Response body (JSON path) not-contains</t>
        </is>
      </c>
      <c r="F2635" s="16" t="inlineStr">
        <is>
          <t>-</t>
        </is>
      </c>
      <c r="G2635" s="16" t="inlineStr">
        <is>
          <t>1. Add assertion: target='body.user.id', operator='not-contains', expected=&lt;a value that should pass&gt;.
2. Send and observe Tests result.</t>
        </is>
      </c>
      <c r="H2635" s="16" t="inlineStr">
        <is>
          <t>target=Response body (JSON path) op=not-contains</t>
        </is>
      </c>
      <c r="I2635" s="16" t="inlineStr">
        <is>
          <t>Pass case: assertion green; actual matches expected per operator. Failure case (separately): red row with clear actual vs expected delta. Operator 'not-contains' applies correct semantics.</t>
        </is>
      </c>
      <c r="J2635" s="16" t="inlineStr"/>
      <c r="K2635" s="16" t="inlineStr">
        <is>
          <t>Not Run</t>
        </is>
      </c>
      <c r="L2635" s="16" t="inlineStr">
        <is>
          <t>Medium</t>
        </is>
      </c>
      <c r="M2635" s="16" t="inlineStr"/>
      <c r="N2635" s="16" t="inlineStr"/>
      <c r="O2635" s="16" t="inlineStr"/>
    </row>
    <row r="2636" ht="72" customHeight="1">
      <c r="A2636" s="16" t="inlineStr">
        <is>
          <t>TC-SC-0084</t>
        </is>
      </c>
      <c r="B2636" s="16" t="inlineStr">
        <is>
          <t>Pre-request Scripts &amp; Tests</t>
        </is>
      </c>
      <c r="C2636" s="16" t="inlineStr">
        <is>
          <t>Assertion Matrix</t>
        </is>
      </c>
      <c r="D2636" s="16" t="inlineStr">
        <is>
          <t>Functional</t>
        </is>
      </c>
      <c r="E2636" s="16" t="inlineStr">
        <is>
          <t>Assertion: Response body (JSON path) starts-with</t>
        </is>
      </c>
      <c r="F2636" s="16" t="inlineStr">
        <is>
          <t>-</t>
        </is>
      </c>
      <c r="G2636" s="16" t="inlineStr">
        <is>
          <t>1. Add assertion: target='body.user.id', operator='starts-with', expected=&lt;a value that should pass&gt;.
2. Send and observe Tests result.</t>
        </is>
      </c>
      <c r="H2636" s="16" t="inlineStr">
        <is>
          <t>target=Response body (JSON path) op=starts-with</t>
        </is>
      </c>
      <c r="I2636" s="16" t="inlineStr">
        <is>
          <t>Pass case: assertion green; actual matches expected per operator. Failure case (separately): red row with clear actual vs expected delta. Operator 'starts-with' applies correct semantics.</t>
        </is>
      </c>
      <c r="J2636" s="16" t="inlineStr"/>
      <c r="K2636" s="16" t="inlineStr">
        <is>
          <t>Not Run</t>
        </is>
      </c>
      <c r="L2636" s="16" t="inlineStr">
        <is>
          <t>Medium</t>
        </is>
      </c>
      <c r="M2636" s="16" t="inlineStr"/>
      <c r="N2636" s="16" t="inlineStr"/>
      <c r="O2636" s="16" t="inlineStr"/>
    </row>
    <row r="2637" ht="72" customHeight="1">
      <c r="A2637" s="16" t="inlineStr">
        <is>
          <t>TC-SC-0085</t>
        </is>
      </c>
      <c r="B2637" s="16" t="inlineStr">
        <is>
          <t>Pre-request Scripts &amp; Tests</t>
        </is>
      </c>
      <c r="C2637" s="16" t="inlineStr">
        <is>
          <t>Assertion Matrix</t>
        </is>
      </c>
      <c r="D2637" s="16" t="inlineStr">
        <is>
          <t>Functional</t>
        </is>
      </c>
      <c r="E2637" s="16" t="inlineStr">
        <is>
          <t>Assertion: Response body (JSON path) ends-with</t>
        </is>
      </c>
      <c r="F2637" s="16" t="inlineStr">
        <is>
          <t>-</t>
        </is>
      </c>
      <c r="G2637" s="16" t="inlineStr">
        <is>
          <t>1. Add assertion: target='body.user.id', operator='ends-with', expected=&lt;a value that should pass&gt;.
2. Send and observe Tests result.</t>
        </is>
      </c>
      <c r="H2637" s="16" t="inlineStr">
        <is>
          <t>target=Response body (JSON path) op=ends-with</t>
        </is>
      </c>
      <c r="I2637" s="16" t="inlineStr">
        <is>
          <t>Pass case: assertion green; actual matches expected per operator. Failure case (separately): red row with clear actual vs expected delta. Operator 'ends-with' applies correct semantics.</t>
        </is>
      </c>
      <c r="J2637" s="16" t="inlineStr"/>
      <c r="K2637" s="16" t="inlineStr">
        <is>
          <t>Not Run</t>
        </is>
      </c>
      <c r="L2637" s="16" t="inlineStr">
        <is>
          <t>Medium</t>
        </is>
      </c>
      <c r="M2637" s="16" t="inlineStr"/>
      <c r="N2637" s="16" t="inlineStr"/>
      <c r="O2637" s="16" t="inlineStr"/>
    </row>
    <row r="2638" ht="72" customHeight="1">
      <c r="A2638" s="16" t="inlineStr">
        <is>
          <t>TC-SC-0086</t>
        </is>
      </c>
      <c r="B2638" s="16" t="inlineStr">
        <is>
          <t>Pre-request Scripts &amp; Tests</t>
        </is>
      </c>
      <c r="C2638" s="16" t="inlineStr">
        <is>
          <t>Assertion Matrix</t>
        </is>
      </c>
      <c r="D2638" s="16" t="inlineStr">
        <is>
          <t>Functional</t>
        </is>
      </c>
      <c r="E2638" s="16" t="inlineStr">
        <is>
          <t>Assertion: Response body (JSON path) matches (regex)</t>
        </is>
      </c>
      <c r="F2638" s="16" t="inlineStr">
        <is>
          <t>-</t>
        </is>
      </c>
      <c r="G2638" s="16" t="inlineStr">
        <is>
          <t>1. Add assertion: target='body.user.id', operator='matches (regex)', expected=&lt;a value that should pass&gt;.
2. Send and observe Tests result.</t>
        </is>
      </c>
      <c r="H2638" s="16" t="inlineStr">
        <is>
          <t>target=Response body (JSON path) op=matches (regex)</t>
        </is>
      </c>
      <c r="I2638" s="16" t="inlineStr">
        <is>
          <t>Pass case: assertion green; actual matches expected per operator. Failure case (separately): red row with clear actual vs expected delta. Operator 'matches (regex)' applies correct semantics.</t>
        </is>
      </c>
      <c r="J2638" s="16" t="inlineStr"/>
      <c r="K2638" s="16" t="inlineStr">
        <is>
          <t>Not Run</t>
        </is>
      </c>
      <c r="L2638" s="16" t="inlineStr">
        <is>
          <t>High</t>
        </is>
      </c>
      <c r="M2638" s="16" t="inlineStr"/>
      <c r="N2638" s="16" t="inlineStr"/>
      <c r="O2638" s="16" t="inlineStr"/>
    </row>
    <row r="2639" ht="72" customHeight="1">
      <c r="A2639" s="16" t="inlineStr">
        <is>
          <t>TC-SC-0087</t>
        </is>
      </c>
      <c r="B2639" s="16" t="inlineStr">
        <is>
          <t>Pre-request Scripts &amp; Tests</t>
        </is>
      </c>
      <c r="C2639" s="16" t="inlineStr">
        <is>
          <t>Assertion Matrix</t>
        </is>
      </c>
      <c r="D2639" s="16" t="inlineStr">
        <is>
          <t>Functional</t>
        </is>
      </c>
      <c r="E2639" s="16" t="inlineStr">
        <is>
          <t>Assertion: Response body (JSON path) lt</t>
        </is>
      </c>
      <c r="F2639" s="16" t="inlineStr">
        <is>
          <t>-</t>
        </is>
      </c>
      <c r="G2639" s="16" t="inlineStr">
        <is>
          <t>1. Add assertion: target='body.user.id', operator='lt', expected=&lt;a value that should pass&gt;.
2. Send and observe Tests result.</t>
        </is>
      </c>
      <c r="H2639" s="16" t="inlineStr">
        <is>
          <t>target=Response body (JSON path) op=lt</t>
        </is>
      </c>
      <c r="I2639" s="16" t="inlineStr">
        <is>
          <t>Pass case: assertion green; actual matches expected per operator. Failure case (separately): red row with clear actual vs expected delta. Operator 'lt' applies correct semantics.</t>
        </is>
      </c>
      <c r="J2639" s="16" t="inlineStr"/>
      <c r="K2639" s="16" t="inlineStr">
        <is>
          <t>Not Run</t>
        </is>
      </c>
      <c r="L2639" s="16" t="inlineStr">
        <is>
          <t>High</t>
        </is>
      </c>
      <c r="M2639" s="16" t="inlineStr"/>
      <c r="N2639" s="16" t="inlineStr"/>
      <c r="O2639" s="16" t="inlineStr"/>
    </row>
    <row r="2640" ht="72" customHeight="1">
      <c r="A2640" s="16" t="inlineStr">
        <is>
          <t>TC-SC-0088</t>
        </is>
      </c>
      <c r="B2640" s="16" t="inlineStr">
        <is>
          <t>Pre-request Scripts &amp; Tests</t>
        </is>
      </c>
      <c r="C2640" s="16" t="inlineStr">
        <is>
          <t>Assertion Matrix</t>
        </is>
      </c>
      <c r="D2640" s="16" t="inlineStr">
        <is>
          <t>Functional</t>
        </is>
      </c>
      <c r="E2640" s="16" t="inlineStr">
        <is>
          <t>Assertion: Response body (JSON path) lte</t>
        </is>
      </c>
      <c r="F2640" s="16" t="inlineStr">
        <is>
          <t>-</t>
        </is>
      </c>
      <c r="G2640" s="16" t="inlineStr">
        <is>
          <t>1. Add assertion: target='body.user.id', operator='lte', expected=&lt;a value that should pass&gt;.
2. Send and observe Tests result.</t>
        </is>
      </c>
      <c r="H2640" s="16" t="inlineStr">
        <is>
          <t>target=Response body (JSON path) op=lte</t>
        </is>
      </c>
      <c r="I2640" s="16" t="inlineStr">
        <is>
          <t>Pass case: assertion green; actual matches expected per operator. Failure case (separately): red row with clear actual vs expected delta. Operator 'lte' applies correct semantics.</t>
        </is>
      </c>
      <c r="J2640" s="16" t="inlineStr"/>
      <c r="K2640" s="16" t="inlineStr">
        <is>
          <t>Not Run</t>
        </is>
      </c>
      <c r="L2640" s="16" t="inlineStr">
        <is>
          <t>Medium</t>
        </is>
      </c>
      <c r="M2640" s="16" t="inlineStr"/>
      <c r="N2640" s="16" t="inlineStr"/>
      <c r="O2640" s="16" t="inlineStr"/>
    </row>
    <row r="2641" ht="72" customHeight="1">
      <c r="A2641" s="16" t="inlineStr">
        <is>
          <t>TC-SC-0089</t>
        </is>
      </c>
      <c r="B2641" s="16" t="inlineStr">
        <is>
          <t>Pre-request Scripts &amp; Tests</t>
        </is>
      </c>
      <c r="C2641" s="16" t="inlineStr">
        <is>
          <t>Assertion Matrix</t>
        </is>
      </c>
      <c r="D2641" s="16" t="inlineStr">
        <is>
          <t>Functional</t>
        </is>
      </c>
      <c r="E2641" s="16" t="inlineStr">
        <is>
          <t>Assertion: Response body (JSON path) gt</t>
        </is>
      </c>
      <c r="F2641" s="16" t="inlineStr">
        <is>
          <t>-</t>
        </is>
      </c>
      <c r="G2641" s="16" t="inlineStr">
        <is>
          <t>1. Add assertion: target='body.user.id', operator='gt', expected=&lt;a value that should pass&gt;.
2. Send and observe Tests result.</t>
        </is>
      </c>
      <c r="H2641" s="16" t="inlineStr">
        <is>
          <t>target=Response body (JSON path) op=gt</t>
        </is>
      </c>
      <c r="I2641" s="16" t="inlineStr">
        <is>
          <t>Pass case: assertion green; actual matches expected per operator. Failure case (separately): red row with clear actual vs expected delta. Operator 'gt' applies correct semantics.</t>
        </is>
      </c>
      <c r="J2641" s="16" t="inlineStr"/>
      <c r="K2641" s="16" t="inlineStr">
        <is>
          <t>Not Run</t>
        </is>
      </c>
      <c r="L2641" s="16" t="inlineStr">
        <is>
          <t>High</t>
        </is>
      </c>
      <c r="M2641" s="16" t="inlineStr"/>
      <c r="N2641" s="16" t="inlineStr"/>
      <c r="O2641" s="16" t="inlineStr"/>
    </row>
    <row r="2642" ht="72" customHeight="1">
      <c r="A2642" s="16" t="inlineStr">
        <is>
          <t>TC-SC-0090</t>
        </is>
      </c>
      <c r="B2642" s="16" t="inlineStr">
        <is>
          <t>Pre-request Scripts &amp; Tests</t>
        </is>
      </c>
      <c r="C2642" s="16" t="inlineStr">
        <is>
          <t>Assertion Matrix</t>
        </is>
      </c>
      <c r="D2642" s="16" t="inlineStr">
        <is>
          <t>Functional</t>
        </is>
      </c>
      <c r="E2642" s="16" t="inlineStr">
        <is>
          <t>Assertion: Response body (JSON path) gte</t>
        </is>
      </c>
      <c r="F2642" s="16" t="inlineStr">
        <is>
          <t>-</t>
        </is>
      </c>
      <c r="G2642" s="16" t="inlineStr">
        <is>
          <t>1. Add assertion: target='body.user.id', operator='gte', expected=&lt;a value that should pass&gt;.
2. Send and observe Tests result.</t>
        </is>
      </c>
      <c r="H2642" s="16" t="inlineStr">
        <is>
          <t>target=Response body (JSON path) op=gte</t>
        </is>
      </c>
      <c r="I2642" s="16" t="inlineStr">
        <is>
          <t>Pass case: assertion green; actual matches expected per operator. Failure case (separately): red row with clear actual vs expected delta. Operator 'gte' applies correct semantics.</t>
        </is>
      </c>
      <c r="J2642" s="16" t="inlineStr"/>
      <c r="K2642" s="16" t="inlineStr">
        <is>
          <t>Not Run</t>
        </is>
      </c>
      <c r="L2642" s="16" t="inlineStr">
        <is>
          <t>Medium</t>
        </is>
      </c>
      <c r="M2642" s="16" t="inlineStr"/>
      <c r="N2642" s="16" t="inlineStr"/>
      <c r="O2642" s="16" t="inlineStr"/>
    </row>
    <row r="2643" ht="72" customHeight="1">
      <c r="A2643" s="16" t="inlineStr">
        <is>
          <t>TC-SC-0091</t>
        </is>
      </c>
      <c r="B2643" s="16" t="inlineStr">
        <is>
          <t>Pre-request Scripts &amp; Tests</t>
        </is>
      </c>
      <c r="C2643" s="16" t="inlineStr">
        <is>
          <t>Assertion Matrix</t>
        </is>
      </c>
      <c r="D2643" s="16" t="inlineStr">
        <is>
          <t>Functional</t>
        </is>
      </c>
      <c r="E2643" s="16" t="inlineStr">
        <is>
          <t>Assertion: Response body (JSON path) exists</t>
        </is>
      </c>
      <c r="F2643" s="16" t="inlineStr">
        <is>
          <t>-</t>
        </is>
      </c>
      <c r="G2643" s="16" t="inlineStr">
        <is>
          <t>1. Add assertion: target='body.user.id', operator='exists', expected=&lt;a value that should pass&gt;.
2. Send and observe Tests result.</t>
        </is>
      </c>
      <c r="H2643" s="16" t="inlineStr">
        <is>
          <t>target=Response body (JSON path) op=exists</t>
        </is>
      </c>
      <c r="I2643" s="16" t="inlineStr">
        <is>
          <t>Pass case: assertion green; actual matches expected per operator. Failure case (separately): red row with clear actual vs expected delta. Operator 'exists' applies correct semantics.</t>
        </is>
      </c>
      <c r="J2643" s="16" t="inlineStr"/>
      <c r="K2643" s="16" t="inlineStr">
        <is>
          <t>Not Run</t>
        </is>
      </c>
      <c r="L2643" s="16" t="inlineStr">
        <is>
          <t>High</t>
        </is>
      </c>
      <c r="M2643" s="16" t="inlineStr"/>
      <c r="N2643" s="16" t="inlineStr"/>
      <c r="O2643" s="16" t="inlineStr"/>
    </row>
    <row r="2644" ht="72" customHeight="1">
      <c r="A2644" s="16" t="inlineStr">
        <is>
          <t>TC-SC-0092</t>
        </is>
      </c>
      <c r="B2644" s="16" t="inlineStr">
        <is>
          <t>Pre-request Scripts &amp; Tests</t>
        </is>
      </c>
      <c r="C2644" s="16" t="inlineStr">
        <is>
          <t>Assertion Matrix</t>
        </is>
      </c>
      <c r="D2644" s="16" t="inlineStr">
        <is>
          <t>Functional</t>
        </is>
      </c>
      <c r="E2644" s="16" t="inlineStr">
        <is>
          <t>Assertion: Response body (JSON path) not-exists</t>
        </is>
      </c>
      <c r="F2644" s="16" t="inlineStr">
        <is>
          <t>-</t>
        </is>
      </c>
      <c r="G2644" s="16" t="inlineStr">
        <is>
          <t>1. Add assertion: target='body.user.id', operator='not-exists', expected=&lt;a value that should pass&gt;.
2. Send and observe Tests result.</t>
        </is>
      </c>
      <c r="H2644" s="16" t="inlineStr">
        <is>
          <t>target=Response body (JSON path) op=not-exists</t>
        </is>
      </c>
      <c r="I2644" s="16" t="inlineStr">
        <is>
          <t>Pass case: assertion green; actual matches expected per operator. Failure case (separately): red row with clear actual vs expected delta. Operator 'not-exists' applies correct semantics.</t>
        </is>
      </c>
      <c r="J2644" s="16" t="inlineStr"/>
      <c r="K2644" s="16" t="inlineStr">
        <is>
          <t>Not Run</t>
        </is>
      </c>
      <c r="L2644" s="16" t="inlineStr">
        <is>
          <t>Medium</t>
        </is>
      </c>
      <c r="M2644" s="16" t="inlineStr"/>
      <c r="N2644" s="16" t="inlineStr"/>
      <c r="O2644" s="16" t="inlineStr"/>
    </row>
    <row r="2645" ht="72" customHeight="1">
      <c r="A2645" s="16" t="inlineStr">
        <is>
          <t>TC-SC-0093</t>
        </is>
      </c>
      <c r="B2645" s="16" t="inlineStr">
        <is>
          <t>Pre-request Scripts &amp; Tests</t>
        </is>
      </c>
      <c r="C2645" s="16" t="inlineStr">
        <is>
          <t>Assertion Matrix</t>
        </is>
      </c>
      <c r="D2645" s="16" t="inlineStr">
        <is>
          <t>Functional</t>
        </is>
      </c>
      <c r="E2645" s="16" t="inlineStr">
        <is>
          <t>Assertion: Response body (JSON path) is-type (string/number/boolean/null/array/object)</t>
        </is>
      </c>
      <c r="F2645" s="16" t="inlineStr">
        <is>
          <t>-</t>
        </is>
      </c>
      <c r="G2645" s="16" t="inlineStr">
        <is>
          <t>1. Add assertion: target='body.user.id', operator='is-type (string/number/boolean/null/array/object)', expected=&lt;a value that should pass&gt;.
2. Send and observe Tests result.</t>
        </is>
      </c>
      <c r="H2645" s="16" t="inlineStr">
        <is>
          <t>target=Response body (JSON path) op=is-type (string/number/boolean/null/array/object)</t>
        </is>
      </c>
      <c r="I2645" s="16" t="inlineStr">
        <is>
          <t>Pass case: assertion green; actual matches expected per operator. Failure case (separately): red row with clear actual vs expected delta. Operator 'is-type (string/number/boolean/null/array/object)' applies correct semantics.</t>
        </is>
      </c>
      <c r="J2645" s="16" t="inlineStr"/>
      <c r="K2645" s="16" t="inlineStr">
        <is>
          <t>Not Run</t>
        </is>
      </c>
      <c r="L2645" s="16" t="inlineStr">
        <is>
          <t>Medium</t>
        </is>
      </c>
      <c r="M2645" s="16" t="inlineStr"/>
      <c r="N2645" s="16" t="inlineStr"/>
      <c r="O2645" s="16" t="inlineStr"/>
    </row>
    <row r="2646" ht="72" customHeight="1">
      <c r="A2646" s="16" t="inlineStr">
        <is>
          <t>TC-SC-0094</t>
        </is>
      </c>
      <c r="B2646" s="16" t="inlineStr">
        <is>
          <t>Pre-request Scripts &amp; Tests</t>
        </is>
      </c>
      <c r="C2646" s="16" t="inlineStr">
        <is>
          <t>Assertion Matrix</t>
        </is>
      </c>
      <c r="D2646" s="16" t="inlineStr">
        <is>
          <t>Functional</t>
        </is>
      </c>
      <c r="E2646" s="16" t="inlineStr">
        <is>
          <t>Assertion: Response body (JSON path) length-equals</t>
        </is>
      </c>
      <c r="F2646" s="16" t="inlineStr">
        <is>
          <t>-</t>
        </is>
      </c>
      <c r="G2646" s="16" t="inlineStr">
        <is>
          <t>1. Add assertion: target='body.user.id', operator='length-equals', expected=&lt;a value that should pass&gt;.
2. Send and observe Tests result.</t>
        </is>
      </c>
      <c r="H2646" s="16" t="inlineStr">
        <is>
          <t>target=Response body (JSON path) op=length-equals</t>
        </is>
      </c>
      <c r="I2646" s="16" t="inlineStr">
        <is>
          <t>Pass case: assertion green; actual matches expected per operator. Failure case (separately): red row with clear actual vs expected delta. Operator 'length-equals' applies correct semantics.</t>
        </is>
      </c>
      <c r="J2646" s="16" t="inlineStr"/>
      <c r="K2646" s="16" t="inlineStr">
        <is>
          <t>Not Run</t>
        </is>
      </c>
      <c r="L2646" s="16" t="inlineStr">
        <is>
          <t>Medium</t>
        </is>
      </c>
      <c r="M2646" s="16" t="inlineStr"/>
      <c r="N2646" s="16" t="inlineStr"/>
      <c r="O2646" s="16" t="inlineStr"/>
    </row>
    <row r="2647" ht="72" customHeight="1">
      <c r="A2647" s="16" t="inlineStr">
        <is>
          <t>TC-SC-0095</t>
        </is>
      </c>
      <c r="B2647" s="16" t="inlineStr">
        <is>
          <t>Pre-request Scripts &amp; Tests</t>
        </is>
      </c>
      <c r="C2647" s="16" t="inlineStr">
        <is>
          <t>Assertion Matrix</t>
        </is>
      </c>
      <c r="D2647" s="16" t="inlineStr">
        <is>
          <t>Functional</t>
        </is>
      </c>
      <c r="E2647" s="16" t="inlineStr">
        <is>
          <t>Assertion: Response body (JSON path) length-gt</t>
        </is>
      </c>
      <c r="F2647" s="16" t="inlineStr">
        <is>
          <t>-</t>
        </is>
      </c>
      <c r="G2647" s="16" t="inlineStr">
        <is>
          <t>1. Add assertion: target='body.user.id', operator='length-gt', expected=&lt;a value that should pass&gt;.
2. Send and observe Tests result.</t>
        </is>
      </c>
      <c r="H2647" s="16" t="inlineStr">
        <is>
          <t>target=Response body (JSON path) op=length-gt</t>
        </is>
      </c>
      <c r="I2647" s="16" t="inlineStr">
        <is>
          <t>Pass case: assertion green; actual matches expected per operator. Failure case (separately): red row with clear actual vs expected delta. Operator 'length-gt' applies correct semantics.</t>
        </is>
      </c>
      <c r="J2647" s="16" t="inlineStr"/>
      <c r="K2647" s="16" t="inlineStr">
        <is>
          <t>Not Run</t>
        </is>
      </c>
      <c r="L2647" s="16" t="inlineStr">
        <is>
          <t>Medium</t>
        </is>
      </c>
      <c r="M2647" s="16" t="inlineStr"/>
      <c r="N2647" s="16" t="inlineStr"/>
      <c r="O2647" s="16" t="inlineStr"/>
    </row>
    <row r="2648" ht="72" customHeight="1">
      <c r="A2648" s="16" t="inlineStr">
        <is>
          <t>TC-SC-0096</t>
        </is>
      </c>
      <c r="B2648" s="16" t="inlineStr">
        <is>
          <t>Pre-request Scripts &amp; Tests</t>
        </is>
      </c>
      <c r="C2648" s="16" t="inlineStr">
        <is>
          <t>Assertion Matrix</t>
        </is>
      </c>
      <c r="D2648" s="16" t="inlineStr">
        <is>
          <t>Functional</t>
        </is>
      </c>
      <c r="E2648" s="16" t="inlineStr">
        <is>
          <t>Assertion: Response body (JSON path) length-lt</t>
        </is>
      </c>
      <c r="F2648" s="16" t="inlineStr">
        <is>
          <t>-</t>
        </is>
      </c>
      <c r="G2648" s="16" t="inlineStr">
        <is>
          <t>1. Add assertion: target='body.user.id', operator='length-lt', expected=&lt;a value that should pass&gt;.
2. Send and observe Tests result.</t>
        </is>
      </c>
      <c r="H2648" s="16" t="inlineStr">
        <is>
          <t>target=Response body (JSON path) op=length-lt</t>
        </is>
      </c>
      <c r="I2648" s="16" t="inlineStr">
        <is>
          <t>Pass case: assertion green; actual matches expected per operator. Failure case (separately): red row with clear actual vs expected delta. Operator 'length-lt' applies correct semantics.</t>
        </is>
      </c>
      <c r="J2648" s="16" t="inlineStr"/>
      <c r="K2648" s="16" t="inlineStr">
        <is>
          <t>Not Run</t>
        </is>
      </c>
      <c r="L2648" s="16" t="inlineStr">
        <is>
          <t>Medium</t>
        </is>
      </c>
      <c r="M2648" s="16" t="inlineStr"/>
      <c r="N2648" s="16" t="inlineStr"/>
      <c r="O2648" s="16" t="inlineStr"/>
    </row>
    <row r="2649" ht="72" customHeight="1">
      <c r="A2649" s="16" t="inlineStr">
        <is>
          <t>TC-SC-0097</t>
        </is>
      </c>
      <c r="B2649" s="16" t="inlineStr">
        <is>
          <t>Pre-request Scripts &amp; Tests</t>
        </is>
      </c>
      <c r="C2649" s="16" t="inlineStr">
        <is>
          <t>Assertion Matrix</t>
        </is>
      </c>
      <c r="D2649" s="16" t="inlineStr">
        <is>
          <t>Functional</t>
        </is>
      </c>
      <c r="E2649" s="16" t="inlineStr">
        <is>
          <t>Assertion: Response body (raw text) equals</t>
        </is>
      </c>
      <c r="F2649" s="16" t="inlineStr">
        <is>
          <t>-</t>
        </is>
      </c>
      <c r="G2649" s="16" t="inlineStr">
        <is>
          <t>1. Add assertion: target='body as string', operator='equals', expected=&lt;a value that should pass&gt;.
2. Send and observe Tests result.</t>
        </is>
      </c>
      <c r="H2649" s="16" t="inlineStr">
        <is>
          <t>target=Response body (raw text) op=equals</t>
        </is>
      </c>
      <c r="I2649" s="16" t="inlineStr">
        <is>
          <t>Pass case: assertion green; actual matches expected per operator. Failure case (separately): red row with clear actual vs expected delta. Operator 'equals' applies correct semantics.</t>
        </is>
      </c>
      <c r="J2649" s="16" t="inlineStr"/>
      <c r="K2649" s="16" t="inlineStr">
        <is>
          <t>Not Run</t>
        </is>
      </c>
      <c r="L2649" s="16" t="inlineStr">
        <is>
          <t>Medium</t>
        </is>
      </c>
      <c r="M2649" s="16" t="inlineStr"/>
      <c r="N2649" s="16" t="inlineStr"/>
      <c r="O2649" s="16" t="inlineStr"/>
    </row>
    <row r="2650" ht="72" customHeight="1">
      <c r="A2650" s="16" t="inlineStr">
        <is>
          <t>TC-SC-0098</t>
        </is>
      </c>
      <c r="B2650" s="16" t="inlineStr">
        <is>
          <t>Pre-request Scripts &amp; Tests</t>
        </is>
      </c>
      <c r="C2650" s="16" t="inlineStr">
        <is>
          <t>Assertion Matrix</t>
        </is>
      </c>
      <c r="D2650" s="16" t="inlineStr">
        <is>
          <t>Functional</t>
        </is>
      </c>
      <c r="E2650" s="16" t="inlineStr">
        <is>
          <t>Assertion: Response body (raw text) not-equals</t>
        </is>
      </c>
      <c r="F2650" s="16" t="inlineStr">
        <is>
          <t>-</t>
        </is>
      </c>
      <c r="G2650" s="16" t="inlineStr">
        <is>
          <t>1. Add assertion: target='body as string', operator='not-equals', expected=&lt;a value that should pass&gt;.
2. Send and observe Tests result.</t>
        </is>
      </c>
      <c r="H2650" s="16" t="inlineStr">
        <is>
          <t>target=Response body (raw text) op=not-equals</t>
        </is>
      </c>
      <c r="I2650" s="16" t="inlineStr">
        <is>
          <t>Pass case: assertion green; actual matches expected per operator. Failure case (separately): red row with clear actual vs expected delta. Operator 'not-equals' applies correct semantics.</t>
        </is>
      </c>
      <c r="J2650" s="16" t="inlineStr"/>
      <c r="K2650" s="16" t="inlineStr">
        <is>
          <t>Not Run</t>
        </is>
      </c>
      <c r="L2650" s="16" t="inlineStr">
        <is>
          <t>Medium</t>
        </is>
      </c>
      <c r="M2650" s="16" t="inlineStr"/>
      <c r="N2650" s="16" t="inlineStr"/>
      <c r="O2650" s="16" t="inlineStr"/>
    </row>
    <row r="2651" ht="72" customHeight="1">
      <c r="A2651" s="16" t="inlineStr">
        <is>
          <t>TC-SC-0099</t>
        </is>
      </c>
      <c r="B2651" s="16" t="inlineStr">
        <is>
          <t>Pre-request Scripts &amp; Tests</t>
        </is>
      </c>
      <c r="C2651" s="16" t="inlineStr">
        <is>
          <t>Assertion Matrix</t>
        </is>
      </c>
      <c r="D2651" s="16" t="inlineStr">
        <is>
          <t>Functional</t>
        </is>
      </c>
      <c r="E2651" s="16" t="inlineStr">
        <is>
          <t>Assertion: Response body (raw text) contains</t>
        </is>
      </c>
      <c r="F2651" s="16" t="inlineStr">
        <is>
          <t>-</t>
        </is>
      </c>
      <c r="G2651" s="16" t="inlineStr">
        <is>
          <t>1. Add assertion: target='body as string', operator='contains', expected=&lt;a value that should pass&gt;.
2. Send and observe Tests result.</t>
        </is>
      </c>
      <c r="H2651" s="16" t="inlineStr">
        <is>
          <t>target=Response body (raw text) op=contains</t>
        </is>
      </c>
      <c r="I2651" s="16" t="inlineStr">
        <is>
          <t>Pass case: assertion green; actual matches expected per operator. Failure case (separately): red row with clear actual vs expected delta. Operator 'contains' applies correct semantics.</t>
        </is>
      </c>
      <c r="J2651" s="16" t="inlineStr"/>
      <c r="K2651" s="16" t="inlineStr">
        <is>
          <t>Not Run</t>
        </is>
      </c>
      <c r="L2651" s="16" t="inlineStr">
        <is>
          <t>Medium</t>
        </is>
      </c>
      <c r="M2651" s="16" t="inlineStr"/>
      <c r="N2651" s="16" t="inlineStr"/>
      <c r="O2651" s="16" t="inlineStr"/>
    </row>
    <row r="2652" ht="72" customHeight="1">
      <c r="A2652" s="16" t="inlineStr">
        <is>
          <t>TC-SC-0100</t>
        </is>
      </c>
      <c r="B2652" s="16" t="inlineStr">
        <is>
          <t>Pre-request Scripts &amp; Tests</t>
        </is>
      </c>
      <c r="C2652" s="16" t="inlineStr">
        <is>
          <t>Assertion Matrix</t>
        </is>
      </c>
      <c r="D2652" s="16" t="inlineStr">
        <is>
          <t>Functional</t>
        </is>
      </c>
      <c r="E2652" s="16" t="inlineStr">
        <is>
          <t>Assertion: Response body (raw text) not-contains</t>
        </is>
      </c>
      <c r="F2652" s="16" t="inlineStr">
        <is>
          <t>-</t>
        </is>
      </c>
      <c r="G2652" s="16" t="inlineStr">
        <is>
          <t>1. Add assertion: target='body as string', operator='not-contains', expected=&lt;a value that should pass&gt;.
2. Send and observe Tests result.</t>
        </is>
      </c>
      <c r="H2652" s="16" t="inlineStr">
        <is>
          <t>target=Response body (raw text) op=not-contains</t>
        </is>
      </c>
      <c r="I2652" s="16" t="inlineStr">
        <is>
          <t>Pass case: assertion green; actual matches expected per operator. Failure case (separately): red row with clear actual vs expected delta. Operator 'not-contains' applies correct semantics.</t>
        </is>
      </c>
      <c r="J2652" s="16" t="inlineStr"/>
      <c r="K2652" s="16" t="inlineStr">
        <is>
          <t>Not Run</t>
        </is>
      </c>
      <c r="L2652" s="16" t="inlineStr">
        <is>
          <t>Medium</t>
        </is>
      </c>
      <c r="M2652" s="16" t="inlineStr"/>
      <c r="N2652" s="16" t="inlineStr"/>
      <c r="O2652" s="16" t="inlineStr"/>
    </row>
    <row r="2653" ht="72" customHeight="1">
      <c r="A2653" s="16" t="inlineStr">
        <is>
          <t>TC-SC-0101</t>
        </is>
      </c>
      <c r="B2653" s="16" t="inlineStr">
        <is>
          <t>Pre-request Scripts &amp; Tests</t>
        </is>
      </c>
      <c r="C2653" s="16" t="inlineStr">
        <is>
          <t>Assertion Matrix</t>
        </is>
      </c>
      <c r="D2653" s="16" t="inlineStr">
        <is>
          <t>Functional</t>
        </is>
      </c>
      <c r="E2653" s="16" t="inlineStr">
        <is>
          <t>Assertion: Response body (raw text) starts-with</t>
        </is>
      </c>
      <c r="F2653" s="16" t="inlineStr">
        <is>
          <t>-</t>
        </is>
      </c>
      <c r="G2653" s="16" t="inlineStr">
        <is>
          <t>1. Add assertion: target='body as string', operator='starts-with', expected=&lt;a value that should pass&gt;.
2. Send and observe Tests result.</t>
        </is>
      </c>
      <c r="H2653" s="16" t="inlineStr">
        <is>
          <t>target=Response body (raw text) op=starts-with</t>
        </is>
      </c>
      <c r="I2653" s="16" t="inlineStr">
        <is>
          <t>Pass case: assertion green; actual matches expected per operator. Failure case (separately): red row with clear actual vs expected delta. Operator 'starts-with' applies correct semantics.</t>
        </is>
      </c>
      <c r="J2653" s="16" t="inlineStr"/>
      <c r="K2653" s="16" t="inlineStr">
        <is>
          <t>Not Run</t>
        </is>
      </c>
      <c r="L2653" s="16" t="inlineStr">
        <is>
          <t>Medium</t>
        </is>
      </c>
      <c r="M2653" s="16" t="inlineStr"/>
      <c r="N2653" s="16" t="inlineStr"/>
      <c r="O2653" s="16" t="inlineStr"/>
    </row>
    <row r="2654" ht="72" customHeight="1">
      <c r="A2654" s="16" t="inlineStr">
        <is>
          <t>TC-SC-0102</t>
        </is>
      </c>
      <c r="B2654" s="16" t="inlineStr">
        <is>
          <t>Pre-request Scripts &amp; Tests</t>
        </is>
      </c>
      <c r="C2654" s="16" t="inlineStr">
        <is>
          <t>Assertion Matrix</t>
        </is>
      </c>
      <c r="D2654" s="16" t="inlineStr">
        <is>
          <t>Functional</t>
        </is>
      </c>
      <c r="E2654" s="16" t="inlineStr">
        <is>
          <t>Assertion: Response body (raw text) ends-with</t>
        </is>
      </c>
      <c r="F2654" s="16" t="inlineStr">
        <is>
          <t>-</t>
        </is>
      </c>
      <c r="G2654" s="16" t="inlineStr">
        <is>
          <t>1. Add assertion: target='body as string', operator='ends-with', expected=&lt;a value that should pass&gt;.
2. Send and observe Tests result.</t>
        </is>
      </c>
      <c r="H2654" s="16" t="inlineStr">
        <is>
          <t>target=Response body (raw text) op=ends-with</t>
        </is>
      </c>
      <c r="I2654" s="16" t="inlineStr">
        <is>
          <t>Pass case: assertion green; actual matches expected per operator. Failure case (separately): red row with clear actual vs expected delta. Operator 'ends-with' applies correct semantics.</t>
        </is>
      </c>
      <c r="J2654" s="16" t="inlineStr"/>
      <c r="K2654" s="16" t="inlineStr">
        <is>
          <t>Not Run</t>
        </is>
      </c>
      <c r="L2654" s="16" t="inlineStr">
        <is>
          <t>Medium</t>
        </is>
      </c>
      <c r="M2654" s="16" t="inlineStr"/>
      <c r="N2654" s="16" t="inlineStr"/>
      <c r="O2654" s="16" t="inlineStr"/>
    </row>
    <row r="2655" ht="72" customHeight="1">
      <c r="A2655" s="16" t="inlineStr">
        <is>
          <t>TC-SC-0103</t>
        </is>
      </c>
      <c r="B2655" s="16" t="inlineStr">
        <is>
          <t>Pre-request Scripts &amp; Tests</t>
        </is>
      </c>
      <c r="C2655" s="16" t="inlineStr">
        <is>
          <t>Assertion Matrix</t>
        </is>
      </c>
      <c r="D2655" s="16" t="inlineStr">
        <is>
          <t>Functional</t>
        </is>
      </c>
      <c r="E2655" s="16" t="inlineStr">
        <is>
          <t>Assertion: Response body (raw text) matches (regex)</t>
        </is>
      </c>
      <c r="F2655" s="16" t="inlineStr">
        <is>
          <t>-</t>
        </is>
      </c>
      <c r="G2655" s="16" t="inlineStr">
        <is>
          <t>1. Add assertion: target='body as string', operator='matches (regex)', expected=&lt;a value that should pass&gt;.
2. Send and observe Tests result.</t>
        </is>
      </c>
      <c r="H2655" s="16" t="inlineStr">
        <is>
          <t>target=Response body (raw text) op=matches (regex)</t>
        </is>
      </c>
      <c r="I2655" s="16" t="inlineStr">
        <is>
          <t>Pass case: assertion green; actual matches expected per operator. Failure case (separately): red row with clear actual vs expected delta. Operator 'matches (regex)' applies correct semantics.</t>
        </is>
      </c>
      <c r="J2655" s="16" t="inlineStr"/>
      <c r="K2655" s="16" t="inlineStr">
        <is>
          <t>Not Run</t>
        </is>
      </c>
      <c r="L2655" s="16" t="inlineStr">
        <is>
          <t>Medium</t>
        </is>
      </c>
      <c r="M2655" s="16" t="inlineStr"/>
      <c r="N2655" s="16" t="inlineStr"/>
      <c r="O2655" s="16" t="inlineStr"/>
    </row>
    <row r="2656" ht="72" customHeight="1">
      <c r="A2656" s="16" t="inlineStr">
        <is>
          <t>TC-SC-0104</t>
        </is>
      </c>
      <c r="B2656" s="16" t="inlineStr">
        <is>
          <t>Pre-request Scripts &amp; Tests</t>
        </is>
      </c>
      <c r="C2656" s="16" t="inlineStr">
        <is>
          <t>Assertion Matrix</t>
        </is>
      </c>
      <c r="D2656" s="16" t="inlineStr">
        <is>
          <t>Functional</t>
        </is>
      </c>
      <c r="E2656" s="16" t="inlineStr">
        <is>
          <t>Assertion: Response body (raw text) lt</t>
        </is>
      </c>
      <c r="F2656" s="16" t="inlineStr">
        <is>
          <t>-</t>
        </is>
      </c>
      <c r="G2656" s="16" t="inlineStr">
        <is>
          <t>1. Add assertion: target='body as string', operator='lt', expected=&lt;a value that should pass&gt;.
2. Send and observe Tests result.</t>
        </is>
      </c>
      <c r="H2656" s="16" t="inlineStr">
        <is>
          <t>target=Response body (raw text) op=lt</t>
        </is>
      </c>
      <c r="I2656" s="16" t="inlineStr">
        <is>
          <t>Pass case: assertion green; actual matches expected per operator. Failure case (separately): red row with clear actual vs expected delta. Operator 'lt' applies correct semantics.</t>
        </is>
      </c>
      <c r="J2656" s="16" t="inlineStr"/>
      <c r="K2656" s="16" t="inlineStr">
        <is>
          <t>Not Run</t>
        </is>
      </c>
      <c r="L2656" s="16" t="inlineStr">
        <is>
          <t>Medium</t>
        </is>
      </c>
      <c r="M2656" s="16" t="inlineStr"/>
      <c r="N2656" s="16" t="inlineStr"/>
      <c r="O2656" s="16" t="inlineStr"/>
    </row>
    <row r="2657" ht="72" customHeight="1">
      <c r="A2657" s="16" t="inlineStr">
        <is>
          <t>TC-SC-0105</t>
        </is>
      </c>
      <c r="B2657" s="16" t="inlineStr">
        <is>
          <t>Pre-request Scripts &amp; Tests</t>
        </is>
      </c>
      <c r="C2657" s="16" t="inlineStr">
        <is>
          <t>Assertion Matrix</t>
        </is>
      </c>
      <c r="D2657" s="16" t="inlineStr">
        <is>
          <t>Functional</t>
        </is>
      </c>
      <c r="E2657" s="16" t="inlineStr">
        <is>
          <t>Assertion: Response body (raw text) lte</t>
        </is>
      </c>
      <c r="F2657" s="16" t="inlineStr">
        <is>
          <t>-</t>
        </is>
      </c>
      <c r="G2657" s="16" t="inlineStr">
        <is>
          <t>1. Add assertion: target='body as string', operator='lte', expected=&lt;a value that should pass&gt;.
2. Send and observe Tests result.</t>
        </is>
      </c>
      <c r="H2657" s="16" t="inlineStr">
        <is>
          <t>target=Response body (raw text) op=lte</t>
        </is>
      </c>
      <c r="I2657" s="16" t="inlineStr">
        <is>
          <t>Pass case: assertion green; actual matches expected per operator. Failure case (separately): red row with clear actual vs expected delta. Operator 'lte' applies correct semantics.</t>
        </is>
      </c>
      <c r="J2657" s="16" t="inlineStr"/>
      <c r="K2657" s="16" t="inlineStr">
        <is>
          <t>Not Run</t>
        </is>
      </c>
      <c r="L2657" s="16" t="inlineStr">
        <is>
          <t>Medium</t>
        </is>
      </c>
      <c r="M2657" s="16" t="inlineStr"/>
      <c r="N2657" s="16" t="inlineStr"/>
      <c r="O2657" s="16" t="inlineStr"/>
    </row>
    <row r="2658" ht="72" customHeight="1">
      <c r="A2658" s="16" t="inlineStr">
        <is>
          <t>TC-SC-0106</t>
        </is>
      </c>
      <c r="B2658" s="16" t="inlineStr">
        <is>
          <t>Pre-request Scripts &amp; Tests</t>
        </is>
      </c>
      <c r="C2658" s="16" t="inlineStr">
        <is>
          <t>Assertion Matrix</t>
        </is>
      </c>
      <c r="D2658" s="16" t="inlineStr">
        <is>
          <t>Functional</t>
        </is>
      </c>
      <c r="E2658" s="16" t="inlineStr">
        <is>
          <t>Assertion: Response body (raw text) gt</t>
        </is>
      </c>
      <c r="F2658" s="16" t="inlineStr">
        <is>
          <t>-</t>
        </is>
      </c>
      <c r="G2658" s="16" t="inlineStr">
        <is>
          <t>1. Add assertion: target='body as string', operator='gt', expected=&lt;a value that should pass&gt;.
2. Send and observe Tests result.</t>
        </is>
      </c>
      <c r="H2658" s="16" t="inlineStr">
        <is>
          <t>target=Response body (raw text) op=gt</t>
        </is>
      </c>
      <c r="I2658" s="16" t="inlineStr">
        <is>
          <t>Pass case: assertion green; actual matches expected per operator. Failure case (separately): red row with clear actual vs expected delta. Operator 'gt' applies correct semantics.</t>
        </is>
      </c>
      <c r="J2658" s="16" t="inlineStr"/>
      <c r="K2658" s="16" t="inlineStr">
        <is>
          <t>Not Run</t>
        </is>
      </c>
      <c r="L2658" s="16" t="inlineStr">
        <is>
          <t>Medium</t>
        </is>
      </c>
      <c r="M2658" s="16" t="inlineStr"/>
      <c r="N2658" s="16" t="inlineStr"/>
      <c r="O2658" s="16" t="inlineStr"/>
    </row>
    <row r="2659" ht="72" customHeight="1">
      <c r="A2659" s="16" t="inlineStr">
        <is>
          <t>TC-SC-0107</t>
        </is>
      </c>
      <c r="B2659" s="16" t="inlineStr">
        <is>
          <t>Pre-request Scripts &amp; Tests</t>
        </is>
      </c>
      <c r="C2659" s="16" t="inlineStr">
        <is>
          <t>Assertion Matrix</t>
        </is>
      </c>
      <c r="D2659" s="16" t="inlineStr">
        <is>
          <t>Functional</t>
        </is>
      </c>
      <c r="E2659" s="16" t="inlineStr">
        <is>
          <t>Assertion: Response body (raw text) gte</t>
        </is>
      </c>
      <c r="F2659" s="16" t="inlineStr">
        <is>
          <t>-</t>
        </is>
      </c>
      <c r="G2659" s="16" t="inlineStr">
        <is>
          <t>1. Add assertion: target='body as string', operator='gte', expected=&lt;a value that should pass&gt;.
2. Send and observe Tests result.</t>
        </is>
      </c>
      <c r="H2659" s="16" t="inlineStr">
        <is>
          <t>target=Response body (raw text) op=gte</t>
        </is>
      </c>
      <c r="I2659" s="16" t="inlineStr">
        <is>
          <t>Pass case: assertion green; actual matches expected per operator. Failure case (separately): red row with clear actual vs expected delta. Operator 'gte' applies correct semantics.</t>
        </is>
      </c>
      <c r="J2659" s="16" t="inlineStr"/>
      <c r="K2659" s="16" t="inlineStr">
        <is>
          <t>Not Run</t>
        </is>
      </c>
      <c r="L2659" s="16" t="inlineStr">
        <is>
          <t>Medium</t>
        </is>
      </c>
      <c r="M2659" s="16" t="inlineStr"/>
      <c r="N2659" s="16" t="inlineStr"/>
      <c r="O2659" s="16" t="inlineStr"/>
    </row>
    <row r="2660" ht="72" customHeight="1">
      <c r="A2660" s="16" t="inlineStr">
        <is>
          <t>TC-SC-0108</t>
        </is>
      </c>
      <c r="B2660" s="16" t="inlineStr">
        <is>
          <t>Pre-request Scripts &amp; Tests</t>
        </is>
      </c>
      <c r="C2660" s="16" t="inlineStr">
        <is>
          <t>Assertion Matrix</t>
        </is>
      </c>
      <c r="D2660" s="16" t="inlineStr">
        <is>
          <t>Functional</t>
        </is>
      </c>
      <c r="E2660" s="16" t="inlineStr">
        <is>
          <t>Assertion: Response body (raw text) exists</t>
        </is>
      </c>
      <c r="F2660" s="16" t="inlineStr">
        <is>
          <t>-</t>
        </is>
      </c>
      <c r="G2660" s="16" t="inlineStr">
        <is>
          <t>1. Add assertion: target='body as string', operator='exists', expected=&lt;a value that should pass&gt;.
2. Send and observe Tests result.</t>
        </is>
      </c>
      <c r="H2660" s="16" t="inlineStr">
        <is>
          <t>target=Response body (raw text) op=exists</t>
        </is>
      </c>
      <c r="I2660" s="16" t="inlineStr">
        <is>
          <t>Pass case: assertion green; actual matches expected per operator. Failure case (separately): red row with clear actual vs expected delta. Operator 'exists' applies correct semantics.</t>
        </is>
      </c>
      <c r="J2660" s="16" t="inlineStr"/>
      <c r="K2660" s="16" t="inlineStr">
        <is>
          <t>Not Run</t>
        </is>
      </c>
      <c r="L2660" s="16" t="inlineStr">
        <is>
          <t>Medium</t>
        </is>
      </c>
      <c r="M2660" s="16" t="inlineStr"/>
      <c r="N2660" s="16" t="inlineStr"/>
      <c r="O2660" s="16" t="inlineStr"/>
    </row>
    <row r="2661" ht="72" customHeight="1">
      <c r="A2661" s="16" t="inlineStr">
        <is>
          <t>TC-SC-0109</t>
        </is>
      </c>
      <c r="B2661" s="16" t="inlineStr">
        <is>
          <t>Pre-request Scripts &amp; Tests</t>
        </is>
      </c>
      <c r="C2661" s="16" t="inlineStr">
        <is>
          <t>Assertion Matrix</t>
        </is>
      </c>
      <c r="D2661" s="16" t="inlineStr">
        <is>
          <t>Functional</t>
        </is>
      </c>
      <c r="E2661" s="16" t="inlineStr">
        <is>
          <t>Assertion: Response body (raw text) not-exists</t>
        </is>
      </c>
      <c r="F2661" s="16" t="inlineStr">
        <is>
          <t>-</t>
        </is>
      </c>
      <c r="G2661" s="16" t="inlineStr">
        <is>
          <t>1. Add assertion: target='body as string', operator='not-exists', expected=&lt;a value that should pass&gt;.
2. Send and observe Tests result.</t>
        </is>
      </c>
      <c r="H2661" s="16" t="inlineStr">
        <is>
          <t>target=Response body (raw text) op=not-exists</t>
        </is>
      </c>
      <c r="I2661" s="16" t="inlineStr">
        <is>
          <t>Pass case: assertion green; actual matches expected per operator. Failure case (separately): red row with clear actual vs expected delta. Operator 'not-exists' applies correct semantics.</t>
        </is>
      </c>
      <c r="J2661" s="16" t="inlineStr"/>
      <c r="K2661" s="16" t="inlineStr">
        <is>
          <t>Not Run</t>
        </is>
      </c>
      <c r="L2661" s="16" t="inlineStr">
        <is>
          <t>Medium</t>
        </is>
      </c>
      <c r="M2661" s="16" t="inlineStr"/>
      <c r="N2661" s="16" t="inlineStr"/>
      <c r="O2661" s="16" t="inlineStr"/>
    </row>
    <row r="2662" ht="72" customHeight="1">
      <c r="A2662" s="16" t="inlineStr">
        <is>
          <t>TC-SC-0110</t>
        </is>
      </c>
      <c r="B2662" s="16" t="inlineStr">
        <is>
          <t>Pre-request Scripts &amp; Tests</t>
        </is>
      </c>
      <c r="C2662" s="16" t="inlineStr">
        <is>
          <t>Assertion Matrix</t>
        </is>
      </c>
      <c r="D2662" s="16" t="inlineStr">
        <is>
          <t>Functional</t>
        </is>
      </c>
      <c r="E2662" s="16" t="inlineStr">
        <is>
          <t>Assertion: Response body (raw text) is-type (string/number/boolean/null/array/object)</t>
        </is>
      </c>
      <c r="F2662" s="16" t="inlineStr">
        <is>
          <t>-</t>
        </is>
      </c>
      <c r="G2662" s="16" t="inlineStr">
        <is>
          <t>1. Add assertion: target='body as string', operator='is-type (string/number/boolean/null/array/object)', expected=&lt;a value that should pass&gt;.
2. Send and observe Tests result.</t>
        </is>
      </c>
      <c r="H2662" s="16" t="inlineStr">
        <is>
          <t>target=Response body (raw text) op=is-type (string/number/boolean/null/array/object)</t>
        </is>
      </c>
      <c r="I2662" s="16" t="inlineStr">
        <is>
          <t>Pass case: assertion green; actual matches expected per operator. Failure case (separately): red row with clear actual vs expected delta. Operator 'is-type (string/number/boolean/null/array/object)' applies correct semantics.</t>
        </is>
      </c>
      <c r="J2662" s="16" t="inlineStr"/>
      <c r="K2662" s="16" t="inlineStr">
        <is>
          <t>Not Run</t>
        </is>
      </c>
      <c r="L2662" s="16" t="inlineStr">
        <is>
          <t>Medium</t>
        </is>
      </c>
      <c r="M2662" s="16" t="inlineStr"/>
      <c r="N2662" s="16" t="inlineStr"/>
      <c r="O2662" s="16" t="inlineStr"/>
    </row>
    <row r="2663" ht="72" customHeight="1">
      <c r="A2663" s="16" t="inlineStr">
        <is>
          <t>TC-SC-0111</t>
        </is>
      </c>
      <c r="B2663" s="16" t="inlineStr">
        <is>
          <t>Pre-request Scripts &amp; Tests</t>
        </is>
      </c>
      <c r="C2663" s="16" t="inlineStr">
        <is>
          <t>Assertion Matrix</t>
        </is>
      </c>
      <c r="D2663" s="16" t="inlineStr">
        <is>
          <t>Functional</t>
        </is>
      </c>
      <c r="E2663" s="16" t="inlineStr">
        <is>
          <t>Assertion: Response body (raw text) length-equals</t>
        </is>
      </c>
      <c r="F2663" s="16" t="inlineStr">
        <is>
          <t>-</t>
        </is>
      </c>
      <c r="G2663" s="16" t="inlineStr">
        <is>
          <t>1. Add assertion: target='body as string', operator='length-equals', expected=&lt;a value that should pass&gt;.
2. Send and observe Tests result.</t>
        </is>
      </c>
      <c r="H2663" s="16" t="inlineStr">
        <is>
          <t>target=Response body (raw text) op=length-equals</t>
        </is>
      </c>
      <c r="I2663" s="16" t="inlineStr">
        <is>
          <t>Pass case: assertion green; actual matches expected per operator. Failure case (separately): red row with clear actual vs expected delta. Operator 'length-equals' applies correct semantics.</t>
        </is>
      </c>
      <c r="J2663" s="16" t="inlineStr"/>
      <c r="K2663" s="16" t="inlineStr">
        <is>
          <t>Not Run</t>
        </is>
      </c>
      <c r="L2663" s="16" t="inlineStr">
        <is>
          <t>Medium</t>
        </is>
      </c>
      <c r="M2663" s="16" t="inlineStr"/>
      <c r="N2663" s="16" t="inlineStr"/>
      <c r="O2663" s="16" t="inlineStr"/>
    </row>
    <row r="2664" ht="72" customHeight="1">
      <c r="A2664" s="16" t="inlineStr">
        <is>
          <t>TC-SC-0112</t>
        </is>
      </c>
      <c r="B2664" s="16" t="inlineStr">
        <is>
          <t>Pre-request Scripts &amp; Tests</t>
        </is>
      </c>
      <c r="C2664" s="16" t="inlineStr">
        <is>
          <t>Assertion Matrix</t>
        </is>
      </c>
      <c r="D2664" s="16" t="inlineStr">
        <is>
          <t>Functional</t>
        </is>
      </c>
      <c r="E2664" s="16" t="inlineStr">
        <is>
          <t>Assertion: Response body (raw text) length-gt</t>
        </is>
      </c>
      <c r="F2664" s="16" t="inlineStr">
        <is>
          <t>-</t>
        </is>
      </c>
      <c r="G2664" s="16" t="inlineStr">
        <is>
          <t>1. Add assertion: target='body as string', operator='length-gt', expected=&lt;a value that should pass&gt;.
2. Send and observe Tests result.</t>
        </is>
      </c>
      <c r="H2664" s="16" t="inlineStr">
        <is>
          <t>target=Response body (raw text) op=length-gt</t>
        </is>
      </c>
      <c r="I2664" s="16" t="inlineStr">
        <is>
          <t>Pass case: assertion green; actual matches expected per operator. Failure case (separately): red row with clear actual vs expected delta. Operator 'length-gt' applies correct semantics.</t>
        </is>
      </c>
      <c r="J2664" s="16" t="inlineStr"/>
      <c r="K2664" s="16" t="inlineStr">
        <is>
          <t>Not Run</t>
        </is>
      </c>
      <c r="L2664" s="16" t="inlineStr">
        <is>
          <t>Medium</t>
        </is>
      </c>
      <c r="M2664" s="16" t="inlineStr"/>
      <c r="N2664" s="16" t="inlineStr"/>
      <c r="O2664" s="16" t="inlineStr"/>
    </row>
    <row r="2665" ht="72" customHeight="1">
      <c r="A2665" s="16" t="inlineStr">
        <is>
          <t>TC-SC-0113</t>
        </is>
      </c>
      <c r="B2665" s="16" t="inlineStr">
        <is>
          <t>Pre-request Scripts &amp; Tests</t>
        </is>
      </c>
      <c r="C2665" s="16" t="inlineStr">
        <is>
          <t>Assertion Matrix</t>
        </is>
      </c>
      <c r="D2665" s="16" t="inlineStr">
        <is>
          <t>Functional</t>
        </is>
      </c>
      <c r="E2665" s="16" t="inlineStr">
        <is>
          <t>Assertion: Response body (raw text) length-lt</t>
        </is>
      </c>
      <c r="F2665" s="16" t="inlineStr">
        <is>
          <t>-</t>
        </is>
      </c>
      <c r="G2665" s="16" t="inlineStr">
        <is>
          <t>1. Add assertion: target='body as string', operator='length-lt', expected=&lt;a value that should pass&gt;.
2. Send and observe Tests result.</t>
        </is>
      </c>
      <c r="H2665" s="16" t="inlineStr">
        <is>
          <t>target=Response body (raw text) op=length-lt</t>
        </is>
      </c>
      <c r="I2665" s="16" t="inlineStr">
        <is>
          <t>Pass case: assertion green; actual matches expected per operator. Failure case (separately): red row with clear actual vs expected delta. Operator 'length-lt' applies correct semantics.</t>
        </is>
      </c>
      <c r="J2665" s="16" t="inlineStr"/>
      <c r="K2665" s="16" t="inlineStr">
        <is>
          <t>Not Run</t>
        </is>
      </c>
      <c r="L2665" s="16" t="inlineStr">
        <is>
          <t>Medium</t>
        </is>
      </c>
      <c r="M2665" s="16" t="inlineStr"/>
      <c r="N2665" s="16" t="inlineStr"/>
      <c r="O2665" s="16" t="inlineStr"/>
    </row>
    <row r="2666" ht="72" customHeight="1">
      <c r="A2666" s="16" t="inlineStr">
        <is>
          <t>TC-SC-0114</t>
        </is>
      </c>
      <c r="B2666" s="16" t="inlineStr">
        <is>
          <t>Pre-request Scripts &amp; Tests</t>
        </is>
      </c>
      <c r="C2666" s="16" t="inlineStr">
        <is>
          <t>Assertion Matrix</t>
        </is>
      </c>
      <c r="D2666" s="16" t="inlineStr">
        <is>
          <t>Functional</t>
        </is>
      </c>
      <c r="E2666" s="16" t="inlineStr">
        <is>
          <t>Assertion: Response body matches schema equals</t>
        </is>
      </c>
      <c r="F2666" s="16" t="inlineStr">
        <is>
          <t>-</t>
        </is>
      </c>
      <c r="G2666" s="16" t="inlineStr">
        <is>
          <t>1. Add assertion: target='JSON schema validation', operator='equals', expected=&lt;a value that should pass&gt;.
2. Send and observe Tests result.</t>
        </is>
      </c>
      <c r="H2666" s="16" t="inlineStr">
        <is>
          <t>target=Response body matches schema op=equals</t>
        </is>
      </c>
      <c r="I2666" s="16" t="inlineStr">
        <is>
          <t>Pass case: assertion green; actual matches expected per operator. Failure case (separately): red row with clear actual vs expected delta. Operator 'equals' applies correct semantics.</t>
        </is>
      </c>
      <c r="J2666" s="16" t="inlineStr"/>
      <c r="K2666" s="16" t="inlineStr">
        <is>
          <t>Not Run</t>
        </is>
      </c>
      <c r="L2666" s="16" t="inlineStr">
        <is>
          <t>Medium</t>
        </is>
      </c>
      <c r="M2666" s="16" t="inlineStr"/>
      <c r="N2666" s="16" t="inlineStr"/>
      <c r="O2666" s="16" t="inlineStr"/>
    </row>
    <row r="2667" ht="72" customHeight="1">
      <c r="A2667" s="16" t="inlineStr">
        <is>
          <t>TC-SC-0115</t>
        </is>
      </c>
      <c r="B2667" s="16" t="inlineStr">
        <is>
          <t>Pre-request Scripts &amp; Tests</t>
        </is>
      </c>
      <c r="C2667" s="16" t="inlineStr">
        <is>
          <t>Assertion Matrix</t>
        </is>
      </c>
      <c r="D2667" s="16" t="inlineStr">
        <is>
          <t>Functional</t>
        </is>
      </c>
      <c r="E2667" s="16" t="inlineStr">
        <is>
          <t>Assertion: Response body matches schema not-equals</t>
        </is>
      </c>
      <c r="F2667" s="16" t="inlineStr">
        <is>
          <t>-</t>
        </is>
      </c>
      <c r="G2667" s="16" t="inlineStr">
        <is>
          <t>1. Add assertion: target='JSON schema validation', operator='not-equals', expected=&lt;a value that should pass&gt;.
2. Send and observe Tests result.</t>
        </is>
      </c>
      <c r="H2667" s="16" t="inlineStr">
        <is>
          <t>target=Response body matches schema op=not-equals</t>
        </is>
      </c>
      <c r="I2667" s="16" t="inlineStr">
        <is>
          <t>Pass case: assertion green; actual matches expected per operator. Failure case (separately): red row with clear actual vs expected delta. Operator 'not-equals' applies correct semantics.</t>
        </is>
      </c>
      <c r="J2667" s="16" t="inlineStr"/>
      <c r="K2667" s="16" t="inlineStr">
        <is>
          <t>Not Run</t>
        </is>
      </c>
      <c r="L2667" s="16" t="inlineStr">
        <is>
          <t>Medium</t>
        </is>
      </c>
      <c r="M2667" s="16" t="inlineStr"/>
      <c r="N2667" s="16" t="inlineStr"/>
      <c r="O2667" s="16" t="inlineStr"/>
    </row>
    <row r="2668" ht="72" customHeight="1">
      <c r="A2668" s="16" t="inlineStr">
        <is>
          <t>TC-SC-0116</t>
        </is>
      </c>
      <c r="B2668" s="16" t="inlineStr">
        <is>
          <t>Pre-request Scripts &amp; Tests</t>
        </is>
      </c>
      <c r="C2668" s="16" t="inlineStr">
        <is>
          <t>Assertion Matrix</t>
        </is>
      </c>
      <c r="D2668" s="16" t="inlineStr">
        <is>
          <t>Functional</t>
        </is>
      </c>
      <c r="E2668" s="16" t="inlineStr">
        <is>
          <t>Assertion: Response body matches schema contains</t>
        </is>
      </c>
      <c r="F2668" s="16" t="inlineStr">
        <is>
          <t>-</t>
        </is>
      </c>
      <c r="G2668" s="16" t="inlineStr">
        <is>
          <t>1. Add assertion: target='JSON schema validation', operator='contains', expected=&lt;a value that should pass&gt;.
2. Send and observe Tests result.</t>
        </is>
      </c>
      <c r="H2668" s="16" t="inlineStr">
        <is>
          <t>target=Response body matches schema op=contains</t>
        </is>
      </c>
      <c r="I2668" s="16" t="inlineStr">
        <is>
          <t>Pass case: assertion green; actual matches expected per operator. Failure case (separately): red row with clear actual vs expected delta. Operator 'contains' applies correct semantics.</t>
        </is>
      </c>
      <c r="J2668" s="16" t="inlineStr"/>
      <c r="K2668" s="16" t="inlineStr">
        <is>
          <t>Not Run</t>
        </is>
      </c>
      <c r="L2668" s="16" t="inlineStr">
        <is>
          <t>Medium</t>
        </is>
      </c>
      <c r="M2668" s="16" t="inlineStr"/>
      <c r="N2668" s="16" t="inlineStr"/>
      <c r="O2668" s="16" t="inlineStr"/>
    </row>
    <row r="2669" ht="72" customHeight="1">
      <c r="A2669" s="16" t="inlineStr">
        <is>
          <t>TC-SC-0117</t>
        </is>
      </c>
      <c r="B2669" s="16" t="inlineStr">
        <is>
          <t>Pre-request Scripts &amp; Tests</t>
        </is>
      </c>
      <c r="C2669" s="16" t="inlineStr">
        <is>
          <t>Assertion Matrix</t>
        </is>
      </c>
      <c r="D2669" s="16" t="inlineStr">
        <is>
          <t>Functional</t>
        </is>
      </c>
      <c r="E2669" s="16" t="inlineStr">
        <is>
          <t>Assertion: Response body matches schema not-contains</t>
        </is>
      </c>
      <c r="F2669" s="16" t="inlineStr">
        <is>
          <t>-</t>
        </is>
      </c>
      <c r="G2669" s="16" t="inlineStr">
        <is>
          <t>1. Add assertion: target='JSON schema validation', operator='not-contains', expected=&lt;a value that should pass&gt;.
2. Send and observe Tests result.</t>
        </is>
      </c>
      <c r="H2669" s="16" t="inlineStr">
        <is>
          <t>target=Response body matches schema op=not-contains</t>
        </is>
      </c>
      <c r="I2669" s="16" t="inlineStr">
        <is>
          <t>Pass case: assertion green; actual matches expected per operator. Failure case (separately): red row with clear actual vs expected delta. Operator 'not-contains' applies correct semantics.</t>
        </is>
      </c>
      <c r="J2669" s="16" t="inlineStr"/>
      <c r="K2669" s="16" t="inlineStr">
        <is>
          <t>Not Run</t>
        </is>
      </c>
      <c r="L2669" s="16" t="inlineStr">
        <is>
          <t>Medium</t>
        </is>
      </c>
      <c r="M2669" s="16" t="inlineStr"/>
      <c r="N2669" s="16" t="inlineStr"/>
      <c r="O2669" s="16" t="inlineStr"/>
    </row>
    <row r="2670" ht="72" customHeight="1">
      <c r="A2670" s="16" t="inlineStr">
        <is>
          <t>TC-SC-0118</t>
        </is>
      </c>
      <c r="B2670" s="16" t="inlineStr">
        <is>
          <t>Pre-request Scripts &amp; Tests</t>
        </is>
      </c>
      <c r="C2670" s="16" t="inlineStr">
        <is>
          <t>Assertion Matrix</t>
        </is>
      </c>
      <c r="D2670" s="16" t="inlineStr">
        <is>
          <t>Functional</t>
        </is>
      </c>
      <c r="E2670" s="16" t="inlineStr">
        <is>
          <t>Assertion: Response body matches schema starts-with</t>
        </is>
      </c>
      <c r="F2670" s="16" t="inlineStr">
        <is>
          <t>-</t>
        </is>
      </c>
      <c r="G2670" s="16" t="inlineStr">
        <is>
          <t>1. Add assertion: target='JSON schema validation', operator='starts-with', expected=&lt;a value that should pass&gt;.
2. Send and observe Tests result.</t>
        </is>
      </c>
      <c r="H2670" s="16" t="inlineStr">
        <is>
          <t>target=Response body matches schema op=starts-with</t>
        </is>
      </c>
      <c r="I2670" s="16" t="inlineStr">
        <is>
          <t>Pass case: assertion green; actual matches expected per operator. Failure case (separately): red row with clear actual vs expected delta. Operator 'starts-with' applies correct semantics.</t>
        </is>
      </c>
      <c r="J2670" s="16" t="inlineStr"/>
      <c r="K2670" s="16" t="inlineStr">
        <is>
          <t>Not Run</t>
        </is>
      </c>
      <c r="L2670" s="16" t="inlineStr">
        <is>
          <t>Medium</t>
        </is>
      </c>
      <c r="M2670" s="16" t="inlineStr"/>
      <c r="N2670" s="16" t="inlineStr"/>
      <c r="O2670" s="16" t="inlineStr"/>
    </row>
    <row r="2671" ht="72" customHeight="1">
      <c r="A2671" s="16" t="inlineStr">
        <is>
          <t>TC-SC-0119</t>
        </is>
      </c>
      <c r="B2671" s="16" t="inlineStr">
        <is>
          <t>Pre-request Scripts &amp; Tests</t>
        </is>
      </c>
      <c r="C2671" s="16" t="inlineStr">
        <is>
          <t>Assertion Matrix</t>
        </is>
      </c>
      <c r="D2671" s="16" t="inlineStr">
        <is>
          <t>Functional</t>
        </is>
      </c>
      <c r="E2671" s="16" t="inlineStr">
        <is>
          <t>Assertion: Response body matches schema ends-with</t>
        </is>
      </c>
      <c r="F2671" s="16" t="inlineStr">
        <is>
          <t>-</t>
        </is>
      </c>
      <c r="G2671" s="16" t="inlineStr">
        <is>
          <t>1. Add assertion: target='JSON schema validation', operator='ends-with', expected=&lt;a value that should pass&gt;.
2. Send and observe Tests result.</t>
        </is>
      </c>
      <c r="H2671" s="16" t="inlineStr">
        <is>
          <t>target=Response body matches schema op=ends-with</t>
        </is>
      </c>
      <c r="I2671" s="16" t="inlineStr">
        <is>
          <t>Pass case: assertion green; actual matches expected per operator. Failure case (separately): red row with clear actual vs expected delta. Operator 'ends-with' applies correct semantics.</t>
        </is>
      </c>
      <c r="J2671" s="16" t="inlineStr"/>
      <c r="K2671" s="16" t="inlineStr">
        <is>
          <t>Not Run</t>
        </is>
      </c>
      <c r="L2671" s="16" t="inlineStr">
        <is>
          <t>Medium</t>
        </is>
      </c>
      <c r="M2671" s="16" t="inlineStr"/>
      <c r="N2671" s="16" t="inlineStr"/>
      <c r="O2671" s="16" t="inlineStr"/>
    </row>
    <row r="2672" ht="72" customHeight="1">
      <c r="A2672" s="16" t="inlineStr">
        <is>
          <t>TC-SC-0120</t>
        </is>
      </c>
      <c r="B2672" s="16" t="inlineStr">
        <is>
          <t>Pre-request Scripts &amp; Tests</t>
        </is>
      </c>
      <c r="C2672" s="16" t="inlineStr">
        <is>
          <t>Assertion Matrix</t>
        </is>
      </c>
      <c r="D2672" s="16" t="inlineStr">
        <is>
          <t>Functional</t>
        </is>
      </c>
      <c r="E2672" s="16" t="inlineStr">
        <is>
          <t>Assertion: Response body matches schema matches (regex)</t>
        </is>
      </c>
      <c r="F2672" s="16" t="inlineStr">
        <is>
          <t>-</t>
        </is>
      </c>
      <c r="G2672" s="16" t="inlineStr">
        <is>
          <t>1. Add assertion: target='JSON schema validation', operator='matches (regex)', expected=&lt;a value that should pass&gt;.
2. Send and observe Tests result.</t>
        </is>
      </c>
      <c r="H2672" s="16" t="inlineStr">
        <is>
          <t>target=Response body matches schema op=matches (regex)</t>
        </is>
      </c>
      <c r="I2672" s="16" t="inlineStr">
        <is>
          <t>Pass case: assertion green; actual matches expected per operator. Failure case (separately): red row with clear actual vs expected delta. Operator 'matches (regex)' applies correct semantics.</t>
        </is>
      </c>
      <c r="J2672" s="16" t="inlineStr"/>
      <c r="K2672" s="16" t="inlineStr">
        <is>
          <t>Not Run</t>
        </is>
      </c>
      <c r="L2672" s="16" t="inlineStr">
        <is>
          <t>Medium</t>
        </is>
      </c>
      <c r="M2672" s="16" t="inlineStr"/>
      <c r="N2672" s="16" t="inlineStr"/>
      <c r="O2672" s="16" t="inlineStr"/>
    </row>
    <row r="2673" ht="72" customHeight="1">
      <c r="A2673" s="16" t="inlineStr">
        <is>
          <t>TC-SC-0121</t>
        </is>
      </c>
      <c r="B2673" s="16" t="inlineStr">
        <is>
          <t>Pre-request Scripts &amp; Tests</t>
        </is>
      </c>
      <c r="C2673" s="16" t="inlineStr">
        <is>
          <t>Assertion Matrix</t>
        </is>
      </c>
      <c r="D2673" s="16" t="inlineStr">
        <is>
          <t>Functional</t>
        </is>
      </c>
      <c r="E2673" s="16" t="inlineStr">
        <is>
          <t>Assertion: Response body matches schema lt</t>
        </is>
      </c>
      <c r="F2673" s="16" t="inlineStr">
        <is>
          <t>-</t>
        </is>
      </c>
      <c r="G2673" s="16" t="inlineStr">
        <is>
          <t>1. Add assertion: target='JSON schema validation', operator='lt', expected=&lt;a value that should pass&gt;.
2. Send and observe Tests result.</t>
        </is>
      </c>
      <c r="H2673" s="16" t="inlineStr">
        <is>
          <t>target=Response body matches schema op=lt</t>
        </is>
      </c>
      <c r="I2673" s="16" t="inlineStr">
        <is>
          <t>Pass case: assertion green; actual matches expected per operator. Failure case (separately): red row with clear actual vs expected delta. Operator 'lt' applies correct semantics.</t>
        </is>
      </c>
      <c r="J2673" s="16" t="inlineStr"/>
      <c r="K2673" s="16" t="inlineStr">
        <is>
          <t>Not Run</t>
        </is>
      </c>
      <c r="L2673" s="16" t="inlineStr">
        <is>
          <t>Medium</t>
        </is>
      </c>
      <c r="M2673" s="16" t="inlineStr"/>
      <c r="N2673" s="16" t="inlineStr"/>
      <c r="O2673" s="16" t="inlineStr"/>
    </row>
    <row r="2674" ht="72" customHeight="1">
      <c r="A2674" s="16" t="inlineStr">
        <is>
          <t>TC-SC-0122</t>
        </is>
      </c>
      <c r="B2674" s="16" t="inlineStr">
        <is>
          <t>Pre-request Scripts &amp; Tests</t>
        </is>
      </c>
      <c r="C2674" s="16" t="inlineStr">
        <is>
          <t>Assertion Matrix</t>
        </is>
      </c>
      <c r="D2674" s="16" t="inlineStr">
        <is>
          <t>Functional</t>
        </is>
      </c>
      <c r="E2674" s="16" t="inlineStr">
        <is>
          <t>Assertion: Response body matches schema lte</t>
        </is>
      </c>
      <c r="F2674" s="16" t="inlineStr">
        <is>
          <t>-</t>
        </is>
      </c>
      <c r="G2674" s="16" t="inlineStr">
        <is>
          <t>1. Add assertion: target='JSON schema validation', operator='lte', expected=&lt;a value that should pass&gt;.
2. Send and observe Tests result.</t>
        </is>
      </c>
      <c r="H2674" s="16" t="inlineStr">
        <is>
          <t>target=Response body matches schema op=lte</t>
        </is>
      </c>
      <c r="I2674" s="16" t="inlineStr">
        <is>
          <t>Pass case: assertion green; actual matches expected per operator. Failure case (separately): red row with clear actual vs expected delta. Operator 'lte' applies correct semantics.</t>
        </is>
      </c>
      <c r="J2674" s="16" t="inlineStr"/>
      <c r="K2674" s="16" t="inlineStr">
        <is>
          <t>Not Run</t>
        </is>
      </c>
      <c r="L2674" s="16" t="inlineStr">
        <is>
          <t>Medium</t>
        </is>
      </c>
      <c r="M2674" s="16" t="inlineStr"/>
      <c r="N2674" s="16" t="inlineStr"/>
      <c r="O2674" s="16" t="inlineStr"/>
    </row>
    <row r="2675" ht="72" customHeight="1">
      <c r="A2675" s="16" t="inlineStr">
        <is>
          <t>TC-SC-0123</t>
        </is>
      </c>
      <c r="B2675" s="16" t="inlineStr">
        <is>
          <t>Pre-request Scripts &amp; Tests</t>
        </is>
      </c>
      <c r="C2675" s="16" t="inlineStr">
        <is>
          <t>Assertion Matrix</t>
        </is>
      </c>
      <c r="D2675" s="16" t="inlineStr">
        <is>
          <t>Functional</t>
        </is>
      </c>
      <c r="E2675" s="16" t="inlineStr">
        <is>
          <t>Assertion: Response body matches schema gt</t>
        </is>
      </c>
      <c r="F2675" s="16" t="inlineStr">
        <is>
          <t>-</t>
        </is>
      </c>
      <c r="G2675" s="16" t="inlineStr">
        <is>
          <t>1. Add assertion: target='JSON schema validation', operator='gt', expected=&lt;a value that should pass&gt;.
2. Send and observe Tests result.</t>
        </is>
      </c>
      <c r="H2675" s="16" t="inlineStr">
        <is>
          <t>target=Response body matches schema op=gt</t>
        </is>
      </c>
      <c r="I2675" s="16" t="inlineStr">
        <is>
          <t>Pass case: assertion green; actual matches expected per operator. Failure case (separately): red row with clear actual vs expected delta. Operator 'gt' applies correct semantics.</t>
        </is>
      </c>
      <c r="J2675" s="16" t="inlineStr"/>
      <c r="K2675" s="16" t="inlineStr">
        <is>
          <t>Not Run</t>
        </is>
      </c>
      <c r="L2675" s="16" t="inlineStr">
        <is>
          <t>Medium</t>
        </is>
      </c>
      <c r="M2675" s="16" t="inlineStr"/>
      <c r="N2675" s="16" t="inlineStr"/>
      <c r="O2675" s="16" t="inlineStr"/>
    </row>
    <row r="2676" ht="72" customHeight="1">
      <c r="A2676" s="16" t="inlineStr">
        <is>
          <t>TC-SC-0124</t>
        </is>
      </c>
      <c r="B2676" s="16" t="inlineStr">
        <is>
          <t>Pre-request Scripts &amp; Tests</t>
        </is>
      </c>
      <c r="C2676" s="16" t="inlineStr">
        <is>
          <t>Assertion Matrix</t>
        </is>
      </c>
      <c r="D2676" s="16" t="inlineStr">
        <is>
          <t>Functional</t>
        </is>
      </c>
      <c r="E2676" s="16" t="inlineStr">
        <is>
          <t>Assertion: Response body matches schema gte</t>
        </is>
      </c>
      <c r="F2676" s="16" t="inlineStr">
        <is>
          <t>-</t>
        </is>
      </c>
      <c r="G2676" s="16" t="inlineStr">
        <is>
          <t>1. Add assertion: target='JSON schema validation', operator='gte', expected=&lt;a value that should pass&gt;.
2. Send and observe Tests result.</t>
        </is>
      </c>
      <c r="H2676" s="16" t="inlineStr">
        <is>
          <t>target=Response body matches schema op=gte</t>
        </is>
      </c>
      <c r="I2676" s="16" t="inlineStr">
        <is>
          <t>Pass case: assertion green; actual matches expected per operator. Failure case (separately): red row with clear actual vs expected delta. Operator 'gte' applies correct semantics.</t>
        </is>
      </c>
      <c r="J2676" s="16" t="inlineStr"/>
      <c r="K2676" s="16" t="inlineStr">
        <is>
          <t>Not Run</t>
        </is>
      </c>
      <c r="L2676" s="16" t="inlineStr">
        <is>
          <t>Medium</t>
        </is>
      </c>
      <c r="M2676" s="16" t="inlineStr"/>
      <c r="N2676" s="16" t="inlineStr"/>
      <c r="O2676" s="16" t="inlineStr"/>
    </row>
    <row r="2677" ht="72" customHeight="1">
      <c r="A2677" s="16" t="inlineStr">
        <is>
          <t>TC-SC-0125</t>
        </is>
      </c>
      <c r="B2677" s="16" t="inlineStr">
        <is>
          <t>Pre-request Scripts &amp; Tests</t>
        </is>
      </c>
      <c r="C2677" s="16" t="inlineStr">
        <is>
          <t>Assertion Matrix</t>
        </is>
      </c>
      <c r="D2677" s="16" t="inlineStr">
        <is>
          <t>Functional</t>
        </is>
      </c>
      <c r="E2677" s="16" t="inlineStr">
        <is>
          <t>Assertion: Response body matches schema exists</t>
        </is>
      </c>
      <c r="F2677" s="16" t="inlineStr">
        <is>
          <t>-</t>
        </is>
      </c>
      <c r="G2677" s="16" t="inlineStr">
        <is>
          <t>1. Add assertion: target='JSON schema validation', operator='exists', expected=&lt;a value that should pass&gt;.
2. Send and observe Tests result.</t>
        </is>
      </c>
      <c r="H2677" s="16" t="inlineStr">
        <is>
          <t>target=Response body matches schema op=exists</t>
        </is>
      </c>
      <c r="I2677" s="16" t="inlineStr">
        <is>
          <t>Pass case: assertion green; actual matches expected per operator. Failure case (separately): red row with clear actual vs expected delta. Operator 'exists' applies correct semantics.</t>
        </is>
      </c>
      <c r="J2677" s="16" t="inlineStr"/>
      <c r="K2677" s="16" t="inlineStr">
        <is>
          <t>Not Run</t>
        </is>
      </c>
      <c r="L2677" s="16" t="inlineStr">
        <is>
          <t>Medium</t>
        </is>
      </c>
      <c r="M2677" s="16" t="inlineStr"/>
      <c r="N2677" s="16" t="inlineStr"/>
      <c r="O2677" s="16" t="inlineStr"/>
    </row>
    <row r="2678" ht="72" customHeight="1">
      <c r="A2678" s="16" t="inlineStr">
        <is>
          <t>TC-SC-0126</t>
        </is>
      </c>
      <c r="B2678" s="16" t="inlineStr">
        <is>
          <t>Pre-request Scripts &amp; Tests</t>
        </is>
      </c>
      <c r="C2678" s="16" t="inlineStr">
        <is>
          <t>Assertion Matrix</t>
        </is>
      </c>
      <c r="D2678" s="16" t="inlineStr">
        <is>
          <t>Functional</t>
        </is>
      </c>
      <c r="E2678" s="16" t="inlineStr">
        <is>
          <t>Assertion: Response body matches schema not-exists</t>
        </is>
      </c>
      <c r="F2678" s="16" t="inlineStr">
        <is>
          <t>-</t>
        </is>
      </c>
      <c r="G2678" s="16" t="inlineStr">
        <is>
          <t>1. Add assertion: target='JSON schema validation', operator='not-exists', expected=&lt;a value that should pass&gt;.
2. Send and observe Tests result.</t>
        </is>
      </c>
      <c r="H2678" s="16" t="inlineStr">
        <is>
          <t>target=Response body matches schema op=not-exists</t>
        </is>
      </c>
      <c r="I2678" s="16" t="inlineStr">
        <is>
          <t>Pass case: assertion green; actual matches expected per operator. Failure case (separately): red row with clear actual vs expected delta. Operator 'not-exists' applies correct semantics.</t>
        </is>
      </c>
      <c r="J2678" s="16" t="inlineStr"/>
      <c r="K2678" s="16" t="inlineStr">
        <is>
          <t>Not Run</t>
        </is>
      </c>
      <c r="L2678" s="16" t="inlineStr">
        <is>
          <t>Medium</t>
        </is>
      </c>
      <c r="M2678" s="16" t="inlineStr"/>
      <c r="N2678" s="16" t="inlineStr"/>
      <c r="O2678" s="16" t="inlineStr"/>
    </row>
    <row r="2679" ht="72" customHeight="1">
      <c r="A2679" s="16" t="inlineStr">
        <is>
          <t>TC-SC-0127</t>
        </is>
      </c>
      <c r="B2679" s="16" t="inlineStr">
        <is>
          <t>Pre-request Scripts &amp; Tests</t>
        </is>
      </c>
      <c r="C2679" s="16" t="inlineStr">
        <is>
          <t>Assertion Matrix</t>
        </is>
      </c>
      <c r="D2679" s="16" t="inlineStr">
        <is>
          <t>Functional</t>
        </is>
      </c>
      <c r="E2679" s="16" t="inlineStr">
        <is>
          <t>Assertion: Response body matches schema is-type (string/number/boolean/null/array/object)</t>
        </is>
      </c>
      <c r="F2679" s="16" t="inlineStr">
        <is>
          <t>-</t>
        </is>
      </c>
      <c r="G2679" s="16" t="inlineStr">
        <is>
          <t>1. Add assertion: target='JSON schema validation', operator='is-type (string/number/boolean/null/array/object)', expected=&lt;a value that should pass&gt;.
2. Send and observe Tests result.</t>
        </is>
      </c>
      <c r="H2679" s="16" t="inlineStr">
        <is>
          <t>target=Response body matches schema op=is-type (string/number/boolean/null/array/object)</t>
        </is>
      </c>
      <c r="I2679" s="16" t="inlineStr">
        <is>
          <t>Pass case: assertion green; actual matches expected per operator. Failure case (separately): red row with clear actual vs expected delta. Operator 'is-type (string/number/boolean/null/array/object)' applies correct semantics.</t>
        </is>
      </c>
      <c r="J2679" s="16" t="inlineStr"/>
      <c r="K2679" s="16" t="inlineStr">
        <is>
          <t>Not Run</t>
        </is>
      </c>
      <c r="L2679" s="16" t="inlineStr">
        <is>
          <t>Medium</t>
        </is>
      </c>
      <c r="M2679" s="16" t="inlineStr"/>
      <c r="N2679" s="16" t="inlineStr"/>
      <c r="O2679" s="16" t="inlineStr"/>
    </row>
    <row r="2680" ht="72" customHeight="1">
      <c r="A2680" s="16" t="inlineStr">
        <is>
          <t>TC-SC-0128</t>
        </is>
      </c>
      <c r="B2680" s="16" t="inlineStr">
        <is>
          <t>Pre-request Scripts &amp; Tests</t>
        </is>
      </c>
      <c r="C2680" s="16" t="inlineStr">
        <is>
          <t>Assertion Matrix</t>
        </is>
      </c>
      <c r="D2680" s="16" t="inlineStr">
        <is>
          <t>Functional</t>
        </is>
      </c>
      <c r="E2680" s="16" t="inlineStr">
        <is>
          <t>Assertion: Response body matches schema length-equals</t>
        </is>
      </c>
      <c r="F2680" s="16" t="inlineStr">
        <is>
          <t>-</t>
        </is>
      </c>
      <c r="G2680" s="16" t="inlineStr">
        <is>
          <t>1. Add assertion: target='JSON schema validation', operator='length-equals', expected=&lt;a value that should pass&gt;.
2. Send and observe Tests result.</t>
        </is>
      </c>
      <c r="H2680" s="16" t="inlineStr">
        <is>
          <t>target=Response body matches schema op=length-equals</t>
        </is>
      </c>
      <c r="I2680" s="16" t="inlineStr">
        <is>
          <t>Pass case: assertion green; actual matches expected per operator. Failure case (separately): red row with clear actual vs expected delta. Operator 'length-equals' applies correct semantics.</t>
        </is>
      </c>
      <c r="J2680" s="16" t="inlineStr"/>
      <c r="K2680" s="16" t="inlineStr">
        <is>
          <t>Not Run</t>
        </is>
      </c>
      <c r="L2680" s="16" t="inlineStr">
        <is>
          <t>Medium</t>
        </is>
      </c>
      <c r="M2680" s="16" t="inlineStr"/>
      <c r="N2680" s="16" t="inlineStr"/>
      <c r="O2680" s="16" t="inlineStr"/>
    </row>
    <row r="2681" ht="72" customHeight="1">
      <c r="A2681" s="16" t="inlineStr">
        <is>
          <t>TC-SC-0129</t>
        </is>
      </c>
      <c r="B2681" s="16" t="inlineStr">
        <is>
          <t>Pre-request Scripts &amp; Tests</t>
        </is>
      </c>
      <c r="C2681" s="16" t="inlineStr">
        <is>
          <t>Assertion Matrix</t>
        </is>
      </c>
      <c r="D2681" s="16" t="inlineStr">
        <is>
          <t>Functional</t>
        </is>
      </c>
      <c r="E2681" s="16" t="inlineStr">
        <is>
          <t>Assertion: Response body matches schema length-gt</t>
        </is>
      </c>
      <c r="F2681" s="16" t="inlineStr">
        <is>
          <t>-</t>
        </is>
      </c>
      <c r="G2681" s="16" t="inlineStr">
        <is>
          <t>1. Add assertion: target='JSON schema validation', operator='length-gt', expected=&lt;a value that should pass&gt;.
2. Send and observe Tests result.</t>
        </is>
      </c>
      <c r="H2681" s="16" t="inlineStr">
        <is>
          <t>target=Response body matches schema op=length-gt</t>
        </is>
      </c>
      <c r="I2681" s="16" t="inlineStr">
        <is>
          <t>Pass case: assertion green; actual matches expected per operator. Failure case (separately): red row with clear actual vs expected delta. Operator 'length-gt' applies correct semantics.</t>
        </is>
      </c>
      <c r="J2681" s="16" t="inlineStr"/>
      <c r="K2681" s="16" t="inlineStr">
        <is>
          <t>Not Run</t>
        </is>
      </c>
      <c r="L2681" s="16" t="inlineStr">
        <is>
          <t>Medium</t>
        </is>
      </c>
      <c r="M2681" s="16" t="inlineStr"/>
      <c r="N2681" s="16" t="inlineStr"/>
      <c r="O2681" s="16" t="inlineStr"/>
    </row>
    <row r="2682" ht="72" customHeight="1">
      <c r="A2682" s="16" t="inlineStr">
        <is>
          <t>TC-SC-0130</t>
        </is>
      </c>
      <c r="B2682" s="16" t="inlineStr">
        <is>
          <t>Pre-request Scripts &amp; Tests</t>
        </is>
      </c>
      <c r="C2682" s="16" t="inlineStr">
        <is>
          <t>Assertion Matrix</t>
        </is>
      </c>
      <c r="D2682" s="16" t="inlineStr">
        <is>
          <t>Functional</t>
        </is>
      </c>
      <c r="E2682" s="16" t="inlineStr">
        <is>
          <t>Assertion: Response body matches schema length-lt</t>
        </is>
      </c>
      <c r="F2682" s="16" t="inlineStr">
        <is>
          <t>-</t>
        </is>
      </c>
      <c r="G2682" s="16" t="inlineStr">
        <is>
          <t>1. Add assertion: target='JSON schema validation', operator='length-lt', expected=&lt;a value that should pass&gt;.
2. Send and observe Tests result.</t>
        </is>
      </c>
      <c r="H2682" s="16" t="inlineStr">
        <is>
          <t>target=Response body matches schema op=length-lt</t>
        </is>
      </c>
      <c r="I2682" s="16" t="inlineStr">
        <is>
          <t>Pass case: assertion green; actual matches expected per operator. Failure case (separately): red row with clear actual vs expected delta. Operator 'length-lt' applies correct semantics.</t>
        </is>
      </c>
      <c r="J2682" s="16" t="inlineStr"/>
      <c r="K2682" s="16" t="inlineStr">
        <is>
          <t>Not Run</t>
        </is>
      </c>
      <c r="L2682" s="16" t="inlineStr">
        <is>
          <t>Medium</t>
        </is>
      </c>
      <c r="M2682" s="16" t="inlineStr"/>
      <c r="N2682" s="16" t="inlineStr"/>
      <c r="O2682" s="16" t="inlineStr"/>
    </row>
    <row r="2683" ht="72" customHeight="1">
      <c r="A2683" s="16" t="inlineStr">
        <is>
          <t>TC-SC-0131</t>
        </is>
      </c>
      <c r="B2683" s="16" t="inlineStr">
        <is>
          <t>Pre-request Scripts &amp; Tests</t>
        </is>
      </c>
      <c r="C2683" s="16" t="inlineStr">
        <is>
          <t>Assertion Matrix</t>
        </is>
      </c>
      <c r="D2683" s="16" t="inlineStr">
        <is>
          <t>Functional</t>
        </is>
      </c>
      <c r="E2683" s="16" t="inlineStr">
        <is>
          <t>Assertion: Cookie value equals</t>
        </is>
      </c>
      <c r="F2683" s="16" t="inlineStr">
        <is>
          <t>-</t>
        </is>
      </c>
      <c r="G2683" s="16" t="inlineStr">
        <is>
          <t>1. Add assertion: target='cookie 'session'', operator='equals', expected=&lt;a value that should pass&gt;.
2. Send and observe Tests result.</t>
        </is>
      </c>
      <c r="H2683" s="16" t="inlineStr">
        <is>
          <t>target=Cookie value op=equals</t>
        </is>
      </c>
      <c r="I2683" s="16" t="inlineStr">
        <is>
          <t>Pass case: assertion green; actual matches expected per operator. Failure case (separately): red row with clear actual vs expected delta. Operator 'equals' applies correct semantics.</t>
        </is>
      </c>
      <c r="J2683" s="16" t="inlineStr"/>
      <c r="K2683" s="16" t="inlineStr">
        <is>
          <t>Not Run</t>
        </is>
      </c>
      <c r="L2683" s="16" t="inlineStr">
        <is>
          <t>Medium</t>
        </is>
      </c>
      <c r="M2683" s="16" t="inlineStr"/>
      <c r="N2683" s="16" t="inlineStr"/>
      <c r="O2683" s="16" t="inlineStr"/>
    </row>
    <row r="2684" ht="72" customHeight="1">
      <c r="A2684" s="16" t="inlineStr">
        <is>
          <t>TC-SC-0132</t>
        </is>
      </c>
      <c r="B2684" s="16" t="inlineStr">
        <is>
          <t>Pre-request Scripts &amp; Tests</t>
        </is>
      </c>
      <c r="C2684" s="16" t="inlineStr">
        <is>
          <t>Assertion Matrix</t>
        </is>
      </c>
      <c r="D2684" s="16" t="inlineStr">
        <is>
          <t>Functional</t>
        </is>
      </c>
      <c r="E2684" s="16" t="inlineStr">
        <is>
          <t>Assertion: Cookie value not-equals</t>
        </is>
      </c>
      <c r="F2684" s="16" t="inlineStr">
        <is>
          <t>-</t>
        </is>
      </c>
      <c r="G2684" s="16" t="inlineStr">
        <is>
          <t>1. Add assertion: target='cookie 'session'', operator='not-equals', expected=&lt;a value that should pass&gt;.
2. Send and observe Tests result.</t>
        </is>
      </c>
      <c r="H2684" s="16" t="inlineStr">
        <is>
          <t>target=Cookie value op=not-equals</t>
        </is>
      </c>
      <c r="I2684" s="16" t="inlineStr">
        <is>
          <t>Pass case: assertion green; actual matches expected per operator. Failure case (separately): red row with clear actual vs expected delta. Operator 'not-equals' applies correct semantics.</t>
        </is>
      </c>
      <c r="J2684" s="16" t="inlineStr"/>
      <c r="K2684" s="16" t="inlineStr">
        <is>
          <t>Not Run</t>
        </is>
      </c>
      <c r="L2684" s="16" t="inlineStr">
        <is>
          <t>Medium</t>
        </is>
      </c>
      <c r="M2684" s="16" t="inlineStr"/>
      <c r="N2684" s="16" t="inlineStr"/>
      <c r="O2684" s="16" t="inlineStr"/>
    </row>
    <row r="2685" ht="72" customHeight="1">
      <c r="A2685" s="16" t="inlineStr">
        <is>
          <t>TC-SC-0133</t>
        </is>
      </c>
      <c r="B2685" s="16" t="inlineStr">
        <is>
          <t>Pre-request Scripts &amp; Tests</t>
        </is>
      </c>
      <c r="C2685" s="16" t="inlineStr">
        <is>
          <t>Assertion Matrix</t>
        </is>
      </c>
      <c r="D2685" s="16" t="inlineStr">
        <is>
          <t>Functional</t>
        </is>
      </c>
      <c r="E2685" s="16" t="inlineStr">
        <is>
          <t>Assertion: Cookie value contains</t>
        </is>
      </c>
      <c r="F2685" s="16" t="inlineStr">
        <is>
          <t>-</t>
        </is>
      </c>
      <c r="G2685" s="16" t="inlineStr">
        <is>
          <t>1. Add assertion: target='cookie 'session'', operator='contains', expected=&lt;a value that should pass&gt;.
2. Send and observe Tests result.</t>
        </is>
      </c>
      <c r="H2685" s="16" t="inlineStr">
        <is>
          <t>target=Cookie value op=contains</t>
        </is>
      </c>
      <c r="I2685" s="16" t="inlineStr">
        <is>
          <t>Pass case: assertion green; actual matches expected per operator. Failure case (separately): red row with clear actual vs expected delta. Operator 'contains' applies correct semantics.</t>
        </is>
      </c>
      <c r="J2685" s="16" t="inlineStr"/>
      <c r="K2685" s="16" t="inlineStr">
        <is>
          <t>Not Run</t>
        </is>
      </c>
      <c r="L2685" s="16" t="inlineStr">
        <is>
          <t>Medium</t>
        </is>
      </c>
      <c r="M2685" s="16" t="inlineStr"/>
      <c r="N2685" s="16" t="inlineStr"/>
      <c r="O2685" s="16" t="inlineStr"/>
    </row>
    <row r="2686" ht="72" customHeight="1">
      <c r="A2686" s="16" t="inlineStr">
        <is>
          <t>TC-SC-0134</t>
        </is>
      </c>
      <c r="B2686" s="16" t="inlineStr">
        <is>
          <t>Pre-request Scripts &amp; Tests</t>
        </is>
      </c>
      <c r="C2686" s="16" t="inlineStr">
        <is>
          <t>Assertion Matrix</t>
        </is>
      </c>
      <c r="D2686" s="16" t="inlineStr">
        <is>
          <t>Functional</t>
        </is>
      </c>
      <c r="E2686" s="16" t="inlineStr">
        <is>
          <t>Assertion: Cookie value not-contains</t>
        </is>
      </c>
      <c r="F2686" s="16" t="inlineStr">
        <is>
          <t>-</t>
        </is>
      </c>
      <c r="G2686" s="16" t="inlineStr">
        <is>
          <t>1. Add assertion: target='cookie 'session'', operator='not-contains', expected=&lt;a value that should pass&gt;.
2. Send and observe Tests result.</t>
        </is>
      </c>
      <c r="H2686" s="16" t="inlineStr">
        <is>
          <t>target=Cookie value op=not-contains</t>
        </is>
      </c>
      <c r="I2686" s="16" t="inlineStr">
        <is>
          <t>Pass case: assertion green; actual matches expected per operator. Failure case (separately): red row with clear actual vs expected delta. Operator 'not-contains' applies correct semantics.</t>
        </is>
      </c>
      <c r="J2686" s="16" t="inlineStr"/>
      <c r="K2686" s="16" t="inlineStr">
        <is>
          <t>Not Run</t>
        </is>
      </c>
      <c r="L2686" s="16" t="inlineStr">
        <is>
          <t>Medium</t>
        </is>
      </c>
      <c r="M2686" s="16" t="inlineStr"/>
      <c r="N2686" s="16" t="inlineStr"/>
      <c r="O2686" s="16" t="inlineStr"/>
    </row>
    <row r="2687" ht="72" customHeight="1">
      <c r="A2687" s="16" t="inlineStr">
        <is>
          <t>TC-SC-0135</t>
        </is>
      </c>
      <c r="B2687" s="16" t="inlineStr">
        <is>
          <t>Pre-request Scripts &amp; Tests</t>
        </is>
      </c>
      <c r="C2687" s="16" t="inlineStr">
        <is>
          <t>Assertion Matrix</t>
        </is>
      </c>
      <c r="D2687" s="16" t="inlineStr">
        <is>
          <t>Functional</t>
        </is>
      </c>
      <c r="E2687" s="16" t="inlineStr">
        <is>
          <t>Assertion: Cookie value starts-with</t>
        </is>
      </c>
      <c r="F2687" s="16" t="inlineStr">
        <is>
          <t>-</t>
        </is>
      </c>
      <c r="G2687" s="16" t="inlineStr">
        <is>
          <t>1. Add assertion: target='cookie 'session'', operator='starts-with', expected=&lt;a value that should pass&gt;.
2. Send and observe Tests result.</t>
        </is>
      </c>
      <c r="H2687" s="16" t="inlineStr">
        <is>
          <t>target=Cookie value op=starts-with</t>
        </is>
      </c>
      <c r="I2687" s="16" t="inlineStr">
        <is>
          <t>Pass case: assertion green; actual matches expected per operator. Failure case (separately): red row with clear actual vs expected delta. Operator 'starts-with' applies correct semantics.</t>
        </is>
      </c>
      <c r="J2687" s="16" t="inlineStr"/>
      <c r="K2687" s="16" t="inlineStr">
        <is>
          <t>Not Run</t>
        </is>
      </c>
      <c r="L2687" s="16" t="inlineStr">
        <is>
          <t>Medium</t>
        </is>
      </c>
      <c r="M2687" s="16" t="inlineStr"/>
      <c r="N2687" s="16" t="inlineStr"/>
      <c r="O2687" s="16" t="inlineStr"/>
    </row>
    <row r="2688" ht="72" customHeight="1">
      <c r="A2688" s="16" t="inlineStr">
        <is>
          <t>TC-SC-0136</t>
        </is>
      </c>
      <c r="B2688" s="16" t="inlineStr">
        <is>
          <t>Pre-request Scripts &amp; Tests</t>
        </is>
      </c>
      <c r="C2688" s="16" t="inlineStr">
        <is>
          <t>Assertion Matrix</t>
        </is>
      </c>
      <c r="D2688" s="16" t="inlineStr">
        <is>
          <t>Functional</t>
        </is>
      </c>
      <c r="E2688" s="16" t="inlineStr">
        <is>
          <t>Assertion: Cookie value ends-with</t>
        </is>
      </c>
      <c r="F2688" s="16" t="inlineStr">
        <is>
          <t>-</t>
        </is>
      </c>
      <c r="G2688" s="16" t="inlineStr">
        <is>
          <t>1. Add assertion: target='cookie 'session'', operator='ends-with', expected=&lt;a value that should pass&gt;.
2. Send and observe Tests result.</t>
        </is>
      </c>
      <c r="H2688" s="16" t="inlineStr">
        <is>
          <t>target=Cookie value op=ends-with</t>
        </is>
      </c>
      <c r="I2688" s="16" t="inlineStr">
        <is>
          <t>Pass case: assertion green; actual matches expected per operator. Failure case (separately): red row with clear actual vs expected delta. Operator 'ends-with' applies correct semantics.</t>
        </is>
      </c>
      <c r="J2688" s="16" t="inlineStr"/>
      <c r="K2688" s="16" t="inlineStr">
        <is>
          <t>Not Run</t>
        </is>
      </c>
      <c r="L2688" s="16" t="inlineStr">
        <is>
          <t>Medium</t>
        </is>
      </c>
      <c r="M2688" s="16" t="inlineStr"/>
      <c r="N2688" s="16" t="inlineStr"/>
      <c r="O2688" s="16" t="inlineStr"/>
    </row>
    <row r="2689" ht="72" customHeight="1">
      <c r="A2689" s="16" t="inlineStr">
        <is>
          <t>TC-SC-0137</t>
        </is>
      </c>
      <c r="B2689" s="16" t="inlineStr">
        <is>
          <t>Pre-request Scripts &amp; Tests</t>
        </is>
      </c>
      <c r="C2689" s="16" t="inlineStr">
        <is>
          <t>Assertion Matrix</t>
        </is>
      </c>
      <c r="D2689" s="16" t="inlineStr">
        <is>
          <t>Functional</t>
        </is>
      </c>
      <c r="E2689" s="16" t="inlineStr">
        <is>
          <t>Assertion: Cookie value matches (regex)</t>
        </is>
      </c>
      <c r="F2689" s="16" t="inlineStr">
        <is>
          <t>-</t>
        </is>
      </c>
      <c r="G2689" s="16" t="inlineStr">
        <is>
          <t>1. Add assertion: target='cookie 'session'', operator='matches (regex)', expected=&lt;a value that should pass&gt;.
2. Send and observe Tests result.</t>
        </is>
      </c>
      <c r="H2689" s="16" t="inlineStr">
        <is>
          <t>target=Cookie value op=matches (regex)</t>
        </is>
      </c>
      <c r="I2689" s="16" t="inlineStr">
        <is>
          <t>Pass case: assertion green; actual matches expected per operator. Failure case (separately): red row with clear actual vs expected delta. Operator 'matches (regex)' applies correct semantics.</t>
        </is>
      </c>
      <c r="J2689" s="16" t="inlineStr"/>
      <c r="K2689" s="16" t="inlineStr">
        <is>
          <t>Not Run</t>
        </is>
      </c>
      <c r="L2689" s="16" t="inlineStr">
        <is>
          <t>Medium</t>
        </is>
      </c>
      <c r="M2689" s="16" t="inlineStr"/>
      <c r="N2689" s="16" t="inlineStr"/>
      <c r="O2689" s="16" t="inlineStr"/>
    </row>
    <row r="2690" ht="72" customHeight="1">
      <c r="A2690" s="16" t="inlineStr">
        <is>
          <t>TC-SC-0138</t>
        </is>
      </c>
      <c r="B2690" s="16" t="inlineStr">
        <is>
          <t>Pre-request Scripts &amp; Tests</t>
        </is>
      </c>
      <c r="C2690" s="16" t="inlineStr">
        <is>
          <t>Assertion Matrix</t>
        </is>
      </c>
      <c r="D2690" s="16" t="inlineStr">
        <is>
          <t>Functional</t>
        </is>
      </c>
      <c r="E2690" s="16" t="inlineStr">
        <is>
          <t>Assertion: Cookie value lt</t>
        </is>
      </c>
      <c r="F2690" s="16" t="inlineStr">
        <is>
          <t>-</t>
        </is>
      </c>
      <c r="G2690" s="16" t="inlineStr">
        <is>
          <t>1. Add assertion: target='cookie 'session'', operator='lt', expected=&lt;a value that should pass&gt;.
2. Send and observe Tests result.</t>
        </is>
      </c>
      <c r="H2690" s="16" t="inlineStr">
        <is>
          <t>target=Cookie value op=lt</t>
        </is>
      </c>
      <c r="I2690" s="16" t="inlineStr">
        <is>
          <t>Pass case: assertion green; actual matches expected per operator. Failure case (separately): red row with clear actual vs expected delta. Operator 'lt' applies correct semantics.</t>
        </is>
      </c>
      <c r="J2690" s="16" t="inlineStr"/>
      <c r="K2690" s="16" t="inlineStr">
        <is>
          <t>Not Run</t>
        </is>
      </c>
      <c r="L2690" s="16" t="inlineStr">
        <is>
          <t>Medium</t>
        </is>
      </c>
      <c r="M2690" s="16" t="inlineStr"/>
      <c r="N2690" s="16" t="inlineStr"/>
      <c r="O2690" s="16" t="inlineStr"/>
    </row>
    <row r="2691" ht="72" customHeight="1">
      <c r="A2691" s="16" t="inlineStr">
        <is>
          <t>TC-SC-0139</t>
        </is>
      </c>
      <c r="B2691" s="16" t="inlineStr">
        <is>
          <t>Pre-request Scripts &amp; Tests</t>
        </is>
      </c>
      <c r="C2691" s="16" t="inlineStr">
        <is>
          <t>Assertion Matrix</t>
        </is>
      </c>
      <c r="D2691" s="16" t="inlineStr">
        <is>
          <t>Functional</t>
        </is>
      </c>
      <c r="E2691" s="16" t="inlineStr">
        <is>
          <t>Assertion: Cookie value lte</t>
        </is>
      </c>
      <c r="F2691" s="16" t="inlineStr">
        <is>
          <t>-</t>
        </is>
      </c>
      <c r="G2691" s="16" t="inlineStr">
        <is>
          <t>1. Add assertion: target='cookie 'session'', operator='lte', expected=&lt;a value that should pass&gt;.
2. Send and observe Tests result.</t>
        </is>
      </c>
      <c r="H2691" s="16" t="inlineStr">
        <is>
          <t>target=Cookie value op=lte</t>
        </is>
      </c>
      <c r="I2691" s="16" t="inlineStr">
        <is>
          <t>Pass case: assertion green; actual matches expected per operator. Failure case (separately): red row with clear actual vs expected delta. Operator 'lte' applies correct semantics.</t>
        </is>
      </c>
      <c r="J2691" s="16" t="inlineStr"/>
      <c r="K2691" s="16" t="inlineStr">
        <is>
          <t>Not Run</t>
        </is>
      </c>
      <c r="L2691" s="16" t="inlineStr">
        <is>
          <t>Medium</t>
        </is>
      </c>
      <c r="M2691" s="16" t="inlineStr"/>
      <c r="N2691" s="16" t="inlineStr"/>
      <c r="O2691" s="16" t="inlineStr"/>
    </row>
    <row r="2692" ht="72" customHeight="1">
      <c r="A2692" s="16" t="inlineStr">
        <is>
          <t>TC-SC-0140</t>
        </is>
      </c>
      <c r="B2692" s="16" t="inlineStr">
        <is>
          <t>Pre-request Scripts &amp; Tests</t>
        </is>
      </c>
      <c r="C2692" s="16" t="inlineStr">
        <is>
          <t>Assertion Matrix</t>
        </is>
      </c>
      <c r="D2692" s="16" t="inlineStr">
        <is>
          <t>Functional</t>
        </is>
      </c>
      <c r="E2692" s="16" t="inlineStr">
        <is>
          <t>Assertion: Cookie value gt</t>
        </is>
      </c>
      <c r="F2692" s="16" t="inlineStr">
        <is>
          <t>-</t>
        </is>
      </c>
      <c r="G2692" s="16" t="inlineStr">
        <is>
          <t>1. Add assertion: target='cookie 'session'', operator='gt', expected=&lt;a value that should pass&gt;.
2. Send and observe Tests result.</t>
        </is>
      </c>
      <c r="H2692" s="16" t="inlineStr">
        <is>
          <t>target=Cookie value op=gt</t>
        </is>
      </c>
      <c r="I2692" s="16" t="inlineStr">
        <is>
          <t>Pass case: assertion green; actual matches expected per operator. Failure case (separately): red row with clear actual vs expected delta. Operator 'gt' applies correct semantics.</t>
        </is>
      </c>
      <c r="J2692" s="16" t="inlineStr"/>
      <c r="K2692" s="16" t="inlineStr">
        <is>
          <t>Not Run</t>
        </is>
      </c>
      <c r="L2692" s="16" t="inlineStr">
        <is>
          <t>Medium</t>
        </is>
      </c>
      <c r="M2692" s="16" t="inlineStr"/>
      <c r="N2692" s="16" t="inlineStr"/>
      <c r="O2692" s="16" t="inlineStr"/>
    </row>
    <row r="2693" ht="72" customHeight="1">
      <c r="A2693" s="16" t="inlineStr">
        <is>
          <t>TC-SC-0141</t>
        </is>
      </c>
      <c r="B2693" s="16" t="inlineStr">
        <is>
          <t>Pre-request Scripts &amp; Tests</t>
        </is>
      </c>
      <c r="C2693" s="16" t="inlineStr">
        <is>
          <t>Assertion Matrix</t>
        </is>
      </c>
      <c r="D2693" s="16" t="inlineStr">
        <is>
          <t>Functional</t>
        </is>
      </c>
      <c r="E2693" s="16" t="inlineStr">
        <is>
          <t>Assertion: Cookie value gte</t>
        </is>
      </c>
      <c r="F2693" s="16" t="inlineStr">
        <is>
          <t>-</t>
        </is>
      </c>
      <c r="G2693" s="16" t="inlineStr">
        <is>
          <t>1. Add assertion: target='cookie 'session'', operator='gte', expected=&lt;a value that should pass&gt;.
2. Send and observe Tests result.</t>
        </is>
      </c>
      <c r="H2693" s="16" t="inlineStr">
        <is>
          <t>target=Cookie value op=gte</t>
        </is>
      </c>
      <c r="I2693" s="16" t="inlineStr">
        <is>
          <t>Pass case: assertion green; actual matches expected per operator. Failure case (separately): red row with clear actual vs expected delta. Operator 'gte' applies correct semantics.</t>
        </is>
      </c>
      <c r="J2693" s="16" t="inlineStr"/>
      <c r="K2693" s="16" t="inlineStr">
        <is>
          <t>Not Run</t>
        </is>
      </c>
      <c r="L2693" s="16" t="inlineStr">
        <is>
          <t>Medium</t>
        </is>
      </c>
      <c r="M2693" s="16" t="inlineStr"/>
      <c r="N2693" s="16" t="inlineStr"/>
      <c r="O2693" s="16" t="inlineStr"/>
    </row>
    <row r="2694" ht="72" customHeight="1">
      <c r="A2694" s="16" t="inlineStr">
        <is>
          <t>TC-SC-0142</t>
        </is>
      </c>
      <c r="B2694" s="16" t="inlineStr">
        <is>
          <t>Pre-request Scripts &amp; Tests</t>
        </is>
      </c>
      <c r="C2694" s="16" t="inlineStr">
        <is>
          <t>Assertion Matrix</t>
        </is>
      </c>
      <c r="D2694" s="16" t="inlineStr">
        <is>
          <t>Functional</t>
        </is>
      </c>
      <c r="E2694" s="16" t="inlineStr">
        <is>
          <t>Assertion: Cookie value exists</t>
        </is>
      </c>
      <c r="F2694" s="16" t="inlineStr">
        <is>
          <t>-</t>
        </is>
      </c>
      <c r="G2694" s="16" t="inlineStr">
        <is>
          <t>1. Add assertion: target='cookie 'session'', operator='exists', expected=&lt;a value that should pass&gt;.
2. Send and observe Tests result.</t>
        </is>
      </c>
      <c r="H2694" s="16" t="inlineStr">
        <is>
          <t>target=Cookie value op=exists</t>
        </is>
      </c>
      <c r="I2694" s="16" t="inlineStr">
        <is>
          <t>Pass case: assertion green; actual matches expected per operator. Failure case (separately): red row with clear actual vs expected delta. Operator 'exists' applies correct semantics.</t>
        </is>
      </c>
      <c r="J2694" s="16" t="inlineStr"/>
      <c r="K2694" s="16" t="inlineStr">
        <is>
          <t>Not Run</t>
        </is>
      </c>
      <c r="L2694" s="16" t="inlineStr">
        <is>
          <t>Medium</t>
        </is>
      </c>
      <c r="M2694" s="16" t="inlineStr"/>
      <c r="N2694" s="16" t="inlineStr"/>
      <c r="O2694" s="16" t="inlineStr"/>
    </row>
    <row r="2695" ht="72" customHeight="1">
      <c r="A2695" s="16" t="inlineStr">
        <is>
          <t>TC-SC-0143</t>
        </is>
      </c>
      <c r="B2695" s="16" t="inlineStr">
        <is>
          <t>Pre-request Scripts &amp; Tests</t>
        </is>
      </c>
      <c r="C2695" s="16" t="inlineStr">
        <is>
          <t>Assertion Matrix</t>
        </is>
      </c>
      <c r="D2695" s="16" t="inlineStr">
        <is>
          <t>Functional</t>
        </is>
      </c>
      <c r="E2695" s="16" t="inlineStr">
        <is>
          <t>Assertion: Cookie value not-exists</t>
        </is>
      </c>
      <c r="F2695" s="16" t="inlineStr">
        <is>
          <t>-</t>
        </is>
      </c>
      <c r="G2695" s="16" t="inlineStr">
        <is>
          <t>1. Add assertion: target='cookie 'session'', operator='not-exists', expected=&lt;a value that should pass&gt;.
2. Send and observe Tests result.</t>
        </is>
      </c>
      <c r="H2695" s="16" t="inlineStr">
        <is>
          <t>target=Cookie value op=not-exists</t>
        </is>
      </c>
      <c r="I2695" s="16" t="inlineStr">
        <is>
          <t>Pass case: assertion green; actual matches expected per operator. Failure case (separately): red row with clear actual vs expected delta. Operator 'not-exists' applies correct semantics.</t>
        </is>
      </c>
      <c r="J2695" s="16" t="inlineStr"/>
      <c r="K2695" s="16" t="inlineStr">
        <is>
          <t>Not Run</t>
        </is>
      </c>
      <c r="L2695" s="16" t="inlineStr">
        <is>
          <t>Medium</t>
        </is>
      </c>
      <c r="M2695" s="16" t="inlineStr"/>
      <c r="N2695" s="16" t="inlineStr"/>
      <c r="O2695" s="16" t="inlineStr"/>
    </row>
    <row r="2696" ht="72" customHeight="1">
      <c r="A2696" s="16" t="inlineStr">
        <is>
          <t>TC-SC-0144</t>
        </is>
      </c>
      <c r="B2696" s="16" t="inlineStr">
        <is>
          <t>Pre-request Scripts &amp; Tests</t>
        </is>
      </c>
      <c r="C2696" s="16" t="inlineStr">
        <is>
          <t>Assertion Matrix</t>
        </is>
      </c>
      <c r="D2696" s="16" t="inlineStr">
        <is>
          <t>Functional</t>
        </is>
      </c>
      <c r="E2696" s="16" t="inlineStr">
        <is>
          <t>Assertion: Cookie value is-type (string/number/boolean/null/array/object)</t>
        </is>
      </c>
      <c r="F2696" s="16" t="inlineStr">
        <is>
          <t>-</t>
        </is>
      </c>
      <c r="G2696" s="16" t="inlineStr">
        <is>
          <t>1. Add assertion: target='cookie 'session'', operator='is-type (string/number/boolean/null/array/object)', expected=&lt;a value that should pass&gt;.
2. Send and observe Tests result.</t>
        </is>
      </c>
      <c r="H2696" s="16" t="inlineStr">
        <is>
          <t>target=Cookie value op=is-type (string/number/boolean/null/array/object)</t>
        </is>
      </c>
      <c r="I2696" s="16" t="inlineStr">
        <is>
          <t>Pass case: assertion green; actual matches expected per operator. Failure case (separately): red row with clear actual vs expected delta. Operator 'is-type (string/number/boolean/null/array/object)' applies correct semantics.</t>
        </is>
      </c>
      <c r="J2696" s="16" t="inlineStr"/>
      <c r="K2696" s="16" t="inlineStr">
        <is>
          <t>Not Run</t>
        </is>
      </c>
      <c r="L2696" s="16" t="inlineStr">
        <is>
          <t>Medium</t>
        </is>
      </c>
      <c r="M2696" s="16" t="inlineStr"/>
      <c r="N2696" s="16" t="inlineStr"/>
      <c r="O2696" s="16" t="inlineStr"/>
    </row>
    <row r="2697" ht="72" customHeight="1">
      <c r="A2697" s="16" t="inlineStr">
        <is>
          <t>TC-SC-0145</t>
        </is>
      </c>
      <c r="B2697" s="16" t="inlineStr">
        <is>
          <t>Pre-request Scripts &amp; Tests</t>
        </is>
      </c>
      <c r="C2697" s="16" t="inlineStr">
        <is>
          <t>Assertion Matrix</t>
        </is>
      </c>
      <c r="D2697" s="16" t="inlineStr">
        <is>
          <t>Functional</t>
        </is>
      </c>
      <c r="E2697" s="16" t="inlineStr">
        <is>
          <t>Assertion: Cookie value length-equals</t>
        </is>
      </c>
      <c r="F2697" s="16" t="inlineStr">
        <is>
          <t>-</t>
        </is>
      </c>
      <c r="G2697" s="16" t="inlineStr">
        <is>
          <t>1. Add assertion: target='cookie 'session'', operator='length-equals', expected=&lt;a value that should pass&gt;.
2. Send and observe Tests result.</t>
        </is>
      </c>
      <c r="H2697" s="16" t="inlineStr">
        <is>
          <t>target=Cookie value op=length-equals</t>
        </is>
      </c>
      <c r="I2697" s="16" t="inlineStr">
        <is>
          <t>Pass case: assertion green; actual matches expected per operator. Failure case (separately): red row with clear actual vs expected delta. Operator 'length-equals' applies correct semantics.</t>
        </is>
      </c>
      <c r="J2697" s="16" t="inlineStr"/>
      <c r="K2697" s="16" t="inlineStr">
        <is>
          <t>Not Run</t>
        </is>
      </c>
      <c r="L2697" s="16" t="inlineStr">
        <is>
          <t>Medium</t>
        </is>
      </c>
      <c r="M2697" s="16" t="inlineStr"/>
      <c r="N2697" s="16" t="inlineStr"/>
      <c r="O2697" s="16" t="inlineStr"/>
    </row>
    <row r="2698" ht="72" customHeight="1">
      <c r="A2698" s="16" t="inlineStr">
        <is>
          <t>TC-SC-0146</t>
        </is>
      </c>
      <c r="B2698" s="16" t="inlineStr">
        <is>
          <t>Pre-request Scripts &amp; Tests</t>
        </is>
      </c>
      <c r="C2698" s="16" t="inlineStr">
        <is>
          <t>Assertion Matrix</t>
        </is>
      </c>
      <c r="D2698" s="16" t="inlineStr">
        <is>
          <t>Functional</t>
        </is>
      </c>
      <c r="E2698" s="16" t="inlineStr">
        <is>
          <t>Assertion: Cookie value length-gt</t>
        </is>
      </c>
      <c r="F2698" s="16" t="inlineStr">
        <is>
          <t>-</t>
        </is>
      </c>
      <c r="G2698" s="16" t="inlineStr">
        <is>
          <t>1. Add assertion: target='cookie 'session'', operator='length-gt', expected=&lt;a value that should pass&gt;.
2. Send and observe Tests result.</t>
        </is>
      </c>
      <c r="H2698" s="16" t="inlineStr">
        <is>
          <t>target=Cookie value op=length-gt</t>
        </is>
      </c>
      <c r="I2698" s="16" t="inlineStr">
        <is>
          <t>Pass case: assertion green; actual matches expected per operator. Failure case (separately): red row with clear actual vs expected delta. Operator 'length-gt' applies correct semantics.</t>
        </is>
      </c>
      <c r="J2698" s="16" t="inlineStr"/>
      <c r="K2698" s="16" t="inlineStr">
        <is>
          <t>Not Run</t>
        </is>
      </c>
      <c r="L2698" s="16" t="inlineStr">
        <is>
          <t>Medium</t>
        </is>
      </c>
      <c r="M2698" s="16" t="inlineStr"/>
      <c r="N2698" s="16" t="inlineStr"/>
      <c r="O2698" s="16" t="inlineStr"/>
    </row>
    <row r="2699" ht="72" customHeight="1">
      <c r="A2699" s="16" t="inlineStr">
        <is>
          <t>TC-SC-0147</t>
        </is>
      </c>
      <c r="B2699" s="16" t="inlineStr">
        <is>
          <t>Pre-request Scripts &amp; Tests</t>
        </is>
      </c>
      <c r="C2699" s="16" t="inlineStr">
        <is>
          <t>Assertion Matrix</t>
        </is>
      </c>
      <c r="D2699" s="16" t="inlineStr">
        <is>
          <t>Functional</t>
        </is>
      </c>
      <c r="E2699" s="16" t="inlineStr">
        <is>
          <t>Assertion: Cookie value length-lt</t>
        </is>
      </c>
      <c r="F2699" s="16" t="inlineStr">
        <is>
          <t>-</t>
        </is>
      </c>
      <c r="G2699" s="16" t="inlineStr">
        <is>
          <t>1. Add assertion: target='cookie 'session'', operator='length-lt', expected=&lt;a value that should pass&gt;.
2. Send and observe Tests result.</t>
        </is>
      </c>
      <c r="H2699" s="16" t="inlineStr">
        <is>
          <t>target=Cookie value op=length-lt</t>
        </is>
      </c>
      <c r="I2699" s="16" t="inlineStr">
        <is>
          <t>Pass case: assertion green; actual matches expected per operator. Failure case (separately): red row with clear actual vs expected delta. Operator 'length-lt' applies correct semantics.</t>
        </is>
      </c>
      <c r="J2699" s="16" t="inlineStr"/>
      <c r="K2699" s="16" t="inlineStr">
        <is>
          <t>Not Run</t>
        </is>
      </c>
      <c r="L2699" s="16" t="inlineStr">
        <is>
          <t>Medium</t>
        </is>
      </c>
      <c r="M2699" s="16" t="inlineStr"/>
      <c r="N2699" s="16" t="inlineStr"/>
      <c r="O2699" s="16" t="inlineStr"/>
    </row>
    <row r="2700" ht="72" customHeight="1">
      <c r="A2700" s="16" t="inlineStr">
        <is>
          <t>TC-SC-0148</t>
        </is>
      </c>
      <c r="B2700" s="16" t="inlineStr">
        <is>
          <t>Pre-request Scripts &amp; Tests</t>
        </is>
      </c>
      <c r="C2700" s="16" t="inlineStr">
        <is>
          <t>Script API</t>
        </is>
      </c>
      <c r="D2700" s="16" t="inlineStr">
        <is>
          <t>Functional</t>
        </is>
      </c>
      <c r="E2700" s="16" t="inlineStr">
        <is>
          <t>Script API: pm.variables.set(name, value)</t>
        </is>
      </c>
      <c r="F2700" s="16" t="inlineStr">
        <is>
          <t>-</t>
        </is>
      </c>
      <c r="G2700" s="16" t="inlineStr">
        <is>
          <t>1. Pre-script sets var.
2. Use {{var}} in body.
3. Send.</t>
        </is>
      </c>
      <c r="H2700" s="16" t="inlineStr">
        <is>
          <t>pm.variables.set(name, value)</t>
        </is>
      </c>
      <c r="I2700" s="16" t="inlineStr">
        <is>
          <t>Body uses the set value.</t>
        </is>
      </c>
      <c r="J2700" s="16" t="inlineStr"/>
      <c r="K2700" s="16" t="inlineStr">
        <is>
          <t>Not Run</t>
        </is>
      </c>
      <c r="L2700" s="16" t="inlineStr">
        <is>
          <t>High</t>
        </is>
      </c>
      <c r="M2700" s="16" t="inlineStr"/>
      <c r="N2700" s="16" t="inlineStr"/>
      <c r="O2700" s="16" t="inlineStr"/>
    </row>
    <row r="2701" ht="72" customHeight="1">
      <c r="A2701" s="16" t="inlineStr">
        <is>
          <t>TC-SC-0149</t>
        </is>
      </c>
      <c r="B2701" s="16" t="inlineStr">
        <is>
          <t>Pre-request Scripts &amp; Tests</t>
        </is>
      </c>
      <c r="C2701" s="16" t="inlineStr">
        <is>
          <t>Script API</t>
        </is>
      </c>
      <c r="D2701" s="16" t="inlineStr">
        <is>
          <t>Functional</t>
        </is>
      </c>
      <c r="E2701" s="16" t="inlineStr">
        <is>
          <t>Script API: pm.variables.get(name)</t>
        </is>
      </c>
      <c r="F2701" s="16" t="inlineStr">
        <is>
          <t>-</t>
        </is>
      </c>
      <c r="G2701" s="16" t="inlineStr">
        <is>
          <t>1. Pre-script reads existing var.
2. console.log it.</t>
        </is>
      </c>
      <c r="H2701" s="16" t="inlineStr">
        <is>
          <t>pm.variables.get(name)</t>
        </is>
      </c>
      <c r="I2701" s="16" t="inlineStr">
        <is>
          <t>Logged value matches stored.</t>
        </is>
      </c>
      <c r="J2701" s="16" t="inlineStr"/>
      <c r="K2701" s="16" t="inlineStr">
        <is>
          <t>Not Run</t>
        </is>
      </c>
      <c r="L2701" s="16" t="inlineStr">
        <is>
          <t>High</t>
        </is>
      </c>
      <c r="M2701" s="16" t="inlineStr"/>
      <c r="N2701" s="16" t="inlineStr"/>
      <c r="O2701" s="16" t="inlineStr"/>
    </row>
    <row r="2702" ht="72" customHeight="1">
      <c r="A2702" s="16" t="inlineStr">
        <is>
          <t>TC-SC-0150</t>
        </is>
      </c>
      <c r="B2702" s="16" t="inlineStr">
        <is>
          <t>Pre-request Scripts &amp; Tests</t>
        </is>
      </c>
      <c r="C2702" s="16" t="inlineStr">
        <is>
          <t>Script API</t>
        </is>
      </c>
      <c r="D2702" s="16" t="inlineStr">
        <is>
          <t>Functional</t>
        </is>
      </c>
      <c r="E2702" s="16" t="inlineStr">
        <is>
          <t>Script API: pm.variables.unset(name)</t>
        </is>
      </c>
      <c r="F2702" s="16" t="inlineStr">
        <is>
          <t>-</t>
        </is>
      </c>
      <c r="G2702" s="16" t="inlineStr">
        <is>
          <t>1. Unset; reference {{var}}.</t>
        </is>
      </c>
      <c r="H2702" s="16" t="inlineStr">
        <is>
          <t>pm.variables.unset(name)</t>
        </is>
      </c>
      <c r="I2702" s="16" t="inlineStr">
        <is>
          <t>Resolution empty.</t>
        </is>
      </c>
      <c r="J2702" s="16" t="inlineStr"/>
      <c r="K2702" s="16" t="inlineStr">
        <is>
          <t>Not Run</t>
        </is>
      </c>
      <c r="L2702" s="16" t="inlineStr">
        <is>
          <t>Medium</t>
        </is>
      </c>
      <c r="M2702" s="16" t="inlineStr"/>
      <c r="N2702" s="16" t="inlineStr"/>
      <c r="O2702" s="16" t="inlineStr"/>
    </row>
    <row r="2703" ht="72" customHeight="1">
      <c r="A2703" s="16" t="inlineStr">
        <is>
          <t>TC-SC-0151</t>
        </is>
      </c>
      <c r="B2703" s="16" t="inlineStr">
        <is>
          <t>Pre-request Scripts &amp; Tests</t>
        </is>
      </c>
      <c r="C2703" s="16" t="inlineStr">
        <is>
          <t>Script API</t>
        </is>
      </c>
      <c r="D2703" s="16" t="inlineStr">
        <is>
          <t>Functional</t>
        </is>
      </c>
      <c r="E2703" s="16" t="inlineStr">
        <is>
          <t>Script API: pm.environment.set/get</t>
        </is>
      </c>
      <c r="F2703" s="16" t="inlineStr">
        <is>
          <t>-</t>
        </is>
      </c>
      <c r="G2703" s="16" t="inlineStr">
        <is>
          <t>1. Pre-script reads/writes env.</t>
        </is>
      </c>
      <c r="H2703" s="16" t="inlineStr">
        <is>
          <t>pm.environment.set/get</t>
        </is>
      </c>
      <c r="I2703" s="16" t="inlineStr">
        <is>
          <t>Env updated; reflects in active env panel.</t>
        </is>
      </c>
      <c r="J2703" s="16" t="inlineStr"/>
      <c r="K2703" s="16" t="inlineStr">
        <is>
          <t>Not Run</t>
        </is>
      </c>
      <c r="L2703" s="16" t="inlineStr">
        <is>
          <t>High</t>
        </is>
      </c>
      <c r="M2703" s="16" t="inlineStr"/>
      <c r="N2703" s="16" t="inlineStr"/>
      <c r="O2703" s="16" t="inlineStr"/>
    </row>
    <row r="2704" ht="72" customHeight="1">
      <c r="A2704" s="16" t="inlineStr">
        <is>
          <t>TC-SC-0152</t>
        </is>
      </c>
      <c r="B2704" s="16" t="inlineStr">
        <is>
          <t>Pre-request Scripts &amp; Tests</t>
        </is>
      </c>
      <c r="C2704" s="16" t="inlineStr">
        <is>
          <t>Script API</t>
        </is>
      </c>
      <c r="D2704" s="16" t="inlineStr">
        <is>
          <t>Functional</t>
        </is>
      </c>
      <c r="E2704" s="16" t="inlineStr">
        <is>
          <t>Script API: pm.request.headers.add</t>
        </is>
      </c>
      <c r="F2704" s="16" t="inlineStr">
        <is>
          <t>-</t>
        </is>
      </c>
      <c r="G2704" s="16" t="inlineStr">
        <is>
          <t>1. Pre-script adds header.
2. Send.</t>
        </is>
      </c>
      <c r="H2704" s="16" t="inlineStr">
        <is>
          <t>pm.request.headers.add</t>
        </is>
      </c>
      <c r="I2704" s="16" t="inlineStr">
        <is>
          <t>Header present in outgoing request.</t>
        </is>
      </c>
      <c r="J2704" s="16" t="inlineStr"/>
      <c r="K2704" s="16" t="inlineStr">
        <is>
          <t>Not Run</t>
        </is>
      </c>
      <c r="L2704" s="16" t="inlineStr">
        <is>
          <t>High</t>
        </is>
      </c>
      <c r="M2704" s="16" t="inlineStr"/>
      <c r="N2704" s="16" t="inlineStr"/>
      <c r="O2704" s="16" t="inlineStr"/>
    </row>
    <row r="2705" ht="72" customHeight="1">
      <c r="A2705" s="16" t="inlineStr">
        <is>
          <t>TC-SC-0153</t>
        </is>
      </c>
      <c r="B2705" s="16" t="inlineStr">
        <is>
          <t>Pre-request Scripts &amp; Tests</t>
        </is>
      </c>
      <c r="C2705" s="16" t="inlineStr">
        <is>
          <t>Script API</t>
        </is>
      </c>
      <c r="D2705" s="16" t="inlineStr">
        <is>
          <t>Functional</t>
        </is>
      </c>
      <c r="E2705" s="16" t="inlineStr">
        <is>
          <t>Script API: pm.request.headers.remove</t>
        </is>
      </c>
      <c r="F2705" s="16" t="inlineStr">
        <is>
          <t>-</t>
        </is>
      </c>
      <c r="G2705" s="16" t="inlineStr">
        <is>
          <t>1. Pre-script removes Authorization.
2. Send.</t>
        </is>
      </c>
      <c r="H2705" s="16" t="inlineStr">
        <is>
          <t>pm.request.headers.remove</t>
        </is>
      </c>
      <c r="I2705" s="16" t="inlineStr">
        <is>
          <t>Header not sent (auth disabled by script).</t>
        </is>
      </c>
      <c r="J2705" s="16" t="inlineStr"/>
      <c r="K2705" s="16" t="inlineStr">
        <is>
          <t>Not Run</t>
        </is>
      </c>
      <c r="L2705" s="16" t="inlineStr">
        <is>
          <t>Medium</t>
        </is>
      </c>
      <c r="M2705" s="16" t="inlineStr"/>
      <c r="N2705" s="16" t="inlineStr"/>
      <c r="O2705" s="16" t="inlineStr"/>
    </row>
    <row r="2706" ht="72" customHeight="1">
      <c r="A2706" s="16" t="inlineStr">
        <is>
          <t>TC-SC-0154</t>
        </is>
      </c>
      <c r="B2706" s="16" t="inlineStr">
        <is>
          <t>Pre-request Scripts &amp; Tests</t>
        </is>
      </c>
      <c r="C2706" s="16" t="inlineStr">
        <is>
          <t>Script API</t>
        </is>
      </c>
      <c r="D2706" s="16" t="inlineStr">
        <is>
          <t>Functional</t>
        </is>
      </c>
      <c r="E2706" s="16" t="inlineStr">
        <is>
          <t>Script API: pm.request.url.set</t>
        </is>
      </c>
      <c r="F2706" s="16" t="inlineStr">
        <is>
          <t>-</t>
        </is>
      </c>
      <c r="G2706" s="16" t="inlineStr">
        <is>
          <t>1. Pre-script overrides URL.
2. Send.</t>
        </is>
      </c>
      <c r="H2706" s="16" t="inlineStr">
        <is>
          <t>pm.request.url.set</t>
        </is>
      </c>
      <c r="I2706" s="16" t="inlineStr">
        <is>
          <t>Modified URL used.</t>
        </is>
      </c>
      <c r="J2706" s="16" t="inlineStr"/>
      <c r="K2706" s="16" t="inlineStr">
        <is>
          <t>Not Run</t>
        </is>
      </c>
      <c r="L2706" s="16" t="inlineStr">
        <is>
          <t>High</t>
        </is>
      </c>
      <c r="M2706" s="16" t="inlineStr"/>
      <c r="N2706" s="16" t="inlineStr"/>
      <c r="O2706" s="16" t="inlineStr"/>
    </row>
    <row r="2707" ht="72" customHeight="1">
      <c r="A2707" s="16" t="inlineStr">
        <is>
          <t>TC-SC-0155</t>
        </is>
      </c>
      <c r="B2707" s="16" t="inlineStr">
        <is>
          <t>Pre-request Scripts &amp; Tests</t>
        </is>
      </c>
      <c r="C2707" s="16" t="inlineStr">
        <is>
          <t>Script API</t>
        </is>
      </c>
      <c r="D2707" s="16" t="inlineStr">
        <is>
          <t>Functional</t>
        </is>
      </c>
      <c r="E2707" s="16" t="inlineStr">
        <is>
          <t>Script API: pm.request.body.set</t>
        </is>
      </c>
      <c r="F2707" s="16" t="inlineStr">
        <is>
          <t>-</t>
        </is>
      </c>
      <c r="G2707" s="16" t="inlineStr">
        <is>
          <t>1. Pre-script sets body.
2. Send.</t>
        </is>
      </c>
      <c r="H2707" s="16" t="inlineStr">
        <is>
          <t>pm.request.body.set</t>
        </is>
      </c>
      <c r="I2707" s="16" t="inlineStr">
        <is>
          <t>Body matches scripted value.</t>
        </is>
      </c>
      <c r="J2707" s="16" t="inlineStr"/>
      <c r="K2707" s="16" t="inlineStr">
        <is>
          <t>Not Run</t>
        </is>
      </c>
      <c r="L2707" s="16" t="inlineStr">
        <is>
          <t>High</t>
        </is>
      </c>
      <c r="M2707" s="16" t="inlineStr"/>
      <c r="N2707" s="16" t="inlineStr"/>
      <c r="O2707" s="16" t="inlineStr"/>
    </row>
    <row r="2708" ht="72" customHeight="1">
      <c r="A2708" s="16" t="inlineStr">
        <is>
          <t>TC-SC-0156</t>
        </is>
      </c>
      <c r="B2708" s="16" t="inlineStr">
        <is>
          <t>Pre-request Scripts &amp; Tests</t>
        </is>
      </c>
      <c r="C2708" s="16" t="inlineStr">
        <is>
          <t>Script API</t>
        </is>
      </c>
      <c r="D2708" s="16" t="inlineStr">
        <is>
          <t>Functional</t>
        </is>
      </c>
      <c r="E2708" s="16" t="inlineStr">
        <is>
          <t>Script API: pm.request.auth.set</t>
        </is>
      </c>
      <c r="F2708" s="16" t="inlineStr">
        <is>
          <t>-</t>
        </is>
      </c>
      <c r="G2708" s="16" t="inlineStr">
        <is>
          <t>1. Pre-script changes auth type.
2. Send.</t>
        </is>
      </c>
      <c r="H2708" s="16" t="inlineStr">
        <is>
          <t>pm.request.auth.set</t>
        </is>
      </c>
      <c r="I2708" s="16" t="inlineStr">
        <is>
          <t>Auth applied per script.</t>
        </is>
      </c>
      <c r="J2708" s="16" t="inlineStr"/>
      <c r="K2708" s="16" t="inlineStr">
        <is>
          <t>Not Run</t>
        </is>
      </c>
      <c r="L2708" s="16" t="inlineStr">
        <is>
          <t>Medium</t>
        </is>
      </c>
      <c r="M2708" s="16" t="inlineStr"/>
      <c r="N2708" s="16" t="inlineStr"/>
      <c r="O2708" s="16" t="inlineStr"/>
    </row>
    <row r="2709" ht="72" customHeight="1">
      <c r="A2709" s="16" t="inlineStr">
        <is>
          <t>TC-SC-0157</t>
        </is>
      </c>
      <c r="B2709" s="16" t="inlineStr">
        <is>
          <t>Pre-request Scripts &amp; Tests</t>
        </is>
      </c>
      <c r="C2709" s="16" t="inlineStr">
        <is>
          <t>Script API</t>
        </is>
      </c>
      <c r="D2709" s="16" t="inlineStr">
        <is>
          <t>Functional</t>
        </is>
      </c>
      <c r="E2709" s="16" t="inlineStr">
        <is>
          <t>Script API: pm.sendRequest (helper)</t>
        </is>
      </c>
      <c r="F2709" s="16" t="inlineStr">
        <is>
          <t>-</t>
        </is>
      </c>
      <c r="G2709" s="16" t="inlineStr">
        <is>
          <t>1. Pre-script does pm.sendRequest({...}, cb).</t>
        </is>
      </c>
      <c r="H2709" s="16" t="inlineStr">
        <is>
          <t>pm.sendRequest (helper)</t>
        </is>
      </c>
      <c r="I2709" s="16" t="inlineStr">
        <is>
          <t>Sub-request completes before main; cb invoked.</t>
        </is>
      </c>
      <c r="J2709" s="16" t="inlineStr"/>
      <c r="K2709" s="16" t="inlineStr">
        <is>
          <t>Not Run</t>
        </is>
      </c>
      <c r="L2709" s="16" t="inlineStr">
        <is>
          <t>High</t>
        </is>
      </c>
      <c r="M2709" s="16" t="inlineStr"/>
      <c r="N2709" s="16" t="inlineStr"/>
      <c r="O2709" s="16" t="inlineStr"/>
    </row>
    <row r="2710" ht="72" customHeight="1">
      <c r="A2710" s="16" t="inlineStr">
        <is>
          <t>TC-SC-0158</t>
        </is>
      </c>
      <c r="B2710" s="16" t="inlineStr">
        <is>
          <t>Pre-request Scripts &amp; Tests</t>
        </is>
      </c>
      <c r="C2710" s="16" t="inlineStr">
        <is>
          <t>Script API</t>
        </is>
      </c>
      <c r="D2710" s="16" t="inlineStr">
        <is>
          <t>Functional</t>
        </is>
      </c>
      <c r="E2710" s="16" t="inlineStr">
        <is>
          <t>Script API: pm.response.json()</t>
        </is>
      </c>
      <c r="F2710" s="16" t="inlineStr">
        <is>
          <t>-</t>
        </is>
      </c>
      <c r="G2710" s="16" t="inlineStr">
        <is>
          <t>1. Test script reads body as JSON.</t>
        </is>
      </c>
      <c r="H2710" s="16" t="inlineStr">
        <is>
          <t>pm.response.json()</t>
        </is>
      </c>
      <c r="I2710" s="16" t="inlineStr">
        <is>
          <t>Object usable.</t>
        </is>
      </c>
      <c r="J2710" s="16" t="inlineStr"/>
      <c r="K2710" s="16" t="inlineStr">
        <is>
          <t>Not Run</t>
        </is>
      </c>
      <c r="L2710" s="16" t="inlineStr">
        <is>
          <t>High</t>
        </is>
      </c>
      <c r="M2710" s="16" t="inlineStr"/>
      <c r="N2710" s="16" t="inlineStr"/>
      <c r="O2710" s="16" t="inlineStr"/>
    </row>
    <row r="2711" ht="72" customHeight="1">
      <c r="A2711" s="16" t="inlineStr">
        <is>
          <t>TC-SC-0159</t>
        </is>
      </c>
      <c r="B2711" s="16" t="inlineStr">
        <is>
          <t>Pre-request Scripts &amp; Tests</t>
        </is>
      </c>
      <c r="C2711" s="16" t="inlineStr">
        <is>
          <t>Script API</t>
        </is>
      </c>
      <c r="D2711" s="16" t="inlineStr">
        <is>
          <t>Functional</t>
        </is>
      </c>
      <c r="E2711" s="16" t="inlineStr">
        <is>
          <t>Script API: pm.response.text()</t>
        </is>
      </c>
      <c r="F2711" s="16" t="inlineStr">
        <is>
          <t>-</t>
        </is>
      </c>
      <c r="G2711" s="16" t="inlineStr">
        <is>
          <t>1. Test script reads as string.</t>
        </is>
      </c>
      <c r="H2711" s="16" t="inlineStr">
        <is>
          <t>pm.response.text()</t>
        </is>
      </c>
      <c r="I2711" s="16" t="inlineStr">
        <is>
          <t>String returned.</t>
        </is>
      </c>
      <c r="J2711" s="16" t="inlineStr"/>
      <c r="K2711" s="16" t="inlineStr">
        <is>
          <t>Not Run</t>
        </is>
      </c>
      <c r="L2711" s="16" t="inlineStr">
        <is>
          <t>Medium</t>
        </is>
      </c>
      <c r="M2711" s="16" t="inlineStr"/>
      <c r="N2711" s="16" t="inlineStr"/>
      <c r="O2711" s="16" t="inlineStr"/>
    </row>
    <row r="2712" ht="72" customHeight="1">
      <c r="A2712" s="16" t="inlineStr">
        <is>
          <t>TC-SC-0160</t>
        </is>
      </c>
      <c r="B2712" s="16" t="inlineStr">
        <is>
          <t>Pre-request Scripts &amp; Tests</t>
        </is>
      </c>
      <c r="C2712" s="16" t="inlineStr">
        <is>
          <t>Script API</t>
        </is>
      </c>
      <c r="D2712" s="16" t="inlineStr">
        <is>
          <t>Functional</t>
        </is>
      </c>
      <c r="E2712" s="16" t="inlineStr">
        <is>
          <t>Script API: pm.response.headers.get</t>
        </is>
      </c>
      <c r="F2712" s="16" t="inlineStr">
        <is>
          <t>-</t>
        </is>
      </c>
      <c r="G2712" s="16" t="inlineStr">
        <is>
          <t>1. Test reads header.</t>
        </is>
      </c>
      <c r="H2712" s="16" t="inlineStr">
        <is>
          <t>pm.response.headers.get</t>
        </is>
      </c>
      <c r="I2712" s="16" t="inlineStr">
        <is>
          <t>Value returned (case-insensitive).</t>
        </is>
      </c>
      <c r="J2712" s="16" t="inlineStr"/>
      <c r="K2712" s="16" t="inlineStr">
        <is>
          <t>Not Run</t>
        </is>
      </c>
      <c r="L2712" s="16" t="inlineStr">
        <is>
          <t>Medium</t>
        </is>
      </c>
      <c r="M2712" s="16" t="inlineStr"/>
      <c r="N2712" s="16" t="inlineStr"/>
      <c r="O2712" s="16" t="inlineStr"/>
    </row>
    <row r="2713" ht="72" customHeight="1">
      <c r="A2713" s="16" t="inlineStr">
        <is>
          <t>TC-SC-0161</t>
        </is>
      </c>
      <c r="B2713" s="16" t="inlineStr">
        <is>
          <t>Pre-request Scripts &amp; Tests</t>
        </is>
      </c>
      <c r="C2713" s="16" t="inlineStr">
        <is>
          <t>Script API</t>
        </is>
      </c>
      <c r="D2713" s="16" t="inlineStr">
        <is>
          <t>Functional</t>
        </is>
      </c>
      <c r="E2713" s="16" t="inlineStr">
        <is>
          <t>Script API: pm.response.code</t>
        </is>
      </c>
      <c r="F2713" s="16" t="inlineStr">
        <is>
          <t>-</t>
        </is>
      </c>
      <c r="G2713" s="16" t="inlineStr">
        <is>
          <t>1. Test references .code.</t>
        </is>
      </c>
      <c r="H2713" s="16" t="inlineStr">
        <is>
          <t>pm.response.code</t>
        </is>
      </c>
      <c r="I2713" s="16" t="inlineStr">
        <is>
          <t>Integer status.</t>
        </is>
      </c>
      <c r="J2713" s="16" t="inlineStr"/>
      <c r="K2713" s="16" t="inlineStr">
        <is>
          <t>Not Run</t>
        </is>
      </c>
      <c r="L2713" s="16" t="inlineStr">
        <is>
          <t>Medium</t>
        </is>
      </c>
      <c r="M2713" s="16" t="inlineStr"/>
      <c r="N2713" s="16" t="inlineStr"/>
      <c r="O2713" s="16" t="inlineStr"/>
    </row>
    <row r="2714" ht="72" customHeight="1">
      <c r="A2714" s="16" t="inlineStr">
        <is>
          <t>TC-SC-0162</t>
        </is>
      </c>
      <c r="B2714" s="16" t="inlineStr">
        <is>
          <t>Pre-request Scripts &amp; Tests</t>
        </is>
      </c>
      <c r="C2714" s="16" t="inlineStr">
        <is>
          <t>Script API</t>
        </is>
      </c>
      <c r="D2714" s="16" t="inlineStr">
        <is>
          <t>Functional</t>
        </is>
      </c>
      <c r="E2714" s="16" t="inlineStr">
        <is>
          <t>Script API: pm.response.responseTime</t>
        </is>
      </c>
      <c r="F2714" s="16" t="inlineStr">
        <is>
          <t>-</t>
        </is>
      </c>
      <c r="G2714" s="16" t="inlineStr">
        <is>
          <t>1. Test reads.</t>
        </is>
      </c>
      <c r="H2714" s="16" t="inlineStr">
        <is>
          <t>pm.response.responseTime</t>
        </is>
      </c>
      <c r="I2714" s="16" t="inlineStr">
        <is>
          <t>ms number.</t>
        </is>
      </c>
      <c r="J2714" s="16" t="inlineStr"/>
      <c r="K2714" s="16" t="inlineStr">
        <is>
          <t>Not Run</t>
        </is>
      </c>
      <c r="L2714" s="16" t="inlineStr">
        <is>
          <t>Low</t>
        </is>
      </c>
      <c r="M2714" s="16" t="inlineStr"/>
      <c r="N2714" s="16" t="inlineStr"/>
      <c r="O2714" s="16" t="inlineStr"/>
    </row>
    <row r="2715" ht="72" customHeight="1">
      <c r="A2715" s="16" t="inlineStr">
        <is>
          <t>TC-SC-0163</t>
        </is>
      </c>
      <c r="B2715" s="16" t="inlineStr">
        <is>
          <t>Pre-request Scripts &amp; Tests</t>
        </is>
      </c>
      <c r="C2715" s="16" t="inlineStr">
        <is>
          <t>Script API</t>
        </is>
      </c>
      <c r="D2715" s="16" t="inlineStr">
        <is>
          <t>Functional</t>
        </is>
      </c>
      <c r="E2715" s="16" t="inlineStr">
        <is>
          <t>Script API: pm.test('name', fn)</t>
        </is>
      </c>
      <c r="F2715" s="16" t="inlineStr">
        <is>
          <t>-</t>
        </is>
      </c>
      <c r="G2715" s="16" t="inlineStr">
        <is>
          <t>1. Test wraps assertion.</t>
        </is>
      </c>
      <c r="H2715" s="16" t="inlineStr">
        <is>
          <t>pm.test('name', fn)</t>
        </is>
      </c>
      <c r="I2715" s="16" t="inlineStr">
        <is>
          <t>Result tracked under name.</t>
        </is>
      </c>
      <c r="J2715" s="16" t="inlineStr"/>
      <c r="K2715" s="16" t="inlineStr">
        <is>
          <t>Not Run</t>
        </is>
      </c>
      <c r="L2715" s="16" t="inlineStr">
        <is>
          <t>High</t>
        </is>
      </c>
      <c r="M2715" s="16" t="inlineStr"/>
      <c r="N2715" s="16" t="inlineStr"/>
      <c r="O2715" s="16" t="inlineStr"/>
    </row>
    <row r="2716" ht="72" customHeight="1">
      <c r="A2716" s="16" t="inlineStr">
        <is>
          <t>TC-SC-0164</t>
        </is>
      </c>
      <c r="B2716" s="16" t="inlineStr">
        <is>
          <t>Pre-request Scripts &amp; Tests</t>
        </is>
      </c>
      <c r="C2716" s="16" t="inlineStr">
        <is>
          <t>Script API</t>
        </is>
      </c>
      <c r="D2716" s="16" t="inlineStr">
        <is>
          <t>Functional</t>
        </is>
      </c>
      <c r="E2716" s="16" t="inlineStr">
        <is>
          <t>Script API: pm.expect</t>
        </is>
      </c>
      <c r="F2716" s="16" t="inlineStr">
        <is>
          <t>-</t>
        </is>
      </c>
      <c r="G2716" s="16" t="inlineStr">
        <is>
          <t>1. Test uses pm.expect(x).to.equal(1).</t>
        </is>
      </c>
      <c r="H2716" s="16" t="inlineStr">
        <is>
          <t>pm.expect</t>
        </is>
      </c>
      <c r="I2716" s="16" t="inlineStr">
        <is>
          <t>Standard expect semantics.</t>
        </is>
      </c>
      <c r="J2716" s="16" t="inlineStr"/>
      <c r="K2716" s="16" t="inlineStr">
        <is>
          <t>Not Run</t>
        </is>
      </c>
      <c r="L2716" s="16" t="inlineStr">
        <is>
          <t>High</t>
        </is>
      </c>
      <c r="M2716" s="16" t="inlineStr"/>
      <c r="N2716" s="16" t="inlineStr"/>
      <c r="O2716" s="16" t="inlineStr"/>
    </row>
    <row r="2717" ht="72" customHeight="1">
      <c r="A2717" s="16" t="inlineStr">
        <is>
          <t>TC-SC-0165</t>
        </is>
      </c>
      <c r="B2717" s="16" t="inlineStr">
        <is>
          <t>Pre-request Scripts &amp; Tests</t>
        </is>
      </c>
      <c r="C2717" s="16" t="inlineStr">
        <is>
          <t>Script API</t>
        </is>
      </c>
      <c r="D2717" s="16" t="inlineStr">
        <is>
          <t>Functional</t>
        </is>
      </c>
      <c r="E2717" s="16" t="inlineStr">
        <is>
          <t>Script API: console.log / warn / error</t>
        </is>
      </c>
      <c r="F2717" s="16" t="inlineStr">
        <is>
          <t>-</t>
        </is>
      </c>
      <c r="G2717" s="16" t="inlineStr">
        <is>
          <t>1. Each level.</t>
        </is>
      </c>
      <c r="H2717" s="16" t="inlineStr">
        <is>
          <t>console.log / warn / error</t>
        </is>
      </c>
      <c r="I2717" s="16" t="inlineStr">
        <is>
          <t>Each renders with level color.</t>
        </is>
      </c>
      <c r="J2717" s="16" t="inlineStr"/>
      <c r="K2717" s="16" t="inlineStr">
        <is>
          <t>Not Run</t>
        </is>
      </c>
      <c r="L2717" s="16" t="inlineStr">
        <is>
          <t>Medium</t>
        </is>
      </c>
      <c r="M2717" s="16" t="inlineStr"/>
      <c r="N2717" s="16" t="inlineStr"/>
      <c r="O2717" s="16" t="inlineStr"/>
    </row>
    <row r="2718" ht="72" customHeight="1">
      <c r="A2718" s="16" t="inlineStr">
        <is>
          <t>TC-SC-0166</t>
        </is>
      </c>
      <c r="B2718" s="16" t="inlineStr">
        <is>
          <t>Pre-request Scripts &amp; Tests</t>
        </is>
      </c>
      <c r="C2718" s="16" t="inlineStr">
        <is>
          <t>Script API</t>
        </is>
      </c>
      <c r="D2718" s="16" t="inlineStr">
        <is>
          <t>Functional</t>
        </is>
      </c>
      <c r="E2718" s="16" t="inlineStr">
        <is>
          <t>Script API: setTimeout / setInterval</t>
        </is>
      </c>
      <c r="F2718" s="16" t="inlineStr">
        <is>
          <t>-</t>
        </is>
      </c>
      <c r="G2718" s="16" t="inlineStr">
        <is>
          <t>1. setTimeout in pre-script.</t>
        </is>
      </c>
      <c r="H2718" s="16" t="inlineStr">
        <is>
          <t>setTimeout / setInterval</t>
        </is>
      </c>
      <c r="I2718" s="16" t="inlineStr">
        <is>
          <t>Either supported with timeout limit, or rejected.</t>
        </is>
      </c>
      <c r="J2718" s="16" t="inlineStr"/>
      <c r="K2718" s="16" t="inlineStr">
        <is>
          <t>Not Run</t>
        </is>
      </c>
      <c r="L2718" s="16" t="inlineStr">
        <is>
          <t>Low</t>
        </is>
      </c>
      <c r="M2718" s="16" t="inlineStr"/>
      <c r="N2718" s="16" t="inlineStr"/>
      <c r="O2718" s="16" t="inlineStr"/>
    </row>
    <row r="2719" ht="72" customHeight="1">
      <c r="A2719" s="16" t="inlineStr">
        <is>
          <t>TC-SC-0167</t>
        </is>
      </c>
      <c r="B2719" s="16" t="inlineStr">
        <is>
          <t>Pre-request Scripts &amp; Tests</t>
        </is>
      </c>
      <c r="C2719" s="16" t="inlineStr">
        <is>
          <t>Script API</t>
        </is>
      </c>
      <c r="D2719" s="16" t="inlineStr">
        <is>
          <t>Functional</t>
        </is>
      </c>
      <c r="E2719" s="16" t="inlineStr">
        <is>
          <t>Script API: crypto operations (subtle)</t>
        </is>
      </c>
      <c r="F2719" s="16" t="inlineStr">
        <is>
          <t>-</t>
        </is>
      </c>
      <c r="G2719" s="16" t="inlineStr">
        <is>
          <t>1. Use crypto.subtle.digest.</t>
        </is>
      </c>
      <c r="H2719" s="16" t="inlineStr">
        <is>
          <t>crypto operations (subtle)</t>
        </is>
      </c>
      <c r="I2719" s="16" t="inlineStr">
        <is>
          <t>Works in sandbox.</t>
        </is>
      </c>
      <c r="J2719" s="16" t="inlineStr"/>
      <c r="K2719" s="16" t="inlineStr">
        <is>
          <t>Not Run</t>
        </is>
      </c>
      <c r="L2719" s="16" t="inlineStr">
        <is>
          <t>Low</t>
        </is>
      </c>
      <c r="M2719" s="16" t="inlineStr"/>
      <c r="N2719" s="16" t="inlineStr"/>
      <c r="O2719" s="16" t="inlineStr"/>
    </row>
    <row r="2720" ht="72" customHeight="1">
      <c r="A2720" s="16" t="inlineStr">
        <is>
          <t>TC-SC-0168</t>
        </is>
      </c>
      <c r="B2720" s="16" t="inlineStr">
        <is>
          <t>Pre-request Scripts &amp; Tests</t>
        </is>
      </c>
      <c r="C2720" s="16" t="inlineStr">
        <is>
          <t>Script API</t>
        </is>
      </c>
      <c r="D2720" s="16" t="inlineStr">
        <is>
          <t>Functional</t>
        </is>
      </c>
      <c r="E2720" s="16" t="inlineStr">
        <is>
          <t>Script API: JSON.parse / stringify</t>
        </is>
      </c>
      <c r="F2720" s="16" t="inlineStr">
        <is>
          <t>-</t>
        </is>
      </c>
      <c r="G2720" s="16" t="inlineStr">
        <is>
          <t>1. Use.</t>
        </is>
      </c>
      <c r="H2720" s="16" t="inlineStr">
        <is>
          <t>JSON.parse / stringify</t>
        </is>
      </c>
      <c r="I2720" s="16" t="inlineStr">
        <is>
          <t>Works.</t>
        </is>
      </c>
      <c r="J2720" s="16" t="inlineStr"/>
      <c r="K2720" s="16" t="inlineStr">
        <is>
          <t>Not Run</t>
        </is>
      </c>
      <c r="L2720" s="16" t="inlineStr">
        <is>
          <t>Medium</t>
        </is>
      </c>
      <c r="M2720" s="16" t="inlineStr"/>
      <c r="N2720" s="16" t="inlineStr"/>
      <c r="O2720" s="16" t="inlineStr"/>
    </row>
    <row r="2721" ht="72" customHeight="1">
      <c r="A2721" s="16" t="inlineStr">
        <is>
          <t>TC-SC-0169</t>
        </is>
      </c>
      <c r="B2721" s="16" t="inlineStr">
        <is>
          <t>Pre-request Scripts &amp; Tests</t>
        </is>
      </c>
      <c r="C2721" s="16" t="inlineStr">
        <is>
          <t>Script API</t>
        </is>
      </c>
      <c r="D2721" s="16" t="inlineStr">
        <is>
          <t>Functional</t>
        </is>
      </c>
      <c r="E2721" s="16" t="inlineStr">
        <is>
          <t>Script API: Date / Math</t>
        </is>
      </c>
      <c r="F2721" s="16" t="inlineStr">
        <is>
          <t>-</t>
        </is>
      </c>
      <c r="G2721" s="16" t="inlineStr">
        <is>
          <t>1. Use Date.now().</t>
        </is>
      </c>
      <c r="H2721" s="16" t="inlineStr">
        <is>
          <t>Date / Math</t>
        </is>
      </c>
      <c r="I2721" s="16" t="inlineStr">
        <is>
          <t>Works.</t>
        </is>
      </c>
      <c r="J2721" s="16" t="inlineStr"/>
      <c r="K2721" s="16" t="inlineStr">
        <is>
          <t>Not Run</t>
        </is>
      </c>
      <c r="L2721" s="16" t="inlineStr">
        <is>
          <t>Low</t>
        </is>
      </c>
      <c r="M2721" s="16" t="inlineStr"/>
      <c r="N2721" s="16" t="inlineStr"/>
      <c r="O2721" s="16" t="inlineStr"/>
    </row>
    <row r="2722" ht="72" customHeight="1">
      <c r="A2722" s="16" t="inlineStr">
        <is>
          <t>TC-SC-0170</t>
        </is>
      </c>
      <c r="B2722" s="16" t="inlineStr">
        <is>
          <t>Pre-request Scripts &amp; Tests</t>
        </is>
      </c>
      <c r="C2722" s="16" t="inlineStr">
        <is>
          <t>Script API</t>
        </is>
      </c>
      <c r="D2722" s="16" t="inlineStr">
        <is>
          <t>Functional</t>
        </is>
      </c>
      <c r="E2722" s="16" t="inlineStr">
        <is>
          <t>Script API: Throw inside pre-script</t>
        </is>
      </c>
      <c r="F2722" s="16" t="inlineStr">
        <is>
          <t>-</t>
        </is>
      </c>
      <c r="G2722" s="16" t="inlineStr">
        <is>
          <t>1. Throw.</t>
        </is>
      </c>
      <c r="H2722" s="16" t="inlineStr">
        <is>
          <t>Throw inside pre-script</t>
        </is>
      </c>
      <c r="I2722" s="16" t="inlineStr">
        <is>
          <t>Send aborted; error surfaces.</t>
        </is>
      </c>
      <c r="J2722" s="16" t="inlineStr"/>
      <c r="K2722" s="16" t="inlineStr">
        <is>
          <t>Not Run</t>
        </is>
      </c>
      <c r="L2722" s="16" t="inlineStr">
        <is>
          <t>High</t>
        </is>
      </c>
      <c r="M2722" s="16" t="inlineStr"/>
      <c r="N2722" s="16" t="inlineStr"/>
      <c r="O2722" s="16" t="inlineStr"/>
    </row>
    <row r="2723" ht="72" customHeight="1">
      <c r="A2723" s="16" t="inlineStr">
        <is>
          <t>TC-SC-0171</t>
        </is>
      </c>
      <c r="B2723" s="16" t="inlineStr">
        <is>
          <t>Pre-request Scripts &amp; Tests</t>
        </is>
      </c>
      <c r="C2723" s="16" t="inlineStr">
        <is>
          <t>Script API</t>
        </is>
      </c>
      <c r="D2723" s="16" t="inlineStr">
        <is>
          <t>Functional</t>
        </is>
      </c>
      <c r="E2723" s="16" t="inlineStr">
        <is>
          <t>Script API: Async/await</t>
        </is>
      </c>
      <c r="F2723" s="16" t="inlineStr">
        <is>
          <t>-</t>
        </is>
      </c>
      <c r="G2723" s="16" t="inlineStr">
        <is>
          <t>1. await fetch (or pm.sendRequest).</t>
        </is>
      </c>
      <c r="H2723" s="16" t="inlineStr">
        <is>
          <t>Async/await</t>
        </is>
      </c>
      <c r="I2723" s="16" t="inlineStr">
        <is>
          <t>Resolves before send.</t>
        </is>
      </c>
      <c r="J2723" s="16" t="inlineStr"/>
      <c r="K2723" s="16" t="inlineStr">
        <is>
          <t>Not Run</t>
        </is>
      </c>
      <c r="L2723" s="16" t="inlineStr">
        <is>
          <t>Medium</t>
        </is>
      </c>
      <c r="M2723" s="16" t="inlineStr"/>
      <c r="N2723" s="16" t="inlineStr"/>
      <c r="O2723" s="16" t="inlineStr"/>
    </row>
    <row r="2724" ht="72" customHeight="1">
      <c r="A2724" s="16" t="inlineStr">
        <is>
          <t>TC-SC-0172</t>
        </is>
      </c>
      <c r="B2724" s="16" t="inlineStr">
        <is>
          <t>Pre-request Scripts &amp; Tests</t>
        </is>
      </c>
      <c r="C2724" s="16" t="inlineStr">
        <is>
          <t>Script API</t>
        </is>
      </c>
      <c r="D2724" s="16" t="inlineStr">
        <is>
          <t>Functional</t>
        </is>
      </c>
      <c r="E2724" s="16" t="inlineStr">
        <is>
          <t>Script API: Long-running script (5s)</t>
        </is>
      </c>
      <c r="F2724" s="16" t="inlineStr">
        <is>
          <t>-</t>
        </is>
      </c>
      <c r="G2724" s="16" t="inlineStr">
        <is>
          <t>1. Pre-script with 5s loop.</t>
        </is>
      </c>
      <c r="H2724" s="16" t="inlineStr">
        <is>
          <t>Long-running script (5s)</t>
        </is>
      </c>
      <c r="I2724" s="16" t="inlineStr">
        <is>
          <t>Script timeout per limit; surfaced as error.</t>
        </is>
      </c>
      <c r="J2724" s="16" t="inlineStr"/>
      <c r="K2724" s="16" t="inlineStr">
        <is>
          <t>Not Run</t>
        </is>
      </c>
      <c r="L2724" s="16" t="inlineStr">
        <is>
          <t>Medium</t>
        </is>
      </c>
      <c r="M2724" s="16" t="inlineStr"/>
      <c r="N2724" s="16" t="inlineStr"/>
      <c r="O2724" s="16" t="inlineStr"/>
    </row>
    <row r="2725" ht="72" customHeight="1">
      <c r="A2725" s="16" t="inlineStr">
        <is>
          <t>TC-SC-0173</t>
        </is>
      </c>
      <c r="B2725" s="16" t="inlineStr">
        <is>
          <t>Pre-request Scripts &amp; Tests</t>
        </is>
      </c>
      <c r="C2725" s="16" t="inlineStr">
        <is>
          <t>Script API</t>
        </is>
      </c>
      <c r="D2725" s="16" t="inlineStr">
        <is>
          <t>Functional</t>
        </is>
      </c>
      <c r="E2725" s="16" t="inlineStr">
        <is>
          <t>Script API: Script accesses fetch (if allowed)</t>
        </is>
      </c>
      <c r="F2725" s="16" t="inlineStr">
        <is>
          <t>-</t>
        </is>
      </c>
      <c r="G2725" s="16" t="inlineStr">
        <is>
          <t>1. fetch() call.</t>
        </is>
      </c>
      <c r="H2725" s="16" t="inlineStr">
        <is>
          <t>Script accesses fetch (if allowed)</t>
        </is>
      </c>
      <c r="I2725" s="16" t="inlineStr">
        <is>
          <t>Either allowed via sandbox or rejected with clear note.</t>
        </is>
      </c>
      <c r="J2725" s="16" t="inlineStr"/>
      <c r="K2725" s="16" t="inlineStr">
        <is>
          <t>Not Run</t>
        </is>
      </c>
      <c r="L2725" s="16" t="inlineStr">
        <is>
          <t>Low</t>
        </is>
      </c>
      <c r="M2725" s="16" t="inlineStr"/>
      <c r="N2725" s="16" t="inlineStr"/>
      <c r="O2725" s="16" t="inlineStr"/>
    </row>
    <row r="2726" ht="72" customHeight="1">
      <c r="A2726" s="16" t="inlineStr">
        <is>
          <t>TC-SC-0174</t>
        </is>
      </c>
      <c r="B2726" s="16" t="inlineStr">
        <is>
          <t>Pre-request Scripts &amp; Tests</t>
        </is>
      </c>
      <c r="C2726" s="16" t="inlineStr">
        <is>
          <t>Script API</t>
        </is>
      </c>
      <c r="D2726" s="16" t="inlineStr">
        <is>
          <t>Security</t>
        </is>
      </c>
      <c r="E2726" s="16" t="inlineStr">
        <is>
          <t>Script API: Script accesses localStorage (should be blocked)</t>
        </is>
      </c>
      <c r="F2726" s="16" t="inlineStr">
        <is>
          <t>-</t>
        </is>
      </c>
      <c r="G2726" s="16" t="inlineStr">
        <is>
          <t>1. localStorage.setItem.</t>
        </is>
      </c>
      <c r="H2726" s="16" t="inlineStr">
        <is>
          <t>Script accesses localStorage (should be blocked)</t>
        </is>
      </c>
      <c r="I2726" s="16" t="inlineStr">
        <is>
          <t>Blocked or no-op in sandbox.</t>
        </is>
      </c>
      <c r="J2726" s="16" t="inlineStr"/>
      <c r="K2726" s="16" t="inlineStr">
        <is>
          <t>Not Run</t>
        </is>
      </c>
      <c r="L2726" s="16" t="inlineStr">
        <is>
          <t>High</t>
        </is>
      </c>
      <c r="M2726" s="16" t="inlineStr"/>
      <c r="N2726" s="16" t="inlineStr"/>
      <c r="O2726" s="16" t="inlineStr"/>
    </row>
    <row r="2727" ht="72" customHeight="1">
      <c r="A2727" s="16" t="inlineStr">
        <is>
          <t>TC-SC-0175</t>
        </is>
      </c>
      <c r="B2727" s="16" t="inlineStr">
        <is>
          <t>Pre-request Scripts &amp; Tests</t>
        </is>
      </c>
      <c r="C2727" s="16" t="inlineStr">
        <is>
          <t>Script API</t>
        </is>
      </c>
      <c r="D2727" s="16" t="inlineStr">
        <is>
          <t>Security</t>
        </is>
      </c>
      <c r="E2727" s="16" t="inlineStr">
        <is>
          <t>Script API: Script imports modules (should be blocked)</t>
        </is>
      </c>
      <c r="F2727" s="16" t="inlineStr">
        <is>
          <t>-</t>
        </is>
      </c>
      <c r="G2727" s="16" t="inlineStr">
        <is>
          <t>1. import ...</t>
        </is>
      </c>
      <c r="H2727" s="16" t="inlineStr">
        <is>
          <t>Script imports modules (should be blocked)</t>
        </is>
      </c>
      <c r="I2727" s="16" t="inlineStr">
        <is>
          <t>Blocked / not supported; clear error.</t>
        </is>
      </c>
      <c r="J2727" s="16" t="inlineStr"/>
      <c r="K2727" s="16" t="inlineStr">
        <is>
          <t>Not Run</t>
        </is>
      </c>
      <c r="L2727" s="16" t="inlineStr">
        <is>
          <t>Medium</t>
        </is>
      </c>
      <c r="M2727" s="16" t="inlineStr"/>
      <c r="N2727" s="16" t="inlineStr"/>
      <c r="O2727" s="16" t="inlineStr"/>
    </row>
    <row r="2728" ht="72" customHeight="1">
      <c r="A2728" s="16" t="inlineStr">
        <is>
          <t>TC-SC-0176</t>
        </is>
      </c>
      <c r="B2728" s="16" t="inlineStr">
        <is>
          <t>Pre-request Scripts &amp; Tests</t>
        </is>
      </c>
      <c r="C2728" s="16" t="inlineStr">
        <is>
          <t>Script API</t>
        </is>
      </c>
      <c r="D2728" s="16" t="inlineStr">
        <is>
          <t>Functional</t>
        </is>
      </c>
      <c r="E2728" s="16" t="inlineStr">
        <is>
          <t>Script API: Script with infinite loop</t>
        </is>
      </c>
      <c r="F2728" s="16" t="inlineStr">
        <is>
          <t>-</t>
        </is>
      </c>
      <c r="G2728" s="16" t="inlineStr">
        <is>
          <t>1. while(true){}.</t>
        </is>
      </c>
      <c r="H2728" s="16" t="inlineStr">
        <is>
          <t>Script with infinite loop</t>
        </is>
      </c>
      <c r="I2728" s="16" t="inlineStr">
        <is>
          <t>Detected by timeout; send aborted.</t>
        </is>
      </c>
      <c r="J2728" s="16" t="inlineStr"/>
      <c r="K2728" s="16" t="inlineStr">
        <is>
          <t>Not Run</t>
        </is>
      </c>
      <c r="L2728" s="16" t="inlineStr">
        <is>
          <t>High</t>
        </is>
      </c>
      <c r="M2728" s="16" t="inlineStr"/>
      <c r="N2728" s="16" t="inlineStr"/>
      <c r="O2728" s="16" t="inlineStr"/>
    </row>
    <row r="2729" ht="72" customHeight="1">
      <c r="A2729" s="16" t="inlineStr">
        <is>
          <t>TC-SC-0177</t>
        </is>
      </c>
      <c r="B2729" s="16" t="inlineStr">
        <is>
          <t>Pre-request Scripts &amp; Tests</t>
        </is>
      </c>
      <c r="C2729" s="16" t="inlineStr">
        <is>
          <t>Script API</t>
        </is>
      </c>
      <c r="D2729" s="16" t="inlineStr">
        <is>
          <t>Functional</t>
        </is>
      </c>
      <c r="E2729" s="16" t="inlineStr">
        <is>
          <t>Script API: Script across pre and tests sees same variables</t>
        </is>
      </c>
      <c r="F2729" s="16" t="inlineStr">
        <is>
          <t>-</t>
        </is>
      </c>
      <c r="G2729" s="16" t="inlineStr">
        <is>
          <t>1. Pre sets x; tests reads x.</t>
        </is>
      </c>
      <c r="H2729" s="16" t="inlineStr">
        <is>
          <t>Script across pre and tests sees same variables</t>
        </is>
      </c>
      <c r="I2729" s="16" t="inlineStr">
        <is>
          <t>Same context; value visible.</t>
        </is>
      </c>
      <c r="J2729" s="16" t="inlineStr"/>
      <c r="K2729" s="16" t="inlineStr">
        <is>
          <t>Not Run</t>
        </is>
      </c>
      <c r="L2729" s="16" t="inlineStr">
        <is>
          <t>Medium</t>
        </is>
      </c>
      <c r="M2729" s="16" t="inlineStr"/>
      <c r="N2729" s="16" t="inlineStr"/>
      <c r="O2729" s="16" t="inlineStr"/>
    </row>
    <row r="2730" ht="72" customHeight="1">
      <c r="A2730" s="16" t="inlineStr">
        <is>
          <t>TC-CC-0024</t>
        </is>
      </c>
      <c r="B2730" s="16" t="inlineStr">
        <is>
          <t>Cross-Cutting UX</t>
        </is>
      </c>
      <c r="C2730" s="16" t="inlineStr">
        <is>
          <t>Panel State</t>
        </is>
      </c>
      <c r="D2730" s="16" t="inlineStr">
        <is>
          <t>UX/UI</t>
        </is>
      </c>
      <c r="E2730" s="16" t="inlineStr">
        <is>
          <t>Open Workspace panel while: Empty workspace</t>
        </is>
      </c>
      <c r="F2730" s="16" t="inlineStr">
        <is>
          <t>-</t>
        </is>
      </c>
      <c r="G2730" s="16" t="inlineStr">
        <is>
          <t>1. Set workspace state: Empty workspace.
2. Open Workspace panel.</t>
        </is>
      </c>
      <c r="H2730" s="16" t="inlineStr">
        <is>
          <t>panel=Workspace state=Empty workspace</t>
        </is>
      </c>
      <c r="I2730" s="16" t="inlineStr">
        <is>
          <t>Panel renders without error; relevant data shown or empty state; actions appropriately enabled/disabled for state 'Empty workspace'.</t>
        </is>
      </c>
      <c r="J2730" s="16" t="inlineStr"/>
      <c r="K2730" s="16" t="inlineStr">
        <is>
          <t>Not Run</t>
        </is>
      </c>
      <c r="L2730" s="16" t="inlineStr">
        <is>
          <t>Low</t>
        </is>
      </c>
      <c r="M2730" s="16" t="inlineStr"/>
      <c r="N2730" s="16" t="inlineStr"/>
      <c r="O2730" s="16" t="inlineStr"/>
    </row>
    <row r="2731" ht="72" customHeight="1">
      <c r="A2731" s="16" t="inlineStr">
        <is>
          <t>TC-CC-0025</t>
        </is>
      </c>
      <c r="B2731" s="16" t="inlineStr">
        <is>
          <t>Cross-Cutting UX</t>
        </is>
      </c>
      <c r="C2731" s="16" t="inlineStr">
        <is>
          <t>Panel State</t>
        </is>
      </c>
      <c r="D2731" s="16" t="inlineStr">
        <is>
          <t>UX/UI</t>
        </is>
      </c>
      <c r="E2731" s="16" t="inlineStr">
        <is>
          <t>Open Workspace panel while: Loaded workspace with data</t>
        </is>
      </c>
      <c r="F2731" s="16" t="inlineStr">
        <is>
          <t>-</t>
        </is>
      </c>
      <c r="G2731" s="16" t="inlineStr">
        <is>
          <t>1. Set workspace state: Loaded workspace with data.
2. Open Workspace panel.</t>
        </is>
      </c>
      <c r="H2731" s="16" t="inlineStr">
        <is>
          <t>panel=Workspace state=Loaded workspace with data</t>
        </is>
      </c>
      <c r="I2731" s="16" t="inlineStr">
        <is>
          <t>Panel renders without error; relevant data shown or empty state; actions appropriately enabled/disabled for state 'Loaded workspace with data'.</t>
        </is>
      </c>
      <c r="J2731" s="16" t="inlineStr"/>
      <c r="K2731" s="16" t="inlineStr">
        <is>
          <t>Not Run</t>
        </is>
      </c>
      <c r="L2731" s="16" t="inlineStr">
        <is>
          <t>Medium</t>
        </is>
      </c>
      <c r="M2731" s="16" t="inlineStr"/>
      <c r="N2731" s="16" t="inlineStr"/>
      <c r="O2731" s="16" t="inlineStr"/>
    </row>
    <row r="2732" ht="72" customHeight="1">
      <c r="A2732" s="16" t="inlineStr">
        <is>
          <t>TC-CC-0026</t>
        </is>
      </c>
      <c r="B2732" s="16" t="inlineStr">
        <is>
          <t>Cross-Cutting UX</t>
        </is>
      </c>
      <c r="C2732" s="16" t="inlineStr">
        <is>
          <t>Panel State</t>
        </is>
      </c>
      <c r="D2732" s="16" t="inlineStr">
        <is>
          <t>UX/UI</t>
        </is>
      </c>
      <c r="E2732" s="16" t="inlineStr">
        <is>
          <t>Open Workspace panel while: Workspace with active edits</t>
        </is>
      </c>
      <c r="F2732" s="16" t="inlineStr">
        <is>
          <t>-</t>
        </is>
      </c>
      <c r="G2732" s="16" t="inlineStr">
        <is>
          <t>1. Set workspace state: Workspace with active edits.
2. Open Workspace panel.</t>
        </is>
      </c>
      <c r="H2732" s="16" t="inlineStr">
        <is>
          <t>panel=Workspace state=Workspace with active edits</t>
        </is>
      </c>
      <c r="I2732" s="16" t="inlineStr">
        <is>
          <t>Panel renders without error; relevant data shown or empty state; actions appropriately enabled/disabled for state 'Workspace with active edits'.</t>
        </is>
      </c>
      <c r="J2732" s="16" t="inlineStr"/>
      <c r="K2732" s="16" t="inlineStr">
        <is>
          <t>Not Run</t>
        </is>
      </c>
      <c r="L2732" s="16" t="inlineStr">
        <is>
          <t>Low</t>
        </is>
      </c>
      <c r="M2732" s="16" t="inlineStr"/>
      <c r="N2732" s="16" t="inlineStr"/>
      <c r="O2732" s="16" t="inlineStr"/>
    </row>
    <row r="2733" ht="72" customHeight="1">
      <c r="A2733" s="16" t="inlineStr">
        <is>
          <t>TC-CC-0027</t>
        </is>
      </c>
      <c r="B2733" s="16" t="inlineStr">
        <is>
          <t>Cross-Cutting UX</t>
        </is>
      </c>
      <c r="C2733" s="16" t="inlineStr">
        <is>
          <t>Panel State</t>
        </is>
      </c>
      <c r="D2733" s="16" t="inlineStr">
        <is>
          <t>UX/UI</t>
        </is>
      </c>
      <c r="E2733" s="16" t="inlineStr">
        <is>
          <t>Open Workspace panel while: Workspace mid-pull</t>
        </is>
      </c>
      <c r="F2733" s="16" t="inlineStr">
        <is>
          <t>-</t>
        </is>
      </c>
      <c r="G2733" s="16" t="inlineStr">
        <is>
          <t>1. Set workspace state: Workspace mid-pull.
2. Open Workspace panel.</t>
        </is>
      </c>
      <c r="H2733" s="16" t="inlineStr">
        <is>
          <t>panel=Workspace state=Workspace mid-pull</t>
        </is>
      </c>
      <c r="I2733" s="16" t="inlineStr">
        <is>
          <t>Panel renders without error; relevant data shown or empty state; actions appropriately enabled/disabled for state 'Workspace mid-pull'.</t>
        </is>
      </c>
      <c r="J2733" s="16" t="inlineStr"/>
      <c r="K2733" s="16" t="inlineStr">
        <is>
          <t>Not Run</t>
        </is>
      </c>
      <c r="L2733" s="16" t="inlineStr">
        <is>
          <t>Low</t>
        </is>
      </c>
      <c r="M2733" s="16" t="inlineStr"/>
      <c r="N2733" s="16" t="inlineStr"/>
      <c r="O2733" s="16" t="inlineStr"/>
    </row>
    <row r="2734" ht="72" customHeight="1">
      <c r="A2734" s="16" t="inlineStr">
        <is>
          <t>TC-CC-0028</t>
        </is>
      </c>
      <c r="B2734" s="16" t="inlineStr">
        <is>
          <t>Cross-Cutting UX</t>
        </is>
      </c>
      <c r="C2734" s="16" t="inlineStr">
        <is>
          <t>Panel State</t>
        </is>
      </c>
      <c r="D2734" s="16" t="inlineStr">
        <is>
          <t>UX/UI</t>
        </is>
      </c>
      <c r="E2734" s="16" t="inlineStr">
        <is>
          <t>Open Workspace panel while: Workspace with conflict modal open</t>
        </is>
      </c>
      <c r="F2734" s="16" t="inlineStr">
        <is>
          <t>-</t>
        </is>
      </c>
      <c r="G2734" s="16" t="inlineStr">
        <is>
          <t>1. Set workspace state: Workspace with conflict modal open.
2. Open Workspace panel.</t>
        </is>
      </c>
      <c r="H2734" s="16" t="inlineStr">
        <is>
          <t>panel=Workspace state=Workspace with conflict modal open</t>
        </is>
      </c>
      <c r="I2734" s="16" t="inlineStr">
        <is>
          <t>Panel renders without error; relevant data shown or empty state; actions appropriately enabled/disabled for state 'Workspace with conflict modal open'.</t>
        </is>
      </c>
      <c r="J2734" s="16" t="inlineStr"/>
      <c r="K2734" s="16" t="inlineStr">
        <is>
          <t>Not Run</t>
        </is>
      </c>
      <c r="L2734" s="16" t="inlineStr">
        <is>
          <t>Low</t>
        </is>
      </c>
      <c r="M2734" s="16" t="inlineStr"/>
      <c r="N2734" s="16" t="inlineStr"/>
      <c r="O2734" s="16" t="inlineStr"/>
    </row>
    <row r="2735" ht="72" customHeight="1">
      <c r="A2735" s="16" t="inlineStr">
        <is>
          <t>TC-CC-0029</t>
        </is>
      </c>
      <c r="B2735" s="16" t="inlineStr">
        <is>
          <t>Cross-Cutting UX</t>
        </is>
      </c>
      <c r="C2735" s="16" t="inlineStr">
        <is>
          <t>Panel State</t>
        </is>
      </c>
      <c r="D2735" s="16" t="inlineStr">
        <is>
          <t>UX/UI</t>
        </is>
      </c>
      <c r="E2735" s="16" t="inlineStr">
        <is>
          <t>Open Workspace panel while: Workspace with secrets locked (no passphrase)</t>
        </is>
      </c>
      <c r="F2735" s="16" t="inlineStr">
        <is>
          <t>-</t>
        </is>
      </c>
      <c r="G2735" s="16" t="inlineStr">
        <is>
          <t>1. Set workspace state: Workspace with secrets locked (no passphrase).
2. Open Workspace panel.</t>
        </is>
      </c>
      <c r="H2735" s="16" t="inlineStr">
        <is>
          <t>panel=Workspace state=Workspace with secrets locked (no passphrase)</t>
        </is>
      </c>
      <c r="I2735" s="16" t="inlineStr">
        <is>
          <t>Panel renders without error; relevant data shown or empty state; actions appropriately enabled/disabled for state 'Workspace with secrets locked (no passphrase)'.</t>
        </is>
      </c>
      <c r="J2735" s="16" t="inlineStr"/>
      <c r="K2735" s="16" t="inlineStr">
        <is>
          <t>Not Run</t>
        </is>
      </c>
      <c r="L2735" s="16" t="inlineStr">
        <is>
          <t>Medium</t>
        </is>
      </c>
      <c r="M2735" s="16" t="inlineStr"/>
      <c r="N2735" s="16" t="inlineStr"/>
      <c r="O2735" s="16" t="inlineStr"/>
    </row>
    <row r="2736" ht="72" customHeight="1">
      <c r="A2736" s="16" t="inlineStr">
        <is>
          <t>TC-CC-0030</t>
        </is>
      </c>
      <c r="B2736" s="16" t="inlineStr">
        <is>
          <t>Cross-Cutting UX</t>
        </is>
      </c>
      <c r="C2736" s="16" t="inlineStr">
        <is>
          <t>Panel State</t>
        </is>
      </c>
      <c r="D2736" s="16" t="inlineStr">
        <is>
          <t>UX/UI</t>
        </is>
      </c>
      <c r="E2736" s="16" t="inlineStr">
        <is>
          <t>Open Editor panel while: Empty workspace</t>
        </is>
      </c>
      <c r="F2736" s="16" t="inlineStr">
        <is>
          <t>-</t>
        </is>
      </c>
      <c r="G2736" s="16" t="inlineStr">
        <is>
          <t>1. Set workspace state: Empty workspace.
2. Open Editor panel.</t>
        </is>
      </c>
      <c r="H2736" s="16" t="inlineStr">
        <is>
          <t>panel=Editor state=Empty workspace</t>
        </is>
      </c>
      <c r="I2736" s="16" t="inlineStr">
        <is>
          <t>Panel renders without error; relevant data shown or empty state; actions appropriately enabled/disabled for state 'Empty workspace'.</t>
        </is>
      </c>
      <c r="J2736" s="16" t="inlineStr"/>
      <c r="K2736" s="16" t="inlineStr">
        <is>
          <t>Not Run</t>
        </is>
      </c>
      <c r="L2736" s="16" t="inlineStr">
        <is>
          <t>Low</t>
        </is>
      </c>
      <c r="M2736" s="16" t="inlineStr"/>
      <c r="N2736" s="16" t="inlineStr"/>
      <c r="O2736" s="16" t="inlineStr"/>
    </row>
    <row r="2737" ht="72" customHeight="1">
      <c r="A2737" s="16" t="inlineStr">
        <is>
          <t>TC-CC-0031</t>
        </is>
      </c>
      <c r="B2737" s="16" t="inlineStr">
        <is>
          <t>Cross-Cutting UX</t>
        </is>
      </c>
      <c r="C2737" s="16" t="inlineStr">
        <is>
          <t>Panel State</t>
        </is>
      </c>
      <c r="D2737" s="16" t="inlineStr">
        <is>
          <t>UX/UI</t>
        </is>
      </c>
      <c r="E2737" s="16" t="inlineStr">
        <is>
          <t>Open Editor panel while: Loaded workspace with data</t>
        </is>
      </c>
      <c r="F2737" s="16" t="inlineStr">
        <is>
          <t>-</t>
        </is>
      </c>
      <c r="G2737" s="16" t="inlineStr">
        <is>
          <t>1. Set workspace state: Loaded workspace with data.
2. Open Editor panel.</t>
        </is>
      </c>
      <c r="H2737" s="16" t="inlineStr">
        <is>
          <t>panel=Editor state=Loaded workspace with data</t>
        </is>
      </c>
      <c r="I2737" s="16" t="inlineStr">
        <is>
          <t>Panel renders without error; relevant data shown or empty state; actions appropriately enabled/disabled for state 'Loaded workspace with data'.</t>
        </is>
      </c>
      <c r="J2737" s="16" t="inlineStr"/>
      <c r="K2737" s="16" t="inlineStr">
        <is>
          <t>Not Run</t>
        </is>
      </c>
      <c r="L2737" s="16" t="inlineStr">
        <is>
          <t>Medium</t>
        </is>
      </c>
      <c r="M2737" s="16" t="inlineStr"/>
      <c r="N2737" s="16" t="inlineStr"/>
      <c r="O2737" s="16" t="inlineStr"/>
    </row>
    <row r="2738" ht="72" customHeight="1">
      <c r="A2738" s="16" t="inlineStr">
        <is>
          <t>TC-CC-0032</t>
        </is>
      </c>
      <c r="B2738" s="16" t="inlineStr">
        <is>
          <t>Cross-Cutting UX</t>
        </is>
      </c>
      <c r="C2738" s="16" t="inlineStr">
        <is>
          <t>Panel State</t>
        </is>
      </c>
      <c r="D2738" s="16" t="inlineStr">
        <is>
          <t>UX/UI</t>
        </is>
      </c>
      <c r="E2738" s="16" t="inlineStr">
        <is>
          <t>Open Editor panel while: Workspace with active edits</t>
        </is>
      </c>
      <c r="F2738" s="16" t="inlineStr">
        <is>
          <t>-</t>
        </is>
      </c>
      <c r="G2738" s="16" t="inlineStr">
        <is>
          <t>1. Set workspace state: Workspace with active edits.
2. Open Editor panel.</t>
        </is>
      </c>
      <c r="H2738" s="16" t="inlineStr">
        <is>
          <t>panel=Editor state=Workspace with active edits</t>
        </is>
      </c>
      <c r="I2738" s="16" t="inlineStr">
        <is>
          <t>Panel renders without error; relevant data shown or empty state; actions appropriately enabled/disabled for state 'Workspace with active edits'.</t>
        </is>
      </c>
      <c r="J2738" s="16" t="inlineStr"/>
      <c r="K2738" s="16" t="inlineStr">
        <is>
          <t>Not Run</t>
        </is>
      </c>
      <c r="L2738" s="16" t="inlineStr">
        <is>
          <t>Low</t>
        </is>
      </c>
      <c r="M2738" s="16" t="inlineStr"/>
      <c r="N2738" s="16" t="inlineStr"/>
      <c r="O2738" s="16" t="inlineStr"/>
    </row>
    <row r="2739" ht="72" customHeight="1">
      <c r="A2739" s="16" t="inlineStr">
        <is>
          <t>TC-CC-0033</t>
        </is>
      </c>
      <c r="B2739" s="16" t="inlineStr">
        <is>
          <t>Cross-Cutting UX</t>
        </is>
      </c>
      <c r="C2739" s="16" t="inlineStr">
        <is>
          <t>Panel State</t>
        </is>
      </c>
      <c r="D2739" s="16" t="inlineStr">
        <is>
          <t>UX/UI</t>
        </is>
      </c>
      <c r="E2739" s="16" t="inlineStr">
        <is>
          <t>Open Editor panel while: Workspace mid-pull</t>
        </is>
      </c>
      <c r="F2739" s="16" t="inlineStr">
        <is>
          <t>-</t>
        </is>
      </c>
      <c r="G2739" s="16" t="inlineStr">
        <is>
          <t>1. Set workspace state: Workspace mid-pull.
2. Open Editor panel.</t>
        </is>
      </c>
      <c r="H2739" s="16" t="inlineStr">
        <is>
          <t>panel=Editor state=Workspace mid-pull</t>
        </is>
      </c>
      <c r="I2739" s="16" t="inlineStr">
        <is>
          <t>Panel renders without error; relevant data shown or empty state; actions appropriately enabled/disabled for state 'Workspace mid-pull'.</t>
        </is>
      </c>
      <c r="J2739" s="16" t="inlineStr"/>
      <c r="K2739" s="16" t="inlineStr">
        <is>
          <t>Not Run</t>
        </is>
      </c>
      <c r="L2739" s="16" t="inlineStr">
        <is>
          <t>Low</t>
        </is>
      </c>
      <c r="M2739" s="16" t="inlineStr"/>
      <c r="N2739" s="16" t="inlineStr"/>
      <c r="O2739" s="16" t="inlineStr"/>
    </row>
    <row r="2740" ht="72" customHeight="1">
      <c r="A2740" s="16" t="inlineStr">
        <is>
          <t>TC-CC-0034</t>
        </is>
      </c>
      <c r="B2740" s="16" t="inlineStr">
        <is>
          <t>Cross-Cutting UX</t>
        </is>
      </c>
      <c r="C2740" s="16" t="inlineStr">
        <is>
          <t>Panel State</t>
        </is>
      </c>
      <c r="D2740" s="16" t="inlineStr">
        <is>
          <t>UX/UI</t>
        </is>
      </c>
      <c r="E2740" s="16" t="inlineStr">
        <is>
          <t>Open Editor panel while: Workspace with conflict modal open</t>
        </is>
      </c>
      <c r="F2740" s="16" t="inlineStr">
        <is>
          <t>-</t>
        </is>
      </c>
      <c r="G2740" s="16" t="inlineStr">
        <is>
          <t>1. Set workspace state: Workspace with conflict modal open.
2. Open Editor panel.</t>
        </is>
      </c>
      <c r="H2740" s="16" t="inlineStr">
        <is>
          <t>panel=Editor state=Workspace with conflict modal open</t>
        </is>
      </c>
      <c r="I2740" s="16" t="inlineStr">
        <is>
          <t>Panel renders without error; relevant data shown or empty state; actions appropriately enabled/disabled for state 'Workspace with conflict modal open'.</t>
        </is>
      </c>
      <c r="J2740" s="16" t="inlineStr"/>
      <c r="K2740" s="16" t="inlineStr">
        <is>
          <t>Not Run</t>
        </is>
      </c>
      <c r="L2740" s="16" t="inlineStr">
        <is>
          <t>Low</t>
        </is>
      </c>
      <c r="M2740" s="16" t="inlineStr"/>
      <c r="N2740" s="16" t="inlineStr"/>
      <c r="O2740" s="16" t="inlineStr"/>
    </row>
    <row r="2741" ht="72" customHeight="1">
      <c r="A2741" s="16" t="inlineStr">
        <is>
          <t>TC-CC-0035</t>
        </is>
      </c>
      <c r="B2741" s="16" t="inlineStr">
        <is>
          <t>Cross-Cutting UX</t>
        </is>
      </c>
      <c r="C2741" s="16" t="inlineStr">
        <is>
          <t>Panel State</t>
        </is>
      </c>
      <c r="D2741" s="16" t="inlineStr">
        <is>
          <t>UX/UI</t>
        </is>
      </c>
      <c r="E2741" s="16" t="inlineStr">
        <is>
          <t>Open Editor panel while: Workspace with secrets locked (no passphrase)</t>
        </is>
      </c>
      <c r="F2741" s="16" t="inlineStr">
        <is>
          <t>-</t>
        </is>
      </c>
      <c r="G2741" s="16" t="inlineStr">
        <is>
          <t>1. Set workspace state: Workspace with secrets locked (no passphrase).
2. Open Editor panel.</t>
        </is>
      </c>
      <c r="H2741" s="16" t="inlineStr">
        <is>
          <t>panel=Editor state=Workspace with secrets locked (no passphrase)</t>
        </is>
      </c>
      <c r="I2741" s="16" t="inlineStr">
        <is>
          <t>Panel renders without error; relevant data shown or empty state; actions appropriately enabled/disabled for state 'Workspace with secrets locked (no passphrase)'.</t>
        </is>
      </c>
      <c r="J2741" s="16" t="inlineStr"/>
      <c r="K2741" s="16" t="inlineStr">
        <is>
          <t>Not Run</t>
        </is>
      </c>
      <c r="L2741" s="16" t="inlineStr">
        <is>
          <t>Medium</t>
        </is>
      </c>
      <c r="M2741" s="16" t="inlineStr"/>
      <c r="N2741" s="16" t="inlineStr"/>
      <c r="O2741" s="16" t="inlineStr"/>
    </row>
    <row r="2742" ht="72" customHeight="1">
      <c r="A2742" s="16" t="inlineStr">
        <is>
          <t>TC-CC-0036</t>
        </is>
      </c>
      <c r="B2742" s="16" t="inlineStr">
        <is>
          <t>Cross-Cutting UX</t>
        </is>
      </c>
      <c r="C2742" s="16" t="inlineStr">
        <is>
          <t>Panel State</t>
        </is>
      </c>
      <c r="D2742" s="16" t="inlineStr">
        <is>
          <t>UX/UI</t>
        </is>
      </c>
      <c r="E2742" s="16" t="inlineStr">
        <is>
          <t>Open Environments panel while: Empty workspace</t>
        </is>
      </c>
      <c r="F2742" s="16" t="inlineStr">
        <is>
          <t>-</t>
        </is>
      </c>
      <c r="G2742" s="16" t="inlineStr">
        <is>
          <t>1. Set workspace state: Empty workspace.
2. Open Environments panel.</t>
        </is>
      </c>
      <c r="H2742" s="16" t="inlineStr">
        <is>
          <t>panel=Environments state=Empty workspace</t>
        </is>
      </c>
      <c r="I2742" s="16" t="inlineStr">
        <is>
          <t>Panel renders without error; relevant data shown or empty state; actions appropriately enabled/disabled for state 'Empty workspace'.</t>
        </is>
      </c>
      <c r="J2742" s="16" t="inlineStr"/>
      <c r="K2742" s="16" t="inlineStr">
        <is>
          <t>Not Run</t>
        </is>
      </c>
      <c r="L2742" s="16" t="inlineStr">
        <is>
          <t>Low</t>
        </is>
      </c>
      <c r="M2742" s="16" t="inlineStr"/>
      <c r="N2742" s="16" t="inlineStr"/>
      <c r="O2742" s="16" t="inlineStr"/>
    </row>
    <row r="2743" ht="72" customHeight="1">
      <c r="A2743" s="16" t="inlineStr">
        <is>
          <t>TC-CC-0037</t>
        </is>
      </c>
      <c r="B2743" s="16" t="inlineStr">
        <is>
          <t>Cross-Cutting UX</t>
        </is>
      </c>
      <c r="C2743" s="16" t="inlineStr">
        <is>
          <t>Panel State</t>
        </is>
      </c>
      <c r="D2743" s="16" t="inlineStr">
        <is>
          <t>UX/UI</t>
        </is>
      </c>
      <c r="E2743" s="16" t="inlineStr">
        <is>
          <t>Open Environments panel while: Loaded workspace with data</t>
        </is>
      </c>
      <c r="F2743" s="16" t="inlineStr">
        <is>
          <t>-</t>
        </is>
      </c>
      <c r="G2743" s="16" t="inlineStr">
        <is>
          <t>1. Set workspace state: Loaded workspace with data.
2. Open Environments panel.</t>
        </is>
      </c>
      <c r="H2743" s="16" t="inlineStr">
        <is>
          <t>panel=Environments state=Loaded workspace with data</t>
        </is>
      </c>
      <c r="I2743" s="16" t="inlineStr">
        <is>
          <t>Panel renders without error; relevant data shown or empty state; actions appropriately enabled/disabled for state 'Loaded workspace with data'.</t>
        </is>
      </c>
      <c r="J2743" s="16" t="inlineStr"/>
      <c r="K2743" s="16" t="inlineStr">
        <is>
          <t>Not Run</t>
        </is>
      </c>
      <c r="L2743" s="16" t="inlineStr">
        <is>
          <t>Medium</t>
        </is>
      </c>
      <c r="M2743" s="16" t="inlineStr"/>
      <c r="N2743" s="16" t="inlineStr"/>
      <c r="O2743" s="16" t="inlineStr"/>
    </row>
    <row r="2744" ht="72" customHeight="1">
      <c r="A2744" s="16" t="inlineStr">
        <is>
          <t>TC-CC-0038</t>
        </is>
      </c>
      <c r="B2744" s="16" t="inlineStr">
        <is>
          <t>Cross-Cutting UX</t>
        </is>
      </c>
      <c r="C2744" s="16" t="inlineStr">
        <is>
          <t>Panel State</t>
        </is>
      </c>
      <c r="D2744" s="16" t="inlineStr">
        <is>
          <t>UX/UI</t>
        </is>
      </c>
      <c r="E2744" s="16" t="inlineStr">
        <is>
          <t>Open Environments panel while: Workspace with active edits</t>
        </is>
      </c>
      <c r="F2744" s="16" t="inlineStr">
        <is>
          <t>-</t>
        </is>
      </c>
      <c r="G2744" s="16" t="inlineStr">
        <is>
          <t>1. Set workspace state: Workspace with active edits.
2. Open Environments panel.</t>
        </is>
      </c>
      <c r="H2744" s="16" t="inlineStr">
        <is>
          <t>panel=Environments state=Workspace with active edits</t>
        </is>
      </c>
      <c r="I2744" s="16" t="inlineStr">
        <is>
          <t>Panel renders without error; relevant data shown or empty state; actions appropriately enabled/disabled for state 'Workspace with active edits'.</t>
        </is>
      </c>
      <c r="J2744" s="16" t="inlineStr"/>
      <c r="K2744" s="16" t="inlineStr">
        <is>
          <t>Not Run</t>
        </is>
      </c>
      <c r="L2744" s="16" t="inlineStr">
        <is>
          <t>Low</t>
        </is>
      </c>
      <c r="M2744" s="16" t="inlineStr"/>
      <c r="N2744" s="16" t="inlineStr"/>
      <c r="O2744" s="16" t="inlineStr"/>
    </row>
    <row r="2745" ht="72" customHeight="1">
      <c r="A2745" s="16" t="inlineStr">
        <is>
          <t>TC-CC-0039</t>
        </is>
      </c>
      <c r="B2745" s="16" t="inlineStr">
        <is>
          <t>Cross-Cutting UX</t>
        </is>
      </c>
      <c r="C2745" s="16" t="inlineStr">
        <is>
          <t>Panel State</t>
        </is>
      </c>
      <c r="D2745" s="16" t="inlineStr">
        <is>
          <t>UX/UI</t>
        </is>
      </c>
      <c r="E2745" s="16" t="inlineStr">
        <is>
          <t>Open Environments panel while: Workspace mid-pull</t>
        </is>
      </c>
      <c r="F2745" s="16" t="inlineStr">
        <is>
          <t>-</t>
        </is>
      </c>
      <c r="G2745" s="16" t="inlineStr">
        <is>
          <t>1. Set workspace state: Workspace mid-pull.
2. Open Environments panel.</t>
        </is>
      </c>
      <c r="H2745" s="16" t="inlineStr">
        <is>
          <t>panel=Environments state=Workspace mid-pull</t>
        </is>
      </c>
      <c r="I2745" s="16" t="inlineStr">
        <is>
          <t>Panel renders without error; relevant data shown or empty state; actions appropriately enabled/disabled for state 'Workspace mid-pull'.</t>
        </is>
      </c>
      <c r="J2745" s="16" t="inlineStr"/>
      <c r="K2745" s="16" t="inlineStr">
        <is>
          <t>Not Run</t>
        </is>
      </c>
      <c r="L2745" s="16" t="inlineStr">
        <is>
          <t>Low</t>
        </is>
      </c>
      <c r="M2745" s="16" t="inlineStr"/>
      <c r="N2745" s="16" t="inlineStr"/>
      <c r="O2745" s="16" t="inlineStr"/>
    </row>
    <row r="2746" ht="72" customHeight="1">
      <c r="A2746" s="16" t="inlineStr">
        <is>
          <t>TC-CC-0040</t>
        </is>
      </c>
      <c r="B2746" s="16" t="inlineStr">
        <is>
          <t>Cross-Cutting UX</t>
        </is>
      </c>
      <c r="C2746" s="16" t="inlineStr">
        <is>
          <t>Panel State</t>
        </is>
      </c>
      <c r="D2746" s="16" t="inlineStr">
        <is>
          <t>UX/UI</t>
        </is>
      </c>
      <c r="E2746" s="16" t="inlineStr">
        <is>
          <t>Open Environments panel while: Workspace with conflict modal open</t>
        </is>
      </c>
      <c r="F2746" s="16" t="inlineStr">
        <is>
          <t>-</t>
        </is>
      </c>
      <c r="G2746" s="16" t="inlineStr">
        <is>
          <t>1. Set workspace state: Workspace with conflict modal open.
2. Open Environments panel.</t>
        </is>
      </c>
      <c r="H2746" s="16" t="inlineStr">
        <is>
          <t>panel=Environments state=Workspace with conflict modal open</t>
        </is>
      </c>
      <c r="I2746" s="16" t="inlineStr">
        <is>
          <t>Panel renders without error; relevant data shown or empty state; actions appropriately enabled/disabled for state 'Workspace with conflict modal open'.</t>
        </is>
      </c>
      <c r="J2746" s="16" t="inlineStr"/>
      <c r="K2746" s="16" t="inlineStr">
        <is>
          <t>Not Run</t>
        </is>
      </c>
      <c r="L2746" s="16" t="inlineStr">
        <is>
          <t>Low</t>
        </is>
      </c>
      <c r="M2746" s="16" t="inlineStr"/>
      <c r="N2746" s="16" t="inlineStr"/>
      <c r="O2746" s="16" t="inlineStr"/>
    </row>
    <row r="2747" ht="72" customHeight="1">
      <c r="A2747" s="16" t="inlineStr">
        <is>
          <t>TC-CC-0041</t>
        </is>
      </c>
      <c r="B2747" s="16" t="inlineStr">
        <is>
          <t>Cross-Cutting UX</t>
        </is>
      </c>
      <c r="C2747" s="16" t="inlineStr">
        <is>
          <t>Panel State</t>
        </is>
      </c>
      <c r="D2747" s="16" t="inlineStr">
        <is>
          <t>UX/UI</t>
        </is>
      </c>
      <c r="E2747" s="16" t="inlineStr">
        <is>
          <t>Open Environments panel while: Workspace with secrets locked (no passphrase)</t>
        </is>
      </c>
      <c r="F2747" s="16" t="inlineStr">
        <is>
          <t>-</t>
        </is>
      </c>
      <c r="G2747" s="16" t="inlineStr">
        <is>
          <t>1. Set workspace state: Workspace with secrets locked (no passphrase).
2. Open Environments panel.</t>
        </is>
      </c>
      <c r="H2747" s="16" t="inlineStr">
        <is>
          <t>panel=Environments state=Workspace with secrets locked (no passphrase)</t>
        </is>
      </c>
      <c r="I2747" s="16" t="inlineStr">
        <is>
          <t>Panel renders without error; relevant data shown or empty state; actions appropriately enabled/disabled for state 'Workspace with secrets locked (no passphrase)'.</t>
        </is>
      </c>
      <c r="J2747" s="16" t="inlineStr"/>
      <c r="K2747" s="16" t="inlineStr">
        <is>
          <t>Not Run</t>
        </is>
      </c>
      <c r="L2747" s="16" t="inlineStr">
        <is>
          <t>Medium</t>
        </is>
      </c>
      <c r="M2747" s="16" t="inlineStr"/>
      <c r="N2747" s="16" t="inlineStr"/>
      <c r="O2747" s="16" t="inlineStr"/>
    </row>
    <row r="2748" ht="72" customHeight="1">
      <c r="A2748" s="16" t="inlineStr">
        <is>
          <t>TC-CC-0042</t>
        </is>
      </c>
      <c r="B2748" s="16" t="inlineStr">
        <is>
          <t>Cross-Cutting UX</t>
        </is>
      </c>
      <c r="C2748" s="16" t="inlineStr">
        <is>
          <t>Panel State</t>
        </is>
      </c>
      <c r="D2748" s="16" t="inlineStr">
        <is>
          <t>UX/UI</t>
        </is>
      </c>
      <c r="E2748" s="16" t="inlineStr">
        <is>
          <t>Open Execution panel while: Empty workspace</t>
        </is>
      </c>
      <c r="F2748" s="16" t="inlineStr">
        <is>
          <t>-</t>
        </is>
      </c>
      <c r="G2748" s="16" t="inlineStr">
        <is>
          <t>1. Set workspace state: Empty workspace.
2. Open Execution panel.</t>
        </is>
      </c>
      <c r="H2748" s="16" t="inlineStr">
        <is>
          <t>panel=Execution state=Empty workspace</t>
        </is>
      </c>
      <c r="I2748" s="16" t="inlineStr">
        <is>
          <t>Panel renders without error; relevant data shown or empty state; actions appropriately enabled/disabled for state 'Empty workspace'.</t>
        </is>
      </c>
      <c r="J2748" s="16" t="inlineStr"/>
      <c r="K2748" s="16" t="inlineStr">
        <is>
          <t>Not Run</t>
        </is>
      </c>
      <c r="L2748" s="16" t="inlineStr">
        <is>
          <t>Low</t>
        </is>
      </c>
      <c r="M2748" s="16" t="inlineStr"/>
      <c r="N2748" s="16" t="inlineStr"/>
      <c r="O2748" s="16" t="inlineStr"/>
    </row>
    <row r="2749" ht="72" customHeight="1">
      <c r="A2749" s="16" t="inlineStr">
        <is>
          <t>TC-CC-0043</t>
        </is>
      </c>
      <c r="B2749" s="16" t="inlineStr">
        <is>
          <t>Cross-Cutting UX</t>
        </is>
      </c>
      <c r="C2749" s="16" t="inlineStr">
        <is>
          <t>Panel State</t>
        </is>
      </c>
      <c r="D2749" s="16" t="inlineStr">
        <is>
          <t>UX/UI</t>
        </is>
      </c>
      <c r="E2749" s="16" t="inlineStr">
        <is>
          <t>Open Execution panel while: Loaded workspace with data</t>
        </is>
      </c>
      <c r="F2749" s="16" t="inlineStr">
        <is>
          <t>-</t>
        </is>
      </c>
      <c r="G2749" s="16" t="inlineStr">
        <is>
          <t>1. Set workspace state: Loaded workspace with data.
2. Open Execution panel.</t>
        </is>
      </c>
      <c r="H2749" s="16" t="inlineStr">
        <is>
          <t>panel=Execution state=Loaded workspace with data</t>
        </is>
      </c>
      <c r="I2749" s="16" t="inlineStr">
        <is>
          <t>Panel renders without error; relevant data shown or empty state; actions appropriately enabled/disabled for state 'Loaded workspace with data'.</t>
        </is>
      </c>
      <c r="J2749" s="16" t="inlineStr"/>
      <c r="K2749" s="16" t="inlineStr">
        <is>
          <t>Not Run</t>
        </is>
      </c>
      <c r="L2749" s="16" t="inlineStr">
        <is>
          <t>Medium</t>
        </is>
      </c>
      <c r="M2749" s="16" t="inlineStr"/>
      <c r="N2749" s="16" t="inlineStr"/>
      <c r="O2749" s="16" t="inlineStr"/>
    </row>
    <row r="2750" ht="72" customHeight="1">
      <c r="A2750" s="16" t="inlineStr">
        <is>
          <t>TC-CC-0044</t>
        </is>
      </c>
      <c r="B2750" s="16" t="inlineStr">
        <is>
          <t>Cross-Cutting UX</t>
        </is>
      </c>
      <c r="C2750" s="16" t="inlineStr">
        <is>
          <t>Panel State</t>
        </is>
      </c>
      <c r="D2750" s="16" t="inlineStr">
        <is>
          <t>UX/UI</t>
        </is>
      </c>
      <c r="E2750" s="16" t="inlineStr">
        <is>
          <t>Open Execution panel while: Workspace with active edits</t>
        </is>
      </c>
      <c r="F2750" s="16" t="inlineStr">
        <is>
          <t>-</t>
        </is>
      </c>
      <c r="G2750" s="16" t="inlineStr">
        <is>
          <t>1. Set workspace state: Workspace with active edits.
2. Open Execution panel.</t>
        </is>
      </c>
      <c r="H2750" s="16" t="inlineStr">
        <is>
          <t>panel=Execution state=Workspace with active edits</t>
        </is>
      </c>
      <c r="I2750" s="16" t="inlineStr">
        <is>
          <t>Panel renders without error; relevant data shown or empty state; actions appropriately enabled/disabled for state 'Workspace with active edits'.</t>
        </is>
      </c>
      <c r="J2750" s="16" t="inlineStr"/>
      <c r="K2750" s="16" t="inlineStr">
        <is>
          <t>Not Run</t>
        </is>
      </c>
      <c r="L2750" s="16" t="inlineStr">
        <is>
          <t>Low</t>
        </is>
      </c>
      <c r="M2750" s="16" t="inlineStr"/>
      <c r="N2750" s="16" t="inlineStr"/>
      <c r="O2750" s="16" t="inlineStr"/>
    </row>
    <row r="2751" ht="72" customHeight="1">
      <c r="A2751" s="16" t="inlineStr">
        <is>
          <t>TC-CC-0045</t>
        </is>
      </c>
      <c r="B2751" s="16" t="inlineStr">
        <is>
          <t>Cross-Cutting UX</t>
        </is>
      </c>
      <c r="C2751" s="16" t="inlineStr">
        <is>
          <t>Panel State</t>
        </is>
      </c>
      <c r="D2751" s="16" t="inlineStr">
        <is>
          <t>UX/UI</t>
        </is>
      </c>
      <c r="E2751" s="16" t="inlineStr">
        <is>
          <t>Open Execution panel while: Workspace mid-pull</t>
        </is>
      </c>
      <c r="F2751" s="16" t="inlineStr">
        <is>
          <t>-</t>
        </is>
      </c>
      <c r="G2751" s="16" t="inlineStr">
        <is>
          <t>1. Set workspace state: Workspace mid-pull.
2. Open Execution panel.</t>
        </is>
      </c>
      <c r="H2751" s="16" t="inlineStr">
        <is>
          <t>panel=Execution state=Workspace mid-pull</t>
        </is>
      </c>
      <c r="I2751" s="16" t="inlineStr">
        <is>
          <t>Panel renders without error; relevant data shown or empty state; actions appropriately enabled/disabled for state 'Workspace mid-pull'.</t>
        </is>
      </c>
      <c r="J2751" s="16" t="inlineStr"/>
      <c r="K2751" s="16" t="inlineStr">
        <is>
          <t>Not Run</t>
        </is>
      </c>
      <c r="L2751" s="16" t="inlineStr">
        <is>
          <t>Low</t>
        </is>
      </c>
      <c r="M2751" s="16" t="inlineStr"/>
      <c r="N2751" s="16" t="inlineStr"/>
      <c r="O2751" s="16" t="inlineStr"/>
    </row>
    <row r="2752" ht="72" customHeight="1">
      <c r="A2752" s="16" t="inlineStr">
        <is>
          <t>TC-CC-0046</t>
        </is>
      </c>
      <c r="B2752" s="16" t="inlineStr">
        <is>
          <t>Cross-Cutting UX</t>
        </is>
      </c>
      <c r="C2752" s="16" t="inlineStr">
        <is>
          <t>Panel State</t>
        </is>
      </c>
      <c r="D2752" s="16" t="inlineStr">
        <is>
          <t>UX/UI</t>
        </is>
      </c>
      <c r="E2752" s="16" t="inlineStr">
        <is>
          <t>Open Execution panel while: Workspace with conflict modal open</t>
        </is>
      </c>
      <c r="F2752" s="16" t="inlineStr">
        <is>
          <t>-</t>
        </is>
      </c>
      <c r="G2752" s="16" t="inlineStr">
        <is>
          <t>1. Set workspace state: Workspace with conflict modal open.
2. Open Execution panel.</t>
        </is>
      </c>
      <c r="H2752" s="16" t="inlineStr">
        <is>
          <t>panel=Execution state=Workspace with conflict modal open</t>
        </is>
      </c>
      <c r="I2752" s="16" t="inlineStr">
        <is>
          <t>Panel renders without error; relevant data shown or empty state; actions appropriately enabled/disabled for state 'Workspace with conflict modal open'.</t>
        </is>
      </c>
      <c r="J2752" s="16" t="inlineStr"/>
      <c r="K2752" s="16" t="inlineStr">
        <is>
          <t>Not Run</t>
        </is>
      </c>
      <c r="L2752" s="16" t="inlineStr">
        <is>
          <t>Low</t>
        </is>
      </c>
      <c r="M2752" s="16" t="inlineStr"/>
      <c r="N2752" s="16" t="inlineStr"/>
      <c r="O2752" s="16" t="inlineStr"/>
    </row>
    <row r="2753" ht="72" customHeight="1">
      <c r="A2753" s="16" t="inlineStr">
        <is>
          <t>TC-CC-0047</t>
        </is>
      </c>
      <c r="B2753" s="16" t="inlineStr">
        <is>
          <t>Cross-Cutting UX</t>
        </is>
      </c>
      <c r="C2753" s="16" t="inlineStr">
        <is>
          <t>Panel State</t>
        </is>
      </c>
      <c r="D2753" s="16" t="inlineStr">
        <is>
          <t>UX/UI</t>
        </is>
      </c>
      <c r="E2753" s="16" t="inlineStr">
        <is>
          <t>Open Execution panel while: Workspace with secrets locked (no passphrase)</t>
        </is>
      </c>
      <c r="F2753" s="16" t="inlineStr">
        <is>
          <t>-</t>
        </is>
      </c>
      <c r="G2753" s="16" t="inlineStr">
        <is>
          <t>1. Set workspace state: Workspace with secrets locked (no passphrase).
2. Open Execution panel.</t>
        </is>
      </c>
      <c r="H2753" s="16" t="inlineStr">
        <is>
          <t>panel=Execution state=Workspace with secrets locked (no passphrase)</t>
        </is>
      </c>
      <c r="I2753" s="16" t="inlineStr">
        <is>
          <t>Panel renders without error; relevant data shown or empty state; actions appropriately enabled/disabled for state 'Workspace with secrets locked (no passphrase)'.</t>
        </is>
      </c>
      <c r="J2753" s="16" t="inlineStr"/>
      <c r="K2753" s="16" t="inlineStr">
        <is>
          <t>Not Run</t>
        </is>
      </c>
      <c r="L2753" s="16" t="inlineStr">
        <is>
          <t>Medium</t>
        </is>
      </c>
      <c r="M2753" s="16" t="inlineStr"/>
      <c r="N2753" s="16" t="inlineStr"/>
      <c r="O2753" s="16" t="inlineStr"/>
    </row>
    <row r="2754" ht="72" customHeight="1">
      <c r="A2754" s="16" t="inlineStr">
        <is>
          <t>TC-CC-0048</t>
        </is>
      </c>
      <c r="B2754" s="16" t="inlineStr">
        <is>
          <t>Cross-Cutting UX</t>
        </is>
      </c>
      <c r="C2754" s="16" t="inlineStr">
        <is>
          <t>Panel State</t>
        </is>
      </c>
      <c r="D2754" s="16" t="inlineStr">
        <is>
          <t>UX/UI</t>
        </is>
      </c>
      <c r="E2754" s="16" t="inlineStr">
        <is>
          <t>Open Mocks panel while: Empty workspace</t>
        </is>
      </c>
      <c r="F2754" s="16" t="inlineStr">
        <is>
          <t>-</t>
        </is>
      </c>
      <c r="G2754" s="16" t="inlineStr">
        <is>
          <t>1. Set workspace state: Empty workspace.
2. Open Mocks panel.</t>
        </is>
      </c>
      <c r="H2754" s="16" t="inlineStr">
        <is>
          <t>panel=Mocks state=Empty workspace</t>
        </is>
      </c>
      <c r="I2754" s="16" t="inlineStr">
        <is>
          <t>Panel renders without error; relevant data shown or empty state; actions appropriately enabled/disabled for state 'Empty workspace'.</t>
        </is>
      </c>
      <c r="J2754" s="16" t="inlineStr"/>
      <c r="K2754" s="16" t="inlineStr">
        <is>
          <t>Not Run</t>
        </is>
      </c>
      <c r="L2754" s="16" t="inlineStr">
        <is>
          <t>Low</t>
        </is>
      </c>
      <c r="M2754" s="16" t="inlineStr"/>
      <c r="N2754" s="16" t="inlineStr"/>
      <c r="O2754" s="16" t="inlineStr"/>
    </row>
    <row r="2755" ht="72" customHeight="1">
      <c r="A2755" s="16" t="inlineStr">
        <is>
          <t>TC-CC-0049</t>
        </is>
      </c>
      <c r="B2755" s="16" t="inlineStr">
        <is>
          <t>Cross-Cutting UX</t>
        </is>
      </c>
      <c r="C2755" s="16" t="inlineStr">
        <is>
          <t>Panel State</t>
        </is>
      </c>
      <c r="D2755" s="16" t="inlineStr">
        <is>
          <t>UX/UI</t>
        </is>
      </c>
      <c r="E2755" s="16" t="inlineStr">
        <is>
          <t>Open Mocks panel while: Loaded workspace with data</t>
        </is>
      </c>
      <c r="F2755" s="16" t="inlineStr">
        <is>
          <t>-</t>
        </is>
      </c>
      <c r="G2755" s="16" t="inlineStr">
        <is>
          <t>1. Set workspace state: Loaded workspace with data.
2. Open Mocks panel.</t>
        </is>
      </c>
      <c r="H2755" s="16" t="inlineStr">
        <is>
          <t>panel=Mocks state=Loaded workspace with data</t>
        </is>
      </c>
      <c r="I2755" s="16" t="inlineStr">
        <is>
          <t>Panel renders without error; relevant data shown or empty state; actions appropriately enabled/disabled for state 'Loaded workspace with data'.</t>
        </is>
      </c>
      <c r="J2755" s="16" t="inlineStr"/>
      <c r="K2755" s="16" t="inlineStr">
        <is>
          <t>Not Run</t>
        </is>
      </c>
      <c r="L2755" s="16" t="inlineStr">
        <is>
          <t>Medium</t>
        </is>
      </c>
      <c r="M2755" s="16" t="inlineStr"/>
      <c r="N2755" s="16" t="inlineStr"/>
      <c r="O2755" s="16" t="inlineStr"/>
    </row>
    <row r="2756" ht="72" customHeight="1">
      <c r="A2756" s="16" t="inlineStr">
        <is>
          <t>TC-CC-0050</t>
        </is>
      </c>
      <c r="B2756" s="16" t="inlineStr">
        <is>
          <t>Cross-Cutting UX</t>
        </is>
      </c>
      <c r="C2756" s="16" t="inlineStr">
        <is>
          <t>Panel State</t>
        </is>
      </c>
      <c r="D2756" s="16" t="inlineStr">
        <is>
          <t>UX/UI</t>
        </is>
      </c>
      <c r="E2756" s="16" t="inlineStr">
        <is>
          <t>Open Mocks panel while: Workspace with active edits</t>
        </is>
      </c>
      <c r="F2756" s="16" t="inlineStr">
        <is>
          <t>-</t>
        </is>
      </c>
      <c r="G2756" s="16" t="inlineStr">
        <is>
          <t>1. Set workspace state: Workspace with active edits.
2. Open Mocks panel.</t>
        </is>
      </c>
      <c r="H2756" s="16" t="inlineStr">
        <is>
          <t>panel=Mocks state=Workspace with active edits</t>
        </is>
      </c>
      <c r="I2756" s="16" t="inlineStr">
        <is>
          <t>Panel renders without error; relevant data shown or empty state; actions appropriately enabled/disabled for state 'Workspace with active edits'.</t>
        </is>
      </c>
      <c r="J2756" s="16" t="inlineStr"/>
      <c r="K2756" s="16" t="inlineStr">
        <is>
          <t>Not Run</t>
        </is>
      </c>
      <c r="L2756" s="16" t="inlineStr">
        <is>
          <t>Low</t>
        </is>
      </c>
      <c r="M2756" s="16" t="inlineStr"/>
      <c r="N2756" s="16" t="inlineStr"/>
      <c r="O2756" s="16" t="inlineStr"/>
    </row>
    <row r="2757" ht="72" customHeight="1">
      <c r="A2757" s="16" t="inlineStr">
        <is>
          <t>TC-CC-0051</t>
        </is>
      </c>
      <c r="B2757" s="16" t="inlineStr">
        <is>
          <t>Cross-Cutting UX</t>
        </is>
      </c>
      <c r="C2757" s="16" t="inlineStr">
        <is>
          <t>Panel State</t>
        </is>
      </c>
      <c r="D2757" s="16" t="inlineStr">
        <is>
          <t>UX/UI</t>
        </is>
      </c>
      <c r="E2757" s="16" t="inlineStr">
        <is>
          <t>Open Mocks panel while: Workspace mid-pull</t>
        </is>
      </c>
      <c r="F2757" s="16" t="inlineStr">
        <is>
          <t>-</t>
        </is>
      </c>
      <c r="G2757" s="16" t="inlineStr">
        <is>
          <t>1. Set workspace state: Workspace mid-pull.
2. Open Mocks panel.</t>
        </is>
      </c>
      <c r="H2757" s="16" t="inlineStr">
        <is>
          <t>panel=Mocks state=Workspace mid-pull</t>
        </is>
      </c>
      <c r="I2757" s="16" t="inlineStr">
        <is>
          <t>Panel renders without error; relevant data shown or empty state; actions appropriately enabled/disabled for state 'Workspace mid-pull'.</t>
        </is>
      </c>
      <c r="J2757" s="16" t="inlineStr"/>
      <c r="K2757" s="16" t="inlineStr">
        <is>
          <t>Not Run</t>
        </is>
      </c>
      <c r="L2757" s="16" t="inlineStr">
        <is>
          <t>Low</t>
        </is>
      </c>
      <c r="M2757" s="16" t="inlineStr"/>
      <c r="N2757" s="16" t="inlineStr"/>
      <c r="O2757" s="16" t="inlineStr"/>
    </row>
    <row r="2758" ht="72" customHeight="1">
      <c r="A2758" s="16" t="inlineStr">
        <is>
          <t>TC-CC-0052</t>
        </is>
      </c>
      <c r="B2758" s="16" t="inlineStr">
        <is>
          <t>Cross-Cutting UX</t>
        </is>
      </c>
      <c r="C2758" s="16" t="inlineStr">
        <is>
          <t>Panel State</t>
        </is>
      </c>
      <c r="D2758" s="16" t="inlineStr">
        <is>
          <t>UX/UI</t>
        </is>
      </c>
      <c r="E2758" s="16" t="inlineStr">
        <is>
          <t>Open Mocks panel while: Workspace with conflict modal open</t>
        </is>
      </c>
      <c r="F2758" s="16" t="inlineStr">
        <is>
          <t>-</t>
        </is>
      </c>
      <c r="G2758" s="16" t="inlineStr">
        <is>
          <t>1. Set workspace state: Workspace with conflict modal open.
2. Open Mocks panel.</t>
        </is>
      </c>
      <c r="H2758" s="16" t="inlineStr">
        <is>
          <t>panel=Mocks state=Workspace with conflict modal open</t>
        </is>
      </c>
      <c r="I2758" s="16" t="inlineStr">
        <is>
          <t>Panel renders without error; relevant data shown or empty state; actions appropriately enabled/disabled for state 'Workspace with conflict modal open'.</t>
        </is>
      </c>
      <c r="J2758" s="16" t="inlineStr"/>
      <c r="K2758" s="16" t="inlineStr">
        <is>
          <t>Not Run</t>
        </is>
      </c>
      <c r="L2758" s="16" t="inlineStr">
        <is>
          <t>Low</t>
        </is>
      </c>
      <c r="M2758" s="16" t="inlineStr"/>
      <c r="N2758" s="16" t="inlineStr"/>
      <c r="O2758" s="16" t="inlineStr"/>
    </row>
    <row r="2759" ht="72" customHeight="1">
      <c r="A2759" s="16" t="inlineStr">
        <is>
          <t>TC-CC-0053</t>
        </is>
      </c>
      <c r="B2759" s="16" t="inlineStr">
        <is>
          <t>Cross-Cutting UX</t>
        </is>
      </c>
      <c r="C2759" s="16" t="inlineStr">
        <is>
          <t>Panel State</t>
        </is>
      </c>
      <c r="D2759" s="16" t="inlineStr">
        <is>
          <t>UX/UI</t>
        </is>
      </c>
      <c r="E2759" s="16" t="inlineStr">
        <is>
          <t>Open Mocks panel while: Workspace with secrets locked (no passphrase)</t>
        </is>
      </c>
      <c r="F2759" s="16" t="inlineStr">
        <is>
          <t>-</t>
        </is>
      </c>
      <c r="G2759" s="16" t="inlineStr">
        <is>
          <t>1. Set workspace state: Workspace with secrets locked (no passphrase).
2. Open Mocks panel.</t>
        </is>
      </c>
      <c r="H2759" s="16" t="inlineStr">
        <is>
          <t>panel=Mocks state=Workspace with secrets locked (no passphrase)</t>
        </is>
      </c>
      <c r="I2759" s="16" t="inlineStr">
        <is>
          <t>Panel renders without error; relevant data shown or empty state; actions appropriately enabled/disabled for state 'Workspace with secrets locked (no passphrase)'.</t>
        </is>
      </c>
      <c r="J2759" s="16" t="inlineStr"/>
      <c r="K2759" s="16" t="inlineStr">
        <is>
          <t>Not Run</t>
        </is>
      </c>
      <c r="L2759" s="16" t="inlineStr">
        <is>
          <t>Medium</t>
        </is>
      </c>
      <c r="M2759" s="16" t="inlineStr"/>
      <c r="N2759" s="16" t="inlineStr"/>
      <c r="O2759" s="16" t="inlineStr"/>
    </row>
    <row r="2760" ht="72" customHeight="1">
      <c r="A2760" s="16" t="inlineStr">
        <is>
          <t>TC-CC-0054</t>
        </is>
      </c>
      <c r="B2760" s="16" t="inlineStr">
        <is>
          <t>Cross-Cutting UX</t>
        </is>
      </c>
      <c r="C2760" s="16" t="inlineStr">
        <is>
          <t>Panel State</t>
        </is>
      </c>
      <c r="D2760" s="16" t="inlineStr">
        <is>
          <t>UX/UI</t>
        </is>
      </c>
      <c r="E2760" s="16" t="inlineStr">
        <is>
          <t>Open History panel while: Empty workspace</t>
        </is>
      </c>
      <c r="F2760" s="16" t="inlineStr">
        <is>
          <t>-</t>
        </is>
      </c>
      <c r="G2760" s="16" t="inlineStr">
        <is>
          <t>1. Set workspace state: Empty workspace.
2. Open History panel.</t>
        </is>
      </c>
      <c r="H2760" s="16" t="inlineStr">
        <is>
          <t>panel=History state=Empty workspace</t>
        </is>
      </c>
      <c r="I2760" s="16" t="inlineStr">
        <is>
          <t>Panel renders without error; relevant data shown or empty state; actions appropriately enabled/disabled for state 'Empty workspace'.</t>
        </is>
      </c>
      <c r="J2760" s="16" t="inlineStr"/>
      <c r="K2760" s="16" t="inlineStr">
        <is>
          <t>Not Run</t>
        </is>
      </c>
      <c r="L2760" s="16" t="inlineStr">
        <is>
          <t>Low</t>
        </is>
      </c>
      <c r="M2760" s="16" t="inlineStr"/>
      <c r="N2760" s="16" t="inlineStr"/>
      <c r="O2760" s="16" t="inlineStr"/>
    </row>
    <row r="2761" ht="72" customHeight="1">
      <c r="A2761" s="16" t="inlineStr">
        <is>
          <t>TC-CC-0055</t>
        </is>
      </c>
      <c r="B2761" s="16" t="inlineStr">
        <is>
          <t>Cross-Cutting UX</t>
        </is>
      </c>
      <c r="C2761" s="16" t="inlineStr">
        <is>
          <t>Panel State</t>
        </is>
      </c>
      <c r="D2761" s="16" t="inlineStr">
        <is>
          <t>UX/UI</t>
        </is>
      </c>
      <c r="E2761" s="16" t="inlineStr">
        <is>
          <t>Open History panel while: Loaded workspace with data</t>
        </is>
      </c>
      <c r="F2761" s="16" t="inlineStr">
        <is>
          <t>-</t>
        </is>
      </c>
      <c r="G2761" s="16" t="inlineStr">
        <is>
          <t>1. Set workspace state: Loaded workspace with data.
2. Open History panel.</t>
        </is>
      </c>
      <c r="H2761" s="16" t="inlineStr">
        <is>
          <t>panel=History state=Loaded workspace with data</t>
        </is>
      </c>
      <c r="I2761" s="16" t="inlineStr">
        <is>
          <t>Panel renders without error; relevant data shown or empty state; actions appropriately enabled/disabled for state 'Loaded workspace with data'.</t>
        </is>
      </c>
      <c r="J2761" s="16" t="inlineStr"/>
      <c r="K2761" s="16" t="inlineStr">
        <is>
          <t>Not Run</t>
        </is>
      </c>
      <c r="L2761" s="16" t="inlineStr">
        <is>
          <t>Medium</t>
        </is>
      </c>
      <c r="M2761" s="16" t="inlineStr"/>
      <c r="N2761" s="16" t="inlineStr"/>
      <c r="O2761" s="16" t="inlineStr"/>
    </row>
    <row r="2762" ht="72" customHeight="1">
      <c r="A2762" s="16" t="inlineStr">
        <is>
          <t>TC-CC-0056</t>
        </is>
      </c>
      <c r="B2762" s="16" t="inlineStr">
        <is>
          <t>Cross-Cutting UX</t>
        </is>
      </c>
      <c r="C2762" s="16" t="inlineStr">
        <is>
          <t>Panel State</t>
        </is>
      </c>
      <c r="D2762" s="16" t="inlineStr">
        <is>
          <t>UX/UI</t>
        </is>
      </c>
      <c r="E2762" s="16" t="inlineStr">
        <is>
          <t>Open History panel while: Workspace with active edits</t>
        </is>
      </c>
      <c r="F2762" s="16" t="inlineStr">
        <is>
          <t>-</t>
        </is>
      </c>
      <c r="G2762" s="16" t="inlineStr">
        <is>
          <t>1. Set workspace state: Workspace with active edits.
2. Open History panel.</t>
        </is>
      </c>
      <c r="H2762" s="16" t="inlineStr">
        <is>
          <t>panel=History state=Workspace with active edits</t>
        </is>
      </c>
      <c r="I2762" s="16" t="inlineStr">
        <is>
          <t>Panel renders without error; relevant data shown or empty state; actions appropriately enabled/disabled for state 'Workspace with active edits'.</t>
        </is>
      </c>
      <c r="J2762" s="16" t="inlineStr"/>
      <c r="K2762" s="16" t="inlineStr">
        <is>
          <t>Not Run</t>
        </is>
      </c>
      <c r="L2762" s="16" t="inlineStr">
        <is>
          <t>Low</t>
        </is>
      </c>
      <c r="M2762" s="16" t="inlineStr"/>
      <c r="N2762" s="16" t="inlineStr"/>
      <c r="O2762" s="16" t="inlineStr"/>
    </row>
    <row r="2763" ht="72" customHeight="1">
      <c r="A2763" s="16" t="inlineStr">
        <is>
          <t>TC-CC-0057</t>
        </is>
      </c>
      <c r="B2763" s="16" t="inlineStr">
        <is>
          <t>Cross-Cutting UX</t>
        </is>
      </c>
      <c r="C2763" s="16" t="inlineStr">
        <is>
          <t>Panel State</t>
        </is>
      </c>
      <c r="D2763" s="16" t="inlineStr">
        <is>
          <t>UX/UI</t>
        </is>
      </c>
      <c r="E2763" s="16" t="inlineStr">
        <is>
          <t>Open History panel while: Workspace mid-pull</t>
        </is>
      </c>
      <c r="F2763" s="16" t="inlineStr">
        <is>
          <t>-</t>
        </is>
      </c>
      <c r="G2763" s="16" t="inlineStr">
        <is>
          <t>1. Set workspace state: Workspace mid-pull.
2. Open History panel.</t>
        </is>
      </c>
      <c r="H2763" s="16" t="inlineStr">
        <is>
          <t>panel=History state=Workspace mid-pull</t>
        </is>
      </c>
      <c r="I2763" s="16" t="inlineStr">
        <is>
          <t>Panel renders without error; relevant data shown or empty state; actions appropriately enabled/disabled for state 'Workspace mid-pull'.</t>
        </is>
      </c>
      <c r="J2763" s="16" t="inlineStr"/>
      <c r="K2763" s="16" t="inlineStr">
        <is>
          <t>Not Run</t>
        </is>
      </c>
      <c r="L2763" s="16" t="inlineStr">
        <is>
          <t>Low</t>
        </is>
      </c>
      <c r="M2763" s="16" t="inlineStr"/>
      <c r="N2763" s="16" t="inlineStr"/>
      <c r="O2763" s="16" t="inlineStr"/>
    </row>
    <row r="2764" ht="72" customHeight="1">
      <c r="A2764" s="16" t="inlineStr">
        <is>
          <t>TC-CC-0058</t>
        </is>
      </c>
      <c r="B2764" s="16" t="inlineStr">
        <is>
          <t>Cross-Cutting UX</t>
        </is>
      </c>
      <c r="C2764" s="16" t="inlineStr">
        <is>
          <t>Panel State</t>
        </is>
      </c>
      <c r="D2764" s="16" t="inlineStr">
        <is>
          <t>UX/UI</t>
        </is>
      </c>
      <c r="E2764" s="16" t="inlineStr">
        <is>
          <t>Open History panel while: Workspace with conflict modal open</t>
        </is>
      </c>
      <c r="F2764" s="16" t="inlineStr">
        <is>
          <t>-</t>
        </is>
      </c>
      <c r="G2764" s="16" t="inlineStr">
        <is>
          <t>1. Set workspace state: Workspace with conflict modal open.
2. Open History panel.</t>
        </is>
      </c>
      <c r="H2764" s="16" t="inlineStr">
        <is>
          <t>panel=History state=Workspace with conflict modal open</t>
        </is>
      </c>
      <c r="I2764" s="16" t="inlineStr">
        <is>
          <t>Panel renders without error; relevant data shown or empty state; actions appropriately enabled/disabled for state 'Workspace with conflict modal open'.</t>
        </is>
      </c>
      <c r="J2764" s="16" t="inlineStr"/>
      <c r="K2764" s="16" t="inlineStr">
        <is>
          <t>Not Run</t>
        </is>
      </c>
      <c r="L2764" s="16" t="inlineStr">
        <is>
          <t>Low</t>
        </is>
      </c>
      <c r="M2764" s="16" t="inlineStr"/>
      <c r="N2764" s="16" t="inlineStr"/>
      <c r="O2764" s="16" t="inlineStr"/>
    </row>
    <row r="2765" ht="72" customHeight="1">
      <c r="A2765" s="16" t="inlineStr">
        <is>
          <t>TC-CC-0059</t>
        </is>
      </c>
      <c r="B2765" s="16" t="inlineStr">
        <is>
          <t>Cross-Cutting UX</t>
        </is>
      </c>
      <c r="C2765" s="16" t="inlineStr">
        <is>
          <t>Panel State</t>
        </is>
      </c>
      <c r="D2765" s="16" t="inlineStr">
        <is>
          <t>UX/UI</t>
        </is>
      </c>
      <c r="E2765" s="16" t="inlineStr">
        <is>
          <t>Open History panel while: Workspace with secrets locked (no passphrase)</t>
        </is>
      </c>
      <c r="F2765" s="16" t="inlineStr">
        <is>
          <t>-</t>
        </is>
      </c>
      <c r="G2765" s="16" t="inlineStr">
        <is>
          <t>1. Set workspace state: Workspace with secrets locked (no passphrase).
2. Open History panel.</t>
        </is>
      </c>
      <c r="H2765" s="16" t="inlineStr">
        <is>
          <t>panel=History state=Workspace with secrets locked (no passphrase)</t>
        </is>
      </c>
      <c r="I2765" s="16" t="inlineStr">
        <is>
          <t>Panel renders without error; relevant data shown or empty state; actions appropriately enabled/disabled for state 'Workspace with secrets locked (no passphrase)'.</t>
        </is>
      </c>
      <c r="J2765" s="16" t="inlineStr"/>
      <c r="K2765" s="16" t="inlineStr">
        <is>
          <t>Not Run</t>
        </is>
      </c>
      <c r="L2765" s="16" t="inlineStr">
        <is>
          <t>Medium</t>
        </is>
      </c>
      <c r="M2765" s="16" t="inlineStr"/>
      <c r="N2765" s="16" t="inlineStr"/>
      <c r="O2765" s="16" t="inlineStr"/>
    </row>
    <row r="2766" ht="72" customHeight="1">
      <c r="A2766" s="16" t="inlineStr">
        <is>
          <t>TC-CC-0060</t>
        </is>
      </c>
      <c r="B2766" s="16" t="inlineStr">
        <is>
          <t>Cross-Cutting UX</t>
        </is>
      </c>
      <c r="C2766" s="16" t="inlineStr">
        <is>
          <t>Panel State</t>
        </is>
      </c>
      <c r="D2766" s="16" t="inlineStr">
        <is>
          <t>UX/UI</t>
        </is>
      </c>
      <c r="E2766" s="16" t="inlineStr">
        <is>
          <t>Open Help panel while: Empty workspace</t>
        </is>
      </c>
      <c r="F2766" s="16" t="inlineStr">
        <is>
          <t>-</t>
        </is>
      </c>
      <c r="G2766" s="16" t="inlineStr">
        <is>
          <t>1. Set workspace state: Empty workspace.
2. Open Help panel.</t>
        </is>
      </c>
      <c r="H2766" s="16" t="inlineStr">
        <is>
          <t>panel=Help state=Empty workspace</t>
        </is>
      </c>
      <c r="I2766" s="16" t="inlineStr">
        <is>
          <t>Panel renders without error; relevant data shown or empty state; actions appropriately enabled/disabled for state 'Empty workspace'.</t>
        </is>
      </c>
      <c r="J2766" s="16" t="inlineStr"/>
      <c r="K2766" s="16" t="inlineStr">
        <is>
          <t>Not Run</t>
        </is>
      </c>
      <c r="L2766" s="16" t="inlineStr">
        <is>
          <t>Low</t>
        </is>
      </c>
      <c r="M2766" s="16" t="inlineStr"/>
      <c r="N2766" s="16" t="inlineStr"/>
      <c r="O2766" s="16" t="inlineStr"/>
    </row>
    <row r="2767" ht="72" customHeight="1">
      <c r="A2767" s="16" t="inlineStr">
        <is>
          <t>TC-CC-0061</t>
        </is>
      </c>
      <c r="B2767" s="16" t="inlineStr">
        <is>
          <t>Cross-Cutting UX</t>
        </is>
      </c>
      <c r="C2767" s="16" t="inlineStr">
        <is>
          <t>Panel State</t>
        </is>
      </c>
      <c r="D2767" s="16" t="inlineStr">
        <is>
          <t>UX/UI</t>
        </is>
      </c>
      <c r="E2767" s="16" t="inlineStr">
        <is>
          <t>Open Help panel while: Loaded workspace with data</t>
        </is>
      </c>
      <c r="F2767" s="16" t="inlineStr">
        <is>
          <t>-</t>
        </is>
      </c>
      <c r="G2767" s="16" t="inlineStr">
        <is>
          <t>1. Set workspace state: Loaded workspace with data.
2. Open Help panel.</t>
        </is>
      </c>
      <c r="H2767" s="16" t="inlineStr">
        <is>
          <t>panel=Help state=Loaded workspace with data</t>
        </is>
      </c>
      <c r="I2767" s="16" t="inlineStr">
        <is>
          <t>Panel renders without error; relevant data shown or empty state; actions appropriately enabled/disabled for state 'Loaded workspace with data'.</t>
        </is>
      </c>
      <c r="J2767" s="16" t="inlineStr"/>
      <c r="K2767" s="16" t="inlineStr">
        <is>
          <t>Not Run</t>
        </is>
      </c>
      <c r="L2767" s="16" t="inlineStr">
        <is>
          <t>Medium</t>
        </is>
      </c>
      <c r="M2767" s="16" t="inlineStr"/>
      <c r="N2767" s="16" t="inlineStr"/>
      <c r="O2767" s="16" t="inlineStr"/>
    </row>
    <row r="2768" ht="72" customHeight="1">
      <c r="A2768" s="16" t="inlineStr">
        <is>
          <t>TC-CC-0062</t>
        </is>
      </c>
      <c r="B2768" s="16" t="inlineStr">
        <is>
          <t>Cross-Cutting UX</t>
        </is>
      </c>
      <c r="C2768" s="16" t="inlineStr">
        <is>
          <t>Panel State</t>
        </is>
      </c>
      <c r="D2768" s="16" t="inlineStr">
        <is>
          <t>UX/UI</t>
        </is>
      </c>
      <c r="E2768" s="16" t="inlineStr">
        <is>
          <t>Open Help panel while: Workspace with active edits</t>
        </is>
      </c>
      <c r="F2768" s="16" t="inlineStr">
        <is>
          <t>-</t>
        </is>
      </c>
      <c r="G2768" s="16" t="inlineStr">
        <is>
          <t>1. Set workspace state: Workspace with active edits.
2. Open Help panel.</t>
        </is>
      </c>
      <c r="H2768" s="16" t="inlineStr">
        <is>
          <t>panel=Help state=Workspace with active edits</t>
        </is>
      </c>
      <c r="I2768" s="16" t="inlineStr">
        <is>
          <t>Panel renders without error; relevant data shown or empty state; actions appropriately enabled/disabled for state 'Workspace with active edits'.</t>
        </is>
      </c>
      <c r="J2768" s="16" t="inlineStr"/>
      <c r="K2768" s="16" t="inlineStr">
        <is>
          <t>Not Run</t>
        </is>
      </c>
      <c r="L2768" s="16" t="inlineStr">
        <is>
          <t>Low</t>
        </is>
      </c>
      <c r="M2768" s="16" t="inlineStr"/>
      <c r="N2768" s="16" t="inlineStr"/>
      <c r="O2768" s="16" t="inlineStr"/>
    </row>
    <row r="2769" ht="72" customHeight="1">
      <c r="A2769" s="16" t="inlineStr">
        <is>
          <t>TC-CC-0063</t>
        </is>
      </c>
      <c r="B2769" s="16" t="inlineStr">
        <is>
          <t>Cross-Cutting UX</t>
        </is>
      </c>
      <c r="C2769" s="16" t="inlineStr">
        <is>
          <t>Panel State</t>
        </is>
      </c>
      <c r="D2769" s="16" t="inlineStr">
        <is>
          <t>UX/UI</t>
        </is>
      </c>
      <c r="E2769" s="16" t="inlineStr">
        <is>
          <t>Open Help panel while: Workspace mid-pull</t>
        </is>
      </c>
      <c r="F2769" s="16" t="inlineStr">
        <is>
          <t>-</t>
        </is>
      </c>
      <c r="G2769" s="16" t="inlineStr">
        <is>
          <t>1. Set workspace state: Workspace mid-pull.
2. Open Help panel.</t>
        </is>
      </c>
      <c r="H2769" s="16" t="inlineStr">
        <is>
          <t>panel=Help state=Workspace mid-pull</t>
        </is>
      </c>
      <c r="I2769" s="16" t="inlineStr">
        <is>
          <t>Panel renders without error; relevant data shown or empty state; actions appropriately enabled/disabled for state 'Workspace mid-pull'.</t>
        </is>
      </c>
      <c r="J2769" s="16" t="inlineStr"/>
      <c r="K2769" s="16" t="inlineStr">
        <is>
          <t>Not Run</t>
        </is>
      </c>
      <c r="L2769" s="16" t="inlineStr">
        <is>
          <t>Low</t>
        </is>
      </c>
      <c r="M2769" s="16" t="inlineStr"/>
      <c r="N2769" s="16" t="inlineStr"/>
      <c r="O2769" s="16" t="inlineStr"/>
    </row>
    <row r="2770" ht="72" customHeight="1">
      <c r="A2770" s="16" t="inlineStr">
        <is>
          <t>TC-CC-0064</t>
        </is>
      </c>
      <c r="B2770" s="16" t="inlineStr">
        <is>
          <t>Cross-Cutting UX</t>
        </is>
      </c>
      <c r="C2770" s="16" t="inlineStr">
        <is>
          <t>Panel State</t>
        </is>
      </c>
      <c r="D2770" s="16" t="inlineStr">
        <is>
          <t>UX/UI</t>
        </is>
      </c>
      <c r="E2770" s="16" t="inlineStr">
        <is>
          <t>Open Help panel while: Workspace with conflict modal open</t>
        </is>
      </c>
      <c r="F2770" s="16" t="inlineStr">
        <is>
          <t>-</t>
        </is>
      </c>
      <c r="G2770" s="16" t="inlineStr">
        <is>
          <t>1. Set workspace state: Workspace with conflict modal open.
2. Open Help panel.</t>
        </is>
      </c>
      <c r="H2770" s="16" t="inlineStr">
        <is>
          <t>panel=Help state=Workspace with conflict modal open</t>
        </is>
      </c>
      <c r="I2770" s="16" t="inlineStr">
        <is>
          <t>Panel renders without error; relevant data shown or empty state; actions appropriately enabled/disabled for state 'Workspace with conflict modal open'.</t>
        </is>
      </c>
      <c r="J2770" s="16" t="inlineStr"/>
      <c r="K2770" s="16" t="inlineStr">
        <is>
          <t>Not Run</t>
        </is>
      </c>
      <c r="L2770" s="16" t="inlineStr">
        <is>
          <t>Low</t>
        </is>
      </c>
      <c r="M2770" s="16" t="inlineStr"/>
      <c r="N2770" s="16" t="inlineStr"/>
      <c r="O2770" s="16" t="inlineStr"/>
    </row>
    <row r="2771" ht="72" customHeight="1">
      <c r="A2771" s="16" t="inlineStr">
        <is>
          <t>TC-CC-0065</t>
        </is>
      </c>
      <c r="B2771" s="16" t="inlineStr">
        <is>
          <t>Cross-Cutting UX</t>
        </is>
      </c>
      <c r="C2771" s="16" t="inlineStr">
        <is>
          <t>Panel State</t>
        </is>
      </c>
      <c r="D2771" s="16" t="inlineStr">
        <is>
          <t>UX/UI</t>
        </is>
      </c>
      <c r="E2771" s="16" t="inlineStr">
        <is>
          <t>Open Help panel while: Workspace with secrets locked (no passphrase)</t>
        </is>
      </c>
      <c r="F2771" s="16" t="inlineStr">
        <is>
          <t>-</t>
        </is>
      </c>
      <c r="G2771" s="16" t="inlineStr">
        <is>
          <t>1. Set workspace state: Workspace with secrets locked (no passphrase).
2. Open Help panel.</t>
        </is>
      </c>
      <c r="H2771" s="16" t="inlineStr">
        <is>
          <t>panel=Help state=Workspace with secrets locked (no passphrase)</t>
        </is>
      </c>
      <c r="I2771" s="16" t="inlineStr">
        <is>
          <t>Panel renders without error; relevant data shown or empty state; actions appropriately enabled/disabled for state 'Workspace with secrets locked (no passphrase)'.</t>
        </is>
      </c>
      <c r="J2771" s="16" t="inlineStr"/>
      <c r="K2771" s="16" t="inlineStr">
        <is>
          <t>Not Run</t>
        </is>
      </c>
      <c r="L2771" s="16" t="inlineStr">
        <is>
          <t>Medium</t>
        </is>
      </c>
      <c r="M2771" s="16" t="inlineStr"/>
      <c r="N2771" s="16" t="inlineStr"/>
      <c r="O2771" s="16" t="inlineStr"/>
    </row>
    <row r="2772" ht="72" customHeight="1">
      <c r="A2772" s="16" t="inlineStr">
        <is>
          <t>TC-CC-0066</t>
        </is>
      </c>
      <c r="B2772" s="16" t="inlineStr">
        <is>
          <t>Cross-Cutting UX</t>
        </is>
      </c>
      <c r="C2772" s="16" t="inlineStr">
        <is>
          <t>Panel State</t>
        </is>
      </c>
      <c r="D2772" s="16" t="inlineStr">
        <is>
          <t>UX/UI</t>
        </is>
      </c>
      <c r="E2772" s="16" t="inlineStr">
        <is>
          <t>Open MCP panel while: Empty workspace</t>
        </is>
      </c>
      <c r="F2772" s="16" t="inlineStr">
        <is>
          <t>-</t>
        </is>
      </c>
      <c r="G2772" s="16" t="inlineStr">
        <is>
          <t>1. Set workspace state: Empty workspace.
2. Open MCP panel.</t>
        </is>
      </c>
      <c r="H2772" s="16" t="inlineStr">
        <is>
          <t>panel=MCP state=Empty workspace</t>
        </is>
      </c>
      <c r="I2772" s="16" t="inlineStr">
        <is>
          <t>Panel renders without error; relevant data shown or empty state; actions appropriately enabled/disabled for state 'Empty workspace'.</t>
        </is>
      </c>
      <c r="J2772" s="16" t="inlineStr"/>
      <c r="K2772" s="16" t="inlineStr">
        <is>
          <t>Not Run</t>
        </is>
      </c>
      <c r="L2772" s="16" t="inlineStr">
        <is>
          <t>Low</t>
        </is>
      </c>
      <c r="M2772" s="16" t="inlineStr"/>
      <c r="N2772" s="16" t="inlineStr"/>
      <c r="O2772" s="16" t="inlineStr"/>
    </row>
    <row r="2773" ht="72" customHeight="1">
      <c r="A2773" s="16" t="inlineStr">
        <is>
          <t>TC-CC-0067</t>
        </is>
      </c>
      <c r="B2773" s="16" t="inlineStr">
        <is>
          <t>Cross-Cutting UX</t>
        </is>
      </c>
      <c r="C2773" s="16" t="inlineStr">
        <is>
          <t>Panel State</t>
        </is>
      </c>
      <c r="D2773" s="16" t="inlineStr">
        <is>
          <t>UX/UI</t>
        </is>
      </c>
      <c r="E2773" s="16" t="inlineStr">
        <is>
          <t>Open MCP panel while: Loaded workspace with data</t>
        </is>
      </c>
      <c r="F2773" s="16" t="inlineStr">
        <is>
          <t>-</t>
        </is>
      </c>
      <c r="G2773" s="16" t="inlineStr">
        <is>
          <t>1. Set workspace state: Loaded workspace with data.
2. Open MCP panel.</t>
        </is>
      </c>
      <c r="H2773" s="16" t="inlineStr">
        <is>
          <t>panel=MCP state=Loaded workspace with data</t>
        </is>
      </c>
      <c r="I2773" s="16" t="inlineStr">
        <is>
          <t>Panel renders without error; relevant data shown or empty state; actions appropriately enabled/disabled for state 'Loaded workspace with data'.</t>
        </is>
      </c>
      <c r="J2773" s="16" t="inlineStr"/>
      <c r="K2773" s="16" t="inlineStr">
        <is>
          <t>Not Run</t>
        </is>
      </c>
      <c r="L2773" s="16" t="inlineStr">
        <is>
          <t>Medium</t>
        </is>
      </c>
      <c r="M2773" s="16" t="inlineStr"/>
      <c r="N2773" s="16" t="inlineStr"/>
      <c r="O2773" s="16" t="inlineStr"/>
    </row>
    <row r="2774" ht="72" customHeight="1">
      <c r="A2774" s="16" t="inlineStr">
        <is>
          <t>TC-CC-0068</t>
        </is>
      </c>
      <c r="B2774" s="16" t="inlineStr">
        <is>
          <t>Cross-Cutting UX</t>
        </is>
      </c>
      <c r="C2774" s="16" t="inlineStr">
        <is>
          <t>Panel State</t>
        </is>
      </c>
      <c r="D2774" s="16" t="inlineStr">
        <is>
          <t>UX/UI</t>
        </is>
      </c>
      <c r="E2774" s="16" t="inlineStr">
        <is>
          <t>Open MCP panel while: Workspace with active edits</t>
        </is>
      </c>
      <c r="F2774" s="16" t="inlineStr">
        <is>
          <t>-</t>
        </is>
      </c>
      <c r="G2774" s="16" t="inlineStr">
        <is>
          <t>1. Set workspace state: Workspace with active edits.
2. Open MCP panel.</t>
        </is>
      </c>
      <c r="H2774" s="16" t="inlineStr">
        <is>
          <t>panel=MCP state=Workspace with active edits</t>
        </is>
      </c>
      <c r="I2774" s="16" t="inlineStr">
        <is>
          <t>Panel renders without error; relevant data shown or empty state; actions appropriately enabled/disabled for state 'Workspace with active edits'.</t>
        </is>
      </c>
      <c r="J2774" s="16" t="inlineStr"/>
      <c r="K2774" s="16" t="inlineStr">
        <is>
          <t>Not Run</t>
        </is>
      </c>
      <c r="L2774" s="16" t="inlineStr">
        <is>
          <t>Low</t>
        </is>
      </c>
      <c r="M2774" s="16" t="inlineStr"/>
      <c r="N2774" s="16" t="inlineStr"/>
      <c r="O2774" s="16" t="inlineStr"/>
    </row>
    <row r="2775" ht="72" customHeight="1">
      <c r="A2775" s="16" t="inlineStr">
        <is>
          <t>TC-CC-0069</t>
        </is>
      </c>
      <c r="B2775" s="16" t="inlineStr">
        <is>
          <t>Cross-Cutting UX</t>
        </is>
      </c>
      <c r="C2775" s="16" t="inlineStr">
        <is>
          <t>Panel State</t>
        </is>
      </c>
      <c r="D2775" s="16" t="inlineStr">
        <is>
          <t>UX/UI</t>
        </is>
      </c>
      <c r="E2775" s="16" t="inlineStr">
        <is>
          <t>Open MCP panel while: Workspace mid-pull</t>
        </is>
      </c>
      <c r="F2775" s="16" t="inlineStr">
        <is>
          <t>-</t>
        </is>
      </c>
      <c r="G2775" s="16" t="inlineStr">
        <is>
          <t>1. Set workspace state: Workspace mid-pull.
2. Open MCP panel.</t>
        </is>
      </c>
      <c r="H2775" s="16" t="inlineStr">
        <is>
          <t>panel=MCP state=Workspace mid-pull</t>
        </is>
      </c>
      <c r="I2775" s="16" t="inlineStr">
        <is>
          <t>Panel renders without error; relevant data shown or empty state; actions appropriately enabled/disabled for state 'Workspace mid-pull'.</t>
        </is>
      </c>
      <c r="J2775" s="16" t="inlineStr"/>
      <c r="K2775" s="16" t="inlineStr">
        <is>
          <t>Not Run</t>
        </is>
      </c>
      <c r="L2775" s="16" t="inlineStr">
        <is>
          <t>Low</t>
        </is>
      </c>
      <c r="M2775" s="16" t="inlineStr"/>
      <c r="N2775" s="16" t="inlineStr"/>
      <c r="O2775" s="16" t="inlineStr"/>
    </row>
    <row r="2776" ht="72" customHeight="1">
      <c r="A2776" s="16" t="inlineStr">
        <is>
          <t>TC-CC-0070</t>
        </is>
      </c>
      <c r="B2776" s="16" t="inlineStr">
        <is>
          <t>Cross-Cutting UX</t>
        </is>
      </c>
      <c r="C2776" s="16" t="inlineStr">
        <is>
          <t>Panel State</t>
        </is>
      </c>
      <c r="D2776" s="16" t="inlineStr">
        <is>
          <t>UX/UI</t>
        </is>
      </c>
      <c r="E2776" s="16" t="inlineStr">
        <is>
          <t>Open MCP panel while: Workspace with conflict modal open</t>
        </is>
      </c>
      <c r="F2776" s="16" t="inlineStr">
        <is>
          <t>-</t>
        </is>
      </c>
      <c r="G2776" s="16" t="inlineStr">
        <is>
          <t>1. Set workspace state: Workspace with conflict modal open.
2. Open MCP panel.</t>
        </is>
      </c>
      <c r="H2776" s="16" t="inlineStr">
        <is>
          <t>panel=MCP state=Workspace with conflict modal open</t>
        </is>
      </c>
      <c r="I2776" s="16" t="inlineStr">
        <is>
          <t>Panel renders without error; relevant data shown or empty state; actions appropriately enabled/disabled for state 'Workspace with conflict modal open'.</t>
        </is>
      </c>
      <c r="J2776" s="16" t="inlineStr"/>
      <c r="K2776" s="16" t="inlineStr">
        <is>
          <t>Not Run</t>
        </is>
      </c>
      <c r="L2776" s="16" t="inlineStr">
        <is>
          <t>Low</t>
        </is>
      </c>
      <c r="M2776" s="16" t="inlineStr"/>
      <c r="N2776" s="16" t="inlineStr"/>
      <c r="O2776" s="16" t="inlineStr"/>
    </row>
    <row r="2777" ht="72" customHeight="1">
      <c r="A2777" s="16" t="inlineStr">
        <is>
          <t>TC-CC-0071</t>
        </is>
      </c>
      <c r="B2777" s="16" t="inlineStr">
        <is>
          <t>Cross-Cutting UX</t>
        </is>
      </c>
      <c r="C2777" s="16" t="inlineStr">
        <is>
          <t>Panel State</t>
        </is>
      </c>
      <c r="D2777" s="16" t="inlineStr">
        <is>
          <t>UX/UI</t>
        </is>
      </c>
      <c r="E2777" s="16" t="inlineStr">
        <is>
          <t>Open MCP panel while: Workspace with secrets locked (no passphrase)</t>
        </is>
      </c>
      <c r="F2777" s="16" t="inlineStr">
        <is>
          <t>-</t>
        </is>
      </c>
      <c r="G2777" s="16" t="inlineStr">
        <is>
          <t>1. Set workspace state: Workspace with secrets locked (no passphrase).
2. Open MCP panel.</t>
        </is>
      </c>
      <c r="H2777" s="16" t="inlineStr">
        <is>
          <t>panel=MCP state=Workspace with secrets locked (no passphrase)</t>
        </is>
      </c>
      <c r="I2777" s="16" t="inlineStr">
        <is>
          <t>Panel renders without error; relevant data shown or empty state; actions appropriately enabled/disabled for state 'Workspace with secrets locked (no passphrase)'.</t>
        </is>
      </c>
      <c r="J2777" s="16" t="inlineStr"/>
      <c r="K2777" s="16" t="inlineStr">
        <is>
          <t>Not Run</t>
        </is>
      </c>
      <c r="L2777" s="16" t="inlineStr">
        <is>
          <t>Medium</t>
        </is>
      </c>
      <c r="M2777" s="16" t="inlineStr"/>
      <c r="N2777" s="16" t="inlineStr"/>
      <c r="O2777" s="16" t="inlineStr"/>
    </row>
    <row r="2778" ht="72" customHeight="1">
      <c r="A2778" s="16" t="inlineStr">
        <is>
          <t>TC-ST-0008</t>
        </is>
      </c>
      <c r="B2778" s="16" t="inlineStr">
        <is>
          <t>Settings &amp; Theming</t>
        </is>
      </c>
      <c r="C2778" s="16" t="inlineStr">
        <is>
          <t>Theme Matrix</t>
        </is>
      </c>
      <c r="D2778" s="16" t="inlineStr">
        <is>
          <t>UX/UI</t>
        </is>
      </c>
      <c r="E2778" s="16" t="inlineStr">
        <is>
          <t>Render Editor panel under theme 'studio-dark'</t>
        </is>
      </c>
      <c r="F2778" s="16" t="inlineStr">
        <is>
          <t>-</t>
        </is>
      </c>
      <c r="G2778" s="16" t="inlineStr">
        <is>
          <t>1. Set theme studio-dark.
2. Navigate to Editor panel.
3. Verify text/icon contrast and color tokens.</t>
        </is>
      </c>
      <c r="H2778" s="16" t="inlineStr">
        <is>
          <t>theme=studio-dark surface=Editor panel</t>
        </is>
      </c>
      <c r="I2778" s="16" t="inlineStr">
        <is>
          <t>Theme tokens applied consistently; text legible against background; focus rings still visible; no contrast regressions.</t>
        </is>
      </c>
      <c r="J2778" s="16" t="inlineStr"/>
      <c r="K2778" s="16" t="inlineStr">
        <is>
          <t>Not Run</t>
        </is>
      </c>
      <c r="L2778" s="16" t="inlineStr">
        <is>
          <t>Medium</t>
        </is>
      </c>
      <c r="M2778" s="16" t="inlineStr"/>
      <c r="N2778" s="16" t="inlineStr"/>
      <c r="O2778" s="16" t="inlineStr"/>
    </row>
    <row r="2779" ht="72" customHeight="1">
      <c r="A2779" s="16" t="inlineStr">
        <is>
          <t>TC-ST-0009</t>
        </is>
      </c>
      <c r="B2779" s="16" t="inlineStr">
        <is>
          <t>Settings &amp; Theming</t>
        </is>
      </c>
      <c r="C2779" s="16" t="inlineStr">
        <is>
          <t>Theme Matrix</t>
        </is>
      </c>
      <c r="D2779" s="16" t="inlineStr">
        <is>
          <t>UX/UI</t>
        </is>
      </c>
      <c r="E2779" s="16" t="inlineStr">
        <is>
          <t>Render Workspace explorer under theme 'studio-dark'</t>
        </is>
      </c>
      <c r="F2779" s="16" t="inlineStr">
        <is>
          <t>-</t>
        </is>
      </c>
      <c r="G2779" s="16" t="inlineStr">
        <is>
          <t>1. Set theme studio-dark.
2. Navigate to Workspace explorer.
3. Verify text/icon contrast and color tokens.</t>
        </is>
      </c>
      <c r="H2779" s="16" t="inlineStr">
        <is>
          <t>theme=studio-dark surface=Workspace explorer</t>
        </is>
      </c>
      <c r="I2779" s="16" t="inlineStr">
        <is>
          <t>Theme tokens applied consistently; text legible against background; focus rings still visible; no contrast regressions.</t>
        </is>
      </c>
      <c r="J2779" s="16" t="inlineStr"/>
      <c r="K2779" s="16" t="inlineStr">
        <is>
          <t>Not Run</t>
        </is>
      </c>
      <c r="L2779" s="16" t="inlineStr">
        <is>
          <t>Medium</t>
        </is>
      </c>
      <c r="M2779" s="16" t="inlineStr"/>
      <c r="N2779" s="16" t="inlineStr"/>
      <c r="O2779" s="16" t="inlineStr"/>
    </row>
    <row r="2780" ht="72" customHeight="1">
      <c r="A2780" s="16" t="inlineStr">
        <is>
          <t>TC-ST-0010</t>
        </is>
      </c>
      <c r="B2780" s="16" t="inlineStr">
        <is>
          <t>Settings &amp; Theming</t>
        </is>
      </c>
      <c r="C2780" s="16" t="inlineStr">
        <is>
          <t>Theme Matrix</t>
        </is>
      </c>
      <c r="D2780" s="16" t="inlineStr">
        <is>
          <t>UX/UI</t>
        </is>
      </c>
      <c r="E2780" s="16" t="inlineStr">
        <is>
          <t>Render Response panel under theme 'studio-dark'</t>
        </is>
      </c>
      <c r="F2780" s="16" t="inlineStr">
        <is>
          <t>-</t>
        </is>
      </c>
      <c r="G2780" s="16" t="inlineStr">
        <is>
          <t>1. Set theme studio-dark.
2. Navigate to Response panel.
3. Verify text/icon contrast and color tokens.</t>
        </is>
      </c>
      <c r="H2780" s="16" t="inlineStr">
        <is>
          <t>theme=studio-dark surface=Response panel</t>
        </is>
      </c>
      <c r="I2780" s="16" t="inlineStr">
        <is>
          <t>Theme tokens applied consistently; text legible against background; focus rings still visible; no contrast regressions.</t>
        </is>
      </c>
      <c r="J2780" s="16" t="inlineStr"/>
      <c r="K2780" s="16" t="inlineStr">
        <is>
          <t>Not Run</t>
        </is>
      </c>
      <c r="L2780" s="16" t="inlineStr">
        <is>
          <t>Medium</t>
        </is>
      </c>
      <c r="M2780" s="16" t="inlineStr"/>
      <c r="N2780" s="16" t="inlineStr"/>
      <c r="O2780" s="16" t="inlineStr"/>
    </row>
    <row r="2781" ht="72" customHeight="1">
      <c r="A2781" s="16" t="inlineStr">
        <is>
          <t>TC-ST-0011</t>
        </is>
      </c>
      <c r="B2781" s="16" t="inlineStr">
        <is>
          <t>Settings &amp; Theming</t>
        </is>
      </c>
      <c r="C2781" s="16" t="inlineStr">
        <is>
          <t>Theme Matrix</t>
        </is>
      </c>
      <c r="D2781" s="16" t="inlineStr">
        <is>
          <t>UX/UI</t>
        </is>
      </c>
      <c r="E2781" s="16" t="inlineStr">
        <is>
          <t>Render Variables panel under theme 'studio-dark'</t>
        </is>
      </c>
      <c r="F2781" s="16" t="inlineStr">
        <is>
          <t>-</t>
        </is>
      </c>
      <c r="G2781" s="16" t="inlineStr">
        <is>
          <t>1. Set theme studio-dark.
2. Navigate to Variables panel.
3. Verify text/icon contrast and color tokens.</t>
        </is>
      </c>
      <c r="H2781" s="16" t="inlineStr">
        <is>
          <t>theme=studio-dark surface=Variables panel</t>
        </is>
      </c>
      <c r="I2781" s="16" t="inlineStr">
        <is>
          <t>Theme tokens applied consistently; text legible against background; focus rings still visible; no contrast regressions.</t>
        </is>
      </c>
      <c r="J2781" s="16" t="inlineStr"/>
      <c r="K2781" s="16" t="inlineStr">
        <is>
          <t>Not Run</t>
        </is>
      </c>
      <c r="L2781" s="16" t="inlineStr">
        <is>
          <t>Medium</t>
        </is>
      </c>
      <c r="M2781" s="16" t="inlineStr"/>
      <c r="N2781" s="16" t="inlineStr"/>
      <c r="O2781" s="16" t="inlineStr"/>
    </row>
    <row r="2782" ht="72" customHeight="1">
      <c r="A2782" s="16" t="inlineStr">
        <is>
          <t>TC-ST-0012</t>
        </is>
      </c>
      <c r="B2782" s="16" t="inlineStr">
        <is>
          <t>Settings &amp; Theming</t>
        </is>
      </c>
      <c r="C2782" s="16" t="inlineStr">
        <is>
          <t>Theme Matrix</t>
        </is>
      </c>
      <c r="D2782" s="16" t="inlineStr">
        <is>
          <t>UX/UI</t>
        </is>
      </c>
      <c r="E2782" s="16" t="inlineStr">
        <is>
          <t>Render Mocks list under theme 'studio-dark'</t>
        </is>
      </c>
      <c r="F2782" s="16" t="inlineStr">
        <is>
          <t>-</t>
        </is>
      </c>
      <c r="G2782" s="16" t="inlineStr">
        <is>
          <t>1. Set theme studio-dark.
2. Navigate to Mocks list.
3. Verify text/icon contrast and color tokens.</t>
        </is>
      </c>
      <c r="H2782" s="16" t="inlineStr">
        <is>
          <t>theme=studio-dark surface=Mocks list</t>
        </is>
      </c>
      <c r="I2782" s="16" t="inlineStr">
        <is>
          <t>Theme tokens applied consistently; text legible against background; focus rings still visible; no contrast regressions.</t>
        </is>
      </c>
      <c r="J2782" s="16" t="inlineStr"/>
      <c r="K2782" s="16" t="inlineStr">
        <is>
          <t>Not Run</t>
        </is>
      </c>
      <c r="L2782" s="16" t="inlineStr">
        <is>
          <t>Medium</t>
        </is>
      </c>
      <c r="M2782" s="16" t="inlineStr"/>
      <c r="N2782" s="16" t="inlineStr"/>
      <c r="O2782" s="16" t="inlineStr"/>
    </row>
    <row r="2783" ht="72" customHeight="1">
      <c r="A2783" s="16" t="inlineStr">
        <is>
          <t>TC-ST-0013</t>
        </is>
      </c>
      <c r="B2783" s="16" t="inlineStr">
        <is>
          <t>Settings &amp; Theming</t>
        </is>
      </c>
      <c r="C2783" s="16" t="inlineStr">
        <is>
          <t>Theme Matrix</t>
        </is>
      </c>
      <c r="D2783" s="16" t="inlineStr">
        <is>
          <t>UX/UI</t>
        </is>
      </c>
      <c r="E2783" s="16" t="inlineStr">
        <is>
          <t>Render Help under theme 'studio-dark'</t>
        </is>
      </c>
      <c r="F2783" s="16" t="inlineStr">
        <is>
          <t>-</t>
        </is>
      </c>
      <c r="G2783" s="16" t="inlineStr">
        <is>
          <t>1. Set theme studio-dark.
2. Navigate to Help.
3. Verify text/icon contrast and color tokens.</t>
        </is>
      </c>
      <c r="H2783" s="16" t="inlineStr">
        <is>
          <t>theme=studio-dark surface=Help</t>
        </is>
      </c>
      <c r="I2783" s="16" t="inlineStr">
        <is>
          <t>Theme tokens applied consistently; text legible against background; focus rings still visible; no contrast regressions.</t>
        </is>
      </c>
      <c r="J2783" s="16" t="inlineStr"/>
      <c r="K2783" s="16" t="inlineStr">
        <is>
          <t>Not Run</t>
        </is>
      </c>
      <c r="L2783" s="16" t="inlineStr">
        <is>
          <t>Medium</t>
        </is>
      </c>
      <c r="M2783" s="16" t="inlineStr"/>
      <c r="N2783" s="16" t="inlineStr"/>
      <c r="O2783" s="16" t="inlineStr"/>
    </row>
    <row r="2784" ht="72" customHeight="1">
      <c r="A2784" s="16" t="inlineStr">
        <is>
          <t>TC-ST-0014</t>
        </is>
      </c>
      <c r="B2784" s="16" t="inlineStr">
        <is>
          <t>Settings &amp; Theming</t>
        </is>
      </c>
      <c r="C2784" s="16" t="inlineStr">
        <is>
          <t>Theme Matrix</t>
        </is>
      </c>
      <c r="D2784" s="16" t="inlineStr">
        <is>
          <t>UX/UI</t>
        </is>
      </c>
      <c r="E2784" s="16" t="inlineStr">
        <is>
          <t>Render Editor panel under theme 'workbench-light'</t>
        </is>
      </c>
      <c r="F2784" s="16" t="inlineStr">
        <is>
          <t>-</t>
        </is>
      </c>
      <c r="G2784" s="16" t="inlineStr">
        <is>
          <t>1. Set theme workbench-light.
2. Navigate to Editor panel.
3. Verify text/icon contrast and color tokens.</t>
        </is>
      </c>
      <c r="H2784" s="16" t="inlineStr">
        <is>
          <t>theme=workbench-light surface=Editor panel</t>
        </is>
      </c>
      <c r="I2784" s="16" t="inlineStr">
        <is>
          <t>Theme tokens applied consistently; text legible against background; focus rings still visible; no contrast regressions.</t>
        </is>
      </c>
      <c r="J2784" s="16" t="inlineStr"/>
      <c r="K2784" s="16" t="inlineStr">
        <is>
          <t>Not Run</t>
        </is>
      </c>
      <c r="L2784" s="16" t="inlineStr">
        <is>
          <t>Medium</t>
        </is>
      </c>
      <c r="M2784" s="16" t="inlineStr"/>
      <c r="N2784" s="16" t="inlineStr"/>
      <c r="O2784" s="16" t="inlineStr"/>
    </row>
    <row r="2785" ht="72" customHeight="1">
      <c r="A2785" s="16" t="inlineStr">
        <is>
          <t>TC-ST-0015</t>
        </is>
      </c>
      <c r="B2785" s="16" t="inlineStr">
        <is>
          <t>Settings &amp; Theming</t>
        </is>
      </c>
      <c r="C2785" s="16" t="inlineStr">
        <is>
          <t>Theme Matrix</t>
        </is>
      </c>
      <c r="D2785" s="16" t="inlineStr">
        <is>
          <t>UX/UI</t>
        </is>
      </c>
      <c r="E2785" s="16" t="inlineStr">
        <is>
          <t>Render Workspace explorer under theme 'workbench-light'</t>
        </is>
      </c>
      <c r="F2785" s="16" t="inlineStr">
        <is>
          <t>-</t>
        </is>
      </c>
      <c r="G2785" s="16" t="inlineStr">
        <is>
          <t>1. Set theme workbench-light.
2. Navigate to Workspace explorer.
3. Verify text/icon contrast and color tokens.</t>
        </is>
      </c>
      <c r="H2785" s="16" t="inlineStr">
        <is>
          <t>theme=workbench-light surface=Workspace explorer</t>
        </is>
      </c>
      <c r="I2785" s="16" t="inlineStr">
        <is>
          <t>Theme tokens applied consistently; text legible against background; focus rings still visible; no contrast regressions.</t>
        </is>
      </c>
      <c r="J2785" s="16" t="inlineStr"/>
      <c r="K2785" s="16" t="inlineStr">
        <is>
          <t>Not Run</t>
        </is>
      </c>
      <c r="L2785" s="16" t="inlineStr">
        <is>
          <t>Medium</t>
        </is>
      </c>
      <c r="M2785" s="16" t="inlineStr"/>
      <c r="N2785" s="16" t="inlineStr"/>
      <c r="O2785" s="16" t="inlineStr"/>
    </row>
    <row r="2786" ht="72" customHeight="1">
      <c r="A2786" s="16" t="inlineStr">
        <is>
          <t>TC-ST-0016</t>
        </is>
      </c>
      <c r="B2786" s="16" t="inlineStr">
        <is>
          <t>Settings &amp; Theming</t>
        </is>
      </c>
      <c r="C2786" s="16" t="inlineStr">
        <is>
          <t>Theme Matrix</t>
        </is>
      </c>
      <c r="D2786" s="16" t="inlineStr">
        <is>
          <t>UX/UI</t>
        </is>
      </c>
      <c r="E2786" s="16" t="inlineStr">
        <is>
          <t>Render Response panel under theme 'workbench-light'</t>
        </is>
      </c>
      <c r="F2786" s="16" t="inlineStr">
        <is>
          <t>-</t>
        </is>
      </c>
      <c r="G2786" s="16" t="inlineStr">
        <is>
          <t>1. Set theme workbench-light.
2. Navigate to Response panel.
3. Verify text/icon contrast and color tokens.</t>
        </is>
      </c>
      <c r="H2786" s="16" t="inlineStr">
        <is>
          <t>theme=workbench-light surface=Response panel</t>
        </is>
      </c>
      <c r="I2786" s="16" t="inlineStr">
        <is>
          <t>Theme tokens applied consistently; text legible against background; focus rings still visible; no contrast regressions.</t>
        </is>
      </c>
      <c r="J2786" s="16" t="inlineStr"/>
      <c r="K2786" s="16" t="inlineStr">
        <is>
          <t>Not Run</t>
        </is>
      </c>
      <c r="L2786" s="16" t="inlineStr">
        <is>
          <t>Medium</t>
        </is>
      </c>
      <c r="M2786" s="16" t="inlineStr"/>
      <c r="N2786" s="16" t="inlineStr"/>
      <c r="O2786" s="16" t="inlineStr"/>
    </row>
    <row r="2787" ht="72" customHeight="1">
      <c r="A2787" s="16" t="inlineStr">
        <is>
          <t>TC-ST-0017</t>
        </is>
      </c>
      <c r="B2787" s="16" t="inlineStr">
        <is>
          <t>Settings &amp; Theming</t>
        </is>
      </c>
      <c r="C2787" s="16" t="inlineStr">
        <is>
          <t>Theme Matrix</t>
        </is>
      </c>
      <c r="D2787" s="16" t="inlineStr">
        <is>
          <t>UX/UI</t>
        </is>
      </c>
      <c r="E2787" s="16" t="inlineStr">
        <is>
          <t>Render Variables panel under theme 'workbench-light'</t>
        </is>
      </c>
      <c r="F2787" s="16" t="inlineStr">
        <is>
          <t>-</t>
        </is>
      </c>
      <c r="G2787" s="16" t="inlineStr">
        <is>
          <t>1. Set theme workbench-light.
2. Navigate to Variables panel.
3. Verify text/icon contrast and color tokens.</t>
        </is>
      </c>
      <c r="H2787" s="16" t="inlineStr">
        <is>
          <t>theme=workbench-light surface=Variables panel</t>
        </is>
      </c>
      <c r="I2787" s="16" t="inlineStr">
        <is>
          <t>Theme tokens applied consistently; text legible against background; focus rings still visible; no contrast regressions.</t>
        </is>
      </c>
      <c r="J2787" s="16" t="inlineStr"/>
      <c r="K2787" s="16" t="inlineStr">
        <is>
          <t>Not Run</t>
        </is>
      </c>
      <c r="L2787" s="16" t="inlineStr">
        <is>
          <t>Medium</t>
        </is>
      </c>
      <c r="M2787" s="16" t="inlineStr"/>
      <c r="N2787" s="16" t="inlineStr"/>
      <c r="O2787" s="16" t="inlineStr"/>
    </row>
    <row r="2788" ht="72" customHeight="1">
      <c r="A2788" s="16" t="inlineStr">
        <is>
          <t>TC-ST-0018</t>
        </is>
      </c>
      <c r="B2788" s="16" t="inlineStr">
        <is>
          <t>Settings &amp; Theming</t>
        </is>
      </c>
      <c r="C2788" s="16" t="inlineStr">
        <is>
          <t>Theme Matrix</t>
        </is>
      </c>
      <c r="D2788" s="16" t="inlineStr">
        <is>
          <t>UX/UI</t>
        </is>
      </c>
      <c r="E2788" s="16" t="inlineStr">
        <is>
          <t>Render Mocks list under theme 'workbench-light'</t>
        </is>
      </c>
      <c r="F2788" s="16" t="inlineStr">
        <is>
          <t>-</t>
        </is>
      </c>
      <c r="G2788" s="16" t="inlineStr">
        <is>
          <t>1. Set theme workbench-light.
2. Navigate to Mocks list.
3. Verify text/icon contrast and color tokens.</t>
        </is>
      </c>
      <c r="H2788" s="16" t="inlineStr">
        <is>
          <t>theme=workbench-light surface=Mocks list</t>
        </is>
      </c>
      <c r="I2788" s="16" t="inlineStr">
        <is>
          <t>Theme tokens applied consistently; text legible against background; focus rings still visible; no contrast regressions.</t>
        </is>
      </c>
      <c r="J2788" s="16" t="inlineStr"/>
      <c r="K2788" s="16" t="inlineStr">
        <is>
          <t>Not Run</t>
        </is>
      </c>
      <c r="L2788" s="16" t="inlineStr">
        <is>
          <t>Medium</t>
        </is>
      </c>
      <c r="M2788" s="16" t="inlineStr"/>
      <c r="N2788" s="16" t="inlineStr"/>
      <c r="O2788" s="16" t="inlineStr"/>
    </row>
    <row r="2789" ht="72" customHeight="1">
      <c r="A2789" s="16" t="inlineStr">
        <is>
          <t>TC-ST-0019</t>
        </is>
      </c>
      <c r="B2789" s="16" t="inlineStr">
        <is>
          <t>Settings &amp; Theming</t>
        </is>
      </c>
      <c r="C2789" s="16" t="inlineStr">
        <is>
          <t>Theme Matrix</t>
        </is>
      </c>
      <c r="D2789" s="16" t="inlineStr">
        <is>
          <t>UX/UI</t>
        </is>
      </c>
      <c r="E2789" s="16" t="inlineStr">
        <is>
          <t>Render Help under theme 'workbench-light'</t>
        </is>
      </c>
      <c r="F2789" s="16" t="inlineStr">
        <is>
          <t>-</t>
        </is>
      </c>
      <c r="G2789" s="16" t="inlineStr">
        <is>
          <t>1. Set theme workbench-light.
2. Navigate to Help.
3. Verify text/icon contrast and color tokens.</t>
        </is>
      </c>
      <c r="H2789" s="16" t="inlineStr">
        <is>
          <t>theme=workbench-light surface=Help</t>
        </is>
      </c>
      <c r="I2789" s="16" t="inlineStr">
        <is>
          <t>Theme tokens applied consistently; text legible against background; focus rings still visible; no contrast regressions.</t>
        </is>
      </c>
      <c r="J2789" s="16" t="inlineStr"/>
      <c r="K2789" s="16" t="inlineStr">
        <is>
          <t>Not Run</t>
        </is>
      </c>
      <c r="L2789" s="16" t="inlineStr">
        <is>
          <t>Medium</t>
        </is>
      </c>
      <c r="M2789" s="16" t="inlineStr"/>
      <c r="N2789" s="16" t="inlineStr"/>
      <c r="O2789" s="16" t="inlineStr"/>
    </row>
    <row r="2790" ht="72" customHeight="1">
      <c r="A2790" s="16" t="inlineStr">
        <is>
          <t>TC-ST-0020</t>
        </is>
      </c>
      <c r="B2790" s="16" t="inlineStr">
        <is>
          <t>Settings &amp; Theming</t>
        </is>
      </c>
      <c r="C2790" s="16" t="inlineStr">
        <is>
          <t>Theme Matrix</t>
        </is>
      </c>
      <c r="D2790" s="16" t="inlineStr">
        <is>
          <t>UX/UI</t>
        </is>
      </c>
      <c r="E2790" s="16" t="inlineStr">
        <is>
          <t>Render Editor panel under theme 'dracula'</t>
        </is>
      </c>
      <c r="F2790" s="16" t="inlineStr">
        <is>
          <t>-</t>
        </is>
      </c>
      <c r="G2790" s="16" t="inlineStr">
        <is>
          <t>1. Set theme dracula.
2. Navigate to Editor panel.
3. Verify text/icon contrast and color tokens.</t>
        </is>
      </c>
      <c r="H2790" s="16" t="inlineStr">
        <is>
          <t>theme=dracula surface=Editor panel</t>
        </is>
      </c>
      <c r="I2790" s="16" t="inlineStr">
        <is>
          <t>Theme tokens applied consistently; text legible against background; focus rings still visible; no contrast regressions.</t>
        </is>
      </c>
      <c r="J2790" s="16" t="inlineStr"/>
      <c r="K2790" s="16" t="inlineStr">
        <is>
          <t>Not Run</t>
        </is>
      </c>
      <c r="L2790" s="16" t="inlineStr">
        <is>
          <t>Low</t>
        </is>
      </c>
      <c r="M2790" s="16" t="inlineStr"/>
      <c r="N2790" s="16" t="inlineStr"/>
      <c r="O2790" s="16" t="inlineStr"/>
    </row>
    <row r="2791" ht="72" customHeight="1">
      <c r="A2791" s="16" t="inlineStr">
        <is>
          <t>TC-ST-0021</t>
        </is>
      </c>
      <c r="B2791" s="16" t="inlineStr">
        <is>
          <t>Settings &amp; Theming</t>
        </is>
      </c>
      <c r="C2791" s="16" t="inlineStr">
        <is>
          <t>Theme Matrix</t>
        </is>
      </c>
      <c r="D2791" s="16" t="inlineStr">
        <is>
          <t>UX/UI</t>
        </is>
      </c>
      <c r="E2791" s="16" t="inlineStr">
        <is>
          <t>Render Workspace explorer under theme 'dracula'</t>
        </is>
      </c>
      <c r="F2791" s="16" t="inlineStr">
        <is>
          <t>-</t>
        </is>
      </c>
      <c r="G2791" s="16" t="inlineStr">
        <is>
          <t>1. Set theme dracula.
2. Navigate to Workspace explorer.
3. Verify text/icon contrast and color tokens.</t>
        </is>
      </c>
      <c r="H2791" s="16" t="inlineStr">
        <is>
          <t>theme=dracula surface=Workspace explorer</t>
        </is>
      </c>
      <c r="I2791" s="16" t="inlineStr">
        <is>
          <t>Theme tokens applied consistently; text legible against background; focus rings still visible; no contrast regressions.</t>
        </is>
      </c>
      <c r="J2791" s="16" t="inlineStr"/>
      <c r="K2791" s="16" t="inlineStr">
        <is>
          <t>Not Run</t>
        </is>
      </c>
      <c r="L2791" s="16" t="inlineStr">
        <is>
          <t>Low</t>
        </is>
      </c>
      <c r="M2791" s="16" t="inlineStr"/>
      <c r="N2791" s="16" t="inlineStr"/>
      <c r="O2791" s="16" t="inlineStr"/>
    </row>
    <row r="2792" ht="72" customHeight="1">
      <c r="A2792" s="16" t="inlineStr">
        <is>
          <t>TC-ST-0022</t>
        </is>
      </c>
      <c r="B2792" s="16" t="inlineStr">
        <is>
          <t>Settings &amp; Theming</t>
        </is>
      </c>
      <c r="C2792" s="16" t="inlineStr">
        <is>
          <t>Theme Matrix</t>
        </is>
      </c>
      <c r="D2792" s="16" t="inlineStr">
        <is>
          <t>UX/UI</t>
        </is>
      </c>
      <c r="E2792" s="16" t="inlineStr">
        <is>
          <t>Render Response panel under theme 'dracula'</t>
        </is>
      </c>
      <c r="F2792" s="16" t="inlineStr">
        <is>
          <t>-</t>
        </is>
      </c>
      <c r="G2792" s="16" t="inlineStr">
        <is>
          <t>1. Set theme dracula.
2. Navigate to Response panel.
3. Verify text/icon contrast and color tokens.</t>
        </is>
      </c>
      <c r="H2792" s="16" t="inlineStr">
        <is>
          <t>theme=dracula surface=Response panel</t>
        </is>
      </c>
      <c r="I2792" s="16" t="inlineStr">
        <is>
          <t>Theme tokens applied consistently; text legible against background; focus rings still visible; no contrast regressions.</t>
        </is>
      </c>
      <c r="J2792" s="16" t="inlineStr"/>
      <c r="K2792" s="16" t="inlineStr">
        <is>
          <t>Not Run</t>
        </is>
      </c>
      <c r="L2792" s="16" t="inlineStr">
        <is>
          <t>Low</t>
        </is>
      </c>
      <c r="M2792" s="16" t="inlineStr"/>
      <c r="N2792" s="16" t="inlineStr"/>
      <c r="O2792" s="16" t="inlineStr"/>
    </row>
    <row r="2793" ht="72" customHeight="1">
      <c r="A2793" s="16" t="inlineStr">
        <is>
          <t>TC-ST-0023</t>
        </is>
      </c>
      <c r="B2793" s="16" t="inlineStr">
        <is>
          <t>Settings &amp; Theming</t>
        </is>
      </c>
      <c r="C2793" s="16" t="inlineStr">
        <is>
          <t>Theme Matrix</t>
        </is>
      </c>
      <c r="D2793" s="16" t="inlineStr">
        <is>
          <t>UX/UI</t>
        </is>
      </c>
      <c r="E2793" s="16" t="inlineStr">
        <is>
          <t>Render Variables panel under theme 'dracula'</t>
        </is>
      </c>
      <c r="F2793" s="16" t="inlineStr">
        <is>
          <t>-</t>
        </is>
      </c>
      <c r="G2793" s="16" t="inlineStr">
        <is>
          <t>1. Set theme dracula.
2. Navigate to Variables panel.
3. Verify text/icon contrast and color tokens.</t>
        </is>
      </c>
      <c r="H2793" s="16" t="inlineStr">
        <is>
          <t>theme=dracula surface=Variables panel</t>
        </is>
      </c>
      <c r="I2793" s="16" t="inlineStr">
        <is>
          <t>Theme tokens applied consistently; text legible against background; focus rings still visible; no contrast regressions.</t>
        </is>
      </c>
      <c r="J2793" s="16" t="inlineStr"/>
      <c r="K2793" s="16" t="inlineStr">
        <is>
          <t>Not Run</t>
        </is>
      </c>
      <c r="L2793" s="16" t="inlineStr">
        <is>
          <t>Low</t>
        </is>
      </c>
      <c r="M2793" s="16" t="inlineStr"/>
      <c r="N2793" s="16" t="inlineStr"/>
      <c r="O2793" s="16" t="inlineStr"/>
    </row>
    <row r="2794" ht="72" customHeight="1">
      <c r="A2794" s="16" t="inlineStr">
        <is>
          <t>TC-ST-0024</t>
        </is>
      </c>
      <c r="B2794" s="16" t="inlineStr">
        <is>
          <t>Settings &amp; Theming</t>
        </is>
      </c>
      <c r="C2794" s="16" t="inlineStr">
        <is>
          <t>Theme Matrix</t>
        </is>
      </c>
      <c r="D2794" s="16" t="inlineStr">
        <is>
          <t>UX/UI</t>
        </is>
      </c>
      <c r="E2794" s="16" t="inlineStr">
        <is>
          <t>Render Mocks list under theme 'dracula'</t>
        </is>
      </c>
      <c r="F2794" s="16" t="inlineStr">
        <is>
          <t>-</t>
        </is>
      </c>
      <c r="G2794" s="16" t="inlineStr">
        <is>
          <t>1. Set theme dracula.
2. Navigate to Mocks list.
3. Verify text/icon contrast and color tokens.</t>
        </is>
      </c>
      <c r="H2794" s="16" t="inlineStr">
        <is>
          <t>theme=dracula surface=Mocks list</t>
        </is>
      </c>
      <c r="I2794" s="16" t="inlineStr">
        <is>
          <t>Theme tokens applied consistently; text legible against background; focus rings still visible; no contrast regressions.</t>
        </is>
      </c>
      <c r="J2794" s="16" t="inlineStr"/>
      <c r="K2794" s="16" t="inlineStr">
        <is>
          <t>Not Run</t>
        </is>
      </c>
      <c r="L2794" s="16" t="inlineStr">
        <is>
          <t>Low</t>
        </is>
      </c>
      <c r="M2794" s="16" t="inlineStr"/>
      <c r="N2794" s="16" t="inlineStr"/>
      <c r="O2794" s="16" t="inlineStr"/>
    </row>
    <row r="2795" ht="72" customHeight="1">
      <c r="A2795" s="16" t="inlineStr">
        <is>
          <t>TC-ST-0025</t>
        </is>
      </c>
      <c r="B2795" s="16" t="inlineStr">
        <is>
          <t>Settings &amp; Theming</t>
        </is>
      </c>
      <c r="C2795" s="16" t="inlineStr">
        <is>
          <t>Theme Matrix</t>
        </is>
      </c>
      <c r="D2795" s="16" t="inlineStr">
        <is>
          <t>UX/UI</t>
        </is>
      </c>
      <c r="E2795" s="16" t="inlineStr">
        <is>
          <t>Render Help under theme 'dracula'</t>
        </is>
      </c>
      <c r="F2795" s="16" t="inlineStr">
        <is>
          <t>-</t>
        </is>
      </c>
      <c r="G2795" s="16" t="inlineStr">
        <is>
          <t>1. Set theme dracula.
2. Navigate to Help.
3. Verify text/icon contrast and color tokens.</t>
        </is>
      </c>
      <c r="H2795" s="16" t="inlineStr">
        <is>
          <t>theme=dracula surface=Help</t>
        </is>
      </c>
      <c r="I2795" s="16" t="inlineStr">
        <is>
          <t>Theme tokens applied consistently; text legible against background; focus rings still visible; no contrast regressions.</t>
        </is>
      </c>
      <c r="J2795" s="16" t="inlineStr"/>
      <c r="K2795" s="16" t="inlineStr">
        <is>
          <t>Not Run</t>
        </is>
      </c>
      <c r="L2795" s="16" t="inlineStr">
        <is>
          <t>Low</t>
        </is>
      </c>
      <c r="M2795" s="16" t="inlineStr"/>
      <c r="N2795" s="16" t="inlineStr"/>
      <c r="O2795" s="16" t="inlineStr"/>
    </row>
    <row r="2796" ht="72" customHeight="1">
      <c r="A2796" s="16" t="inlineStr">
        <is>
          <t>TC-ST-0026</t>
        </is>
      </c>
      <c r="B2796" s="16" t="inlineStr">
        <is>
          <t>Settings &amp; Theming</t>
        </is>
      </c>
      <c r="C2796" s="16" t="inlineStr">
        <is>
          <t>Theme Matrix</t>
        </is>
      </c>
      <c r="D2796" s="16" t="inlineStr">
        <is>
          <t>UX/UI</t>
        </is>
      </c>
      <c r="E2796" s="16" t="inlineStr">
        <is>
          <t>Render Editor panel under theme 'nord'</t>
        </is>
      </c>
      <c r="F2796" s="16" t="inlineStr">
        <is>
          <t>-</t>
        </is>
      </c>
      <c r="G2796" s="16" t="inlineStr">
        <is>
          <t>1. Set theme nord.
2. Navigate to Editor panel.
3. Verify text/icon contrast and color tokens.</t>
        </is>
      </c>
      <c r="H2796" s="16" t="inlineStr">
        <is>
          <t>theme=nord surface=Editor panel</t>
        </is>
      </c>
      <c r="I2796" s="16" t="inlineStr">
        <is>
          <t>Theme tokens applied consistently; text legible against background; focus rings still visible; no contrast regressions.</t>
        </is>
      </c>
      <c r="J2796" s="16" t="inlineStr"/>
      <c r="K2796" s="16" t="inlineStr">
        <is>
          <t>Not Run</t>
        </is>
      </c>
      <c r="L2796" s="16" t="inlineStr">
        <is>
          <t>Low</t>
        </is>
      </c>
      <c r="M2796" s="16" t="inlineStr"/>
      <c r="N2796" s="16" t="inlineStr"/>
      <c r="O2796" s="16" t="inlineStr"/>
    </row>
    <row r="2797" ht="72" customHeight="1">
      <c r="A2797" s="16" t="inlineStr">
        <is>
          <t>TC-ST-0027</t>
        </is>
      </c>
      <c r="B2797" s="16" t="inlineStr">
        <is>
          <t>Settings &amp; Theming</t>
        </is>
      </c>
      <c r="C2797" s="16" t="inlineStr">
        <is>
          <t>Theme Matrix</t>
        </is>
      </c>
      <c r="D2797" s="16" t="inlineStr">
        <is>
          <t>UX/UI</t>
        </is>
      </c>
      <c r="E2797" s="16" t="inlineStr">
        <is>
          <t>Render Workspace explorer under theme 'nord'</t>
        </is>
      </c>
      <c r="F2797" s="16" t="inlineStr">
        <is>
          <t>-</t>
        </is>
      </c>
      <c r="G2797" s="16" t="inlineStr">
        <is>
          <t>1. Set theme nord.
2. Navigate to Workspace explorer.
3. Verify text/icon contrast and color tokens.</t>
        </is>
      </c>
      <c r="H2797" s="16" t="inlineStr">
        <is>
          <t>theme=nord surface=Workspace explorer</t>
        </is>
      </c>
      <c r="I2797" s="16" t="inlineStr">
        <is>
          <t>Theme tokens applied consistently; text legible against background; focus rings still visible; no contrast regressions.</t>
        </is>
      </c>
      <c r="J2797" s="16" t="inlineStr"/>
      <c r="K2797" s="16" t="inlineStr">
        <is>
          <t>Not Run</t>
        </is>
      </c>
      <c r="L2797" s="16" t="inlineStr">
        <is>
          <t>Low</t>
        </is>
      </c>
      <c r="M2797" s="16" t="inlineStr"/>
      <c r="N2797" s="16" t="inlineStr"/>
      <c r="O2797" s="16" t="inlineStr"/>
    </row>
    <row r="2798" ht="72" customHeight="1">
      <c r="A2798" s="16" t="inlineStr">
        <is>
          <t>TC-ST-0028</t>
        </is>
      </c>
      <c r="B2798" s="16" t="inlineStr">
        <is>
          <t>Settings &amp; Theming</t>
        </is>
      </c>
      <c r="C2798" s="16" t="inlineStr">
        <is>
          <t>Theme Matrix</t>
        </is>
      </c>
      <c r="D2798" s="16" t="inlineStr">
        <is>
          <t>UX/UI</t>
        </is>
      </c>
      <c r="E2798" s="16" t="inlineStr">
        <is>
          <t>Render Response panel under theme 'nord'</t>
        </is>
      </c>
      <c r="F2798" s="16" t="inlineStr">
        <is>
          <t>-</t>
        </is>
      </c>
      <c r="G2798" s="16" t="inlineStr">
        <is>
          <t>1. Set theme nord.
2. Navigate to Response panel.
3. Verify text/icon contrast and color tokens.</t>
        </is>
      </c>
      <c r="H2798" s="16" t="inlineStr">
        <is>
          <t>theme=nord surface=Response panel</t>
        </is>
      </c>
      <c r="I2798" s="16" t="inlineStr">
        <is>
          <t>Theme tokens applied consistently; text legible against background; focus rings still visible; no contrast regressions.</t>
        </is>
      </c>
      <c r="J2798" s="16" t="inlineStr"/>
      <c r="K2798" s="16" t="inlineStr">
        <is>
          <t>Not Run</t>
        </is>
      </c>
      <c r="L2798" s="16" t="inlineStr">
        <is>
          <t>Low</t>
        </is>
      </c>
      <c r="M2798" s="16" t="inlineStr"/>
      <c r="N2798" s="16" t="inlineStr"/>
      <c r="O2798" s="16" t="inlineStr"/>
    </row>
    <row r="2799" ht="72" customHeight="1">
      <c r="A2799" s="16" t="inlineStr">
        <is>
          <t>TC-ST-0029</t>
        </is>
      </c>
      <c r="B2799" s="16" t="inlineStr">
        <is>
          <t>Settings &amp; Theming</t>
        </is>
      </c>
      <c r="C2799" s="16" t="inlineStr">
        <is>
          <t>Theme Matrix</t>
        </is>
      </c>
      <c r="D2799" s="16" t="inlineStr">
        <is>
          <t>UX/UI</t>
        </is>
      </c>
      <c r="E2799" s="16" t="inlineStr">
        <is>
          <t>Render Variables panel under theme 'nord'</t>
        </is>
      </c>
      <c r="F2799" s="16" t="inlineStr">
        <is>
          <t>-</t>
        </is>
      </c>
      <c r="G2799" s="16" t="inlineStr">
        <is>
          <t>1. Set theme nord.
2. Navigate to Variables panel.
3. Verify text/icon contrast and color tokens.</t>
        </is>
      </c>
      <c r="H2799" s="16" t="inlineStr">
        <is>
          <t>theme=nord surface=Variables panel</t>
        </is>
      </c>
      <c r="I2799" s="16" t="inlineStr">
        <is>
          <t>Theme tokens applied consistently; text legible against background; focus rings still visible; no contrast regressions.</t>
        </is>
      </c>
      <c r="J2799" s="16" t="inlineStr"/>
      <c r="K2799" s="16" t="inlineStr">
        <is>
          <t>Not Run</t>
        </is>
      </c>
      <c r="L2799" s="16" t="inlineStr">
        <is>
          <t>Low</t>
        </is>
      </c>
      <c r="M2799" s="16" t="inlineStr"/>
      <c r="N2799" s="16" t="inlineStr"/>
      <c r="O2799" s="16" t="inlineStr"/>
    </row>
    <row r="2800" ht="72" customHeight="1">
      <c r="A2800" s="16" t="inlineStr">
        <is>
          <t>TC-ST-0030</t>
        </is>
      </c>
      <c r="B2800" s="16" t="inlineStr">
        <is>
          <t>Settings &amp; Theming</t>
        </is>
      </c>
      <c r="C2800" s="16" t="inlineStr">
        <is>
          <t>Theme Matrix</t>
        </is>
      </c>
      <c r="D2800" s="16" t="inlineStr">
        <is>
          <t>UX/UI</t>
        </is>
      </c>
      <c r="E2800" s="16" t="inlineStr">
        <is>
          <t>Render Mocks list under theme 'nord'</t>
        </is>
      </c>
      <c r="F2800" s="16" t="inlineStr">
        <is>
          <t>-</t>
        </is>
      </c>
      <c r="G2800" s="16" t="inlineStr">
        <is>
          <t>1. Set theme nord.
2. Navigate to Mocks list.
3. Verify text/icon contrast and color tokens.</t>
        </is>
      </c>
      <c r="H2800" s="16" t="inlineStr">
        <is>
          <t>theme=nord surface=Mocks list</t>
        </is>
      </c>
      <c r="I2800" s="16" t="inlineStr">
        <is>
          <t>Theme tokens applied consistently; text legible against background; focus rings still visible; no contrast regressions.</t>
        </is>
      </c>
      <c r="J2800" s="16" t="inlineStr"/>
      <c r="K2800" s="16" t="inlineStr">
        <is>
          <t>Not Run</t>
        </is>
      </c>
      <c r="L2800" s="16" t="inlineStr">
        <is>
          <t>Low</t>
        </is>
      </c>
      <c r="M2800" s="16" t="inlineStr"/>
      <c r="N2800" s="16" t="inlineStr"/>
      <c r="O2800" s="16" t="inlineStr"/>
    </row>
    <row r="2801" ht="72" customHeight="1">
      <c r="A2801" s="16" t="inlineStr">
        <is>
          <t>TC-ST-0031</t>
        </is>
      </c>
      <c r="B2801" s="16" t="inlineStr">
        <is>
          <t>Settings &amp; Theming</t>
        </is>
      </c>
      <c r="C2801" s="16" t="inlineStr">
        <is>
          <t>Theme Matrix</t>
        </is>
      </c>
      <c r="D2801" s="16" t="inlineStr">
        <is>
          <t>UX/UI</t>
        </is>
      </c>
      <c r="E2801" s="16" t="inlineStr">
        <is>
          <t>Render Help under theme 'nord'</t>
        </is>
      </c>
      <c r="F2801" s="16" t="inlineStr">
        <is>
          <t>-</t>
        </is>
      </c>
      <c r="G2801" s="16" t="inlineStr">
        <is>
          <t>1. Set theme nord.
2. Navigate to Help.
3. Verify text/icon contrast and color tokens.</t>
        </is>
      </c>
      <c r="H2801" s="16" t="inlineStr">
        <is>
          <t>theme=nord surface=Help</t>
        </is>
      </c>
      <c r="I2801" s="16" t="inlineStr">
        <is>
          <t>Theme tokens applied consistently; text legible against background; focus rings still visible; no contrast regressions.</t>
        </is>
      </c>
      <c r="J2801" s="16" t="inlineStr"/>
      <c r="K2801" s="16" t="inlineStr">
        <is>
          <t>Not Run</t>
        </is>
      </c>
      <c r="L2801" s="16" t="inlineStr">
        <is>
          <t>Low</t>
        </is>
      </c>
      <c r="M2801" s="16" t="inlineStr"/>
      <c r="N2801" s="16" t="inlineStr"/>
      <c r="O2801" s="16" t="inlineStr"/>
    </row>
    <row r="2802" ht="72" customHeight="1">
      <c r="A2802" s="16" t="inlineStr">
        <is>
          <t>TC-ST-0032</t>
        </is>
      </c>
      <c r="B2802" s="16" t="inlineStr">
        <is>
          <t>Settings &amp; Theming</t>
        </is>
      </c>
      <c r="C2802" s="16" t="inlineStr">
        <is>
          <t>Theme Matrix</t>
        </is>
      </c>
      <c r="D2802" s="16" t="inlineStr">
        <is>
          <t>UX/UI</t>
        </is>
      </c>
      <c r="E2802" s="16" t="inlineStr">
        <is>
          <t>Render Editor panel under theme 'tokyo-night'</t>
        </is>
      </c>
      <c r="F2802" s="16" t="inlineStr">
        <is>
          <t>-</t>
        </is>
      </c>
      <c r="G2802" s="16" t="inlineStr">
        <is>
          <t>1. Set theme tokyo-night.
2. Navigate to Editor panel.
3. Verify text/icon contrast and color tokens.</t>
        </is>
      </c>
      <c r="H2802" s="16" t="inlineStr">
        <is>
          <t>theme=tokyo-night surface=Editor panel</t>
        </is>
      </c>
      <c r="I2802" s="16" t="inlineStr">
        <is>
          <t>Theme tokens applied consistently; text legible against background; focus rings still visible; no contrast regressions.</t>
        </is>
      </c>
      <c r="J2802" s="16" t="inlineStr"/>
      <c r="K2802" s="16" t="inlineStr">
        <is>
          <t>Not Run</t>
        </is>
      </c>
      <c r="L2802" s="16" t="inlineStr">
        <is>
          <t>Low</t>
        </is>
      </c>
      <c r="M2802" s="16" t="inlineStr"/>
      <c r="N2802" s="16" t="inlineStr"/>
      <c r="O2802" s="16" t="inlineStr"/>
    </row>
    <row r="2803" ht="72" customHeight="1">
      <c r="A2803" s="16" t="inlineStr">
        <is>
          <t>TC-ST-0033</t>
        </is>
      </c>
      <c r="B2803" s="16" t="inlineStr">
        <is>
          <t>Settings &amp; Theming</t>
        </is>
      </c>
      <c r="C2803" s="16" t="inlineStr">
        <is>
          <t>Theme Matrix</t>
        </is>
      </c>
      <c r="D2803" s="16" t="inlineStr">
        <is>
          <t>UX/UI</t>
        </is>
      </c>
      <c r="E2803" s="16" t="inlineStr">
        <is>
          <t>Render Workspace explorer under theme 'tokyo-night'</t>
        </is>
      </c>
      <c r="F2803" s="16" t="inlineStr">
        <is>
          <t>-</t>
        </is>
      </c>
      <c r="G2803" s="16" t="inlineStr">
        <is>
          <t>1. Set theme tokyo-night.
2. Navigate to Workspace explorer.
3. Verify text/icon contrast and color tokens.</t>
        </is>
      </c>
      <c r="H2803" s="16" t="inlineStr">
        <is>
          <t>theme=tokyo-night surface=Workspace explorer</t>
        </is>
      </c>
      <c r="I2803" s="16" t="inlineStr">
        <is>
          <t>Theme tokens applied consistently; text legible against background; focus rings still visible; no contrast regressions.</t>
        </is>
      </c>
      <c r="J2803" s="16" t="inlineStr"/>
      <c r="K2803" s="16" t="inlineStr">
        <is>
          <t>Not Run</t>
        </is>
      </c>
      <c r="L2803" s="16" t="inlineStr">
        <is>
          <t>Low</t>
        </is>
      </c>
      <c r="M2803" s="16" t="inlineStr"/>
      <c r="N2803" s="16" t="inlineStr"/>
      <c r="O2803" s="16" t="inlineStr"/>
    </row>
    <row r="2804" ht="72" customHeight="1">
      <c r="A2804" s="16" t="inlineStr">
        <is>
          <t>TC-ST-0034</t>
        </is>
      </c>
      <c r="B2804" s="16" t="inlineStr">
        <is>
          <t>Settings &amp; Theming</t>
        </is>
      </c>
      <c r="C2804" s="16" t="inlineStr">
        <is>
          <t>Theme Matrix</t>
        </is>
      </c>
      <c r="D2804" s="16" t="inlineStr">
        <is>
          <t>UX/UI</t>
        </is>
      </c>
      <c r="E2804" s="16" t="inlineStr">
        <is>
          <t>Render Response panel under theme 'tokyo-night'</t>
        </is>
      </c>
      <c r="F2804" s="16" t="inlineStr">
        <is>
          <t>-</t>
        </is>
      </c>
      <c r="G2804" s="16" t="inlineStr">
        <is>
          <t>1. Set theme tokyo-night.
2. Navigate to Response panel.
3. Verify text/icon contrast and color tokens.</t>
        </is>
      </c>
      <c r="H2804" s="16" t="inlineStr">
        <is>
          <t>theme=tokyo-night surface=Response panel</t>
        </is>
      </c>
      <c r="I2804" s="16" t="inlineStr">
        <is>
          <t>Theme tokens applied consistently; text legible against background; focus rings still visible; no contrast regressions.</t>
        </is>
      </c>
      <c r="J2804" s="16" t="inlineStr"/>
      <c r="K2804" s="16" t="inlineStr">
        <is>
          <t>Not Run</t>
        </is>
      </c>
      <c r="L2804" s="16" t="inlineStr">
        <is>
          <t>Low</t>
        </is>
      </c>
      <c r="M2804" s="16" t="inlineStr"/>
      <c r="N2804" s="16" t="inlineStr"/>
      <c r="O2804" s="16" t="inlineStr"/>
    </row>
    <row r="2805" ht="72" customHeight="1">
      <c r="A2805" s="16" t="inlineStr">
        <is>
          <t>TC-ST-0035</t>
        </is>
      </c>
      <c r="B2805" s="16" t="inlineStr">
        <is>
          <t>Settings &amp; Theming</t>
        </is>
      </c>
      <c r="C2805" s="16" t="inlineStr">
        <is>
          <t>Theme Matrix</t>
        </is>
      </c>
      <c r="D2805" s="16" t="inlineStr">
        <is>
          <t>UX/UI</t>
        </is>
      </c>
      <c r="E2805" s="16" t="inlineStr">
        <is>
          <t>Render Variables panel under theme 'tokyo-night'</t>
        </is>
      </c>
      <c r="F2805" s="16" t="inlineStr">
        <is>
          <t>-</t>
        </is>
      </c>
      <c r="G2805" s="16" t="inlineStr">
        <is>
          <t>1. Set theme tokyo-night.
2. Navigate to Variables panel.
3. Verify text/icon contrast and color tokens.</t>
        </is>
      </c>
      <c r="H2805" s="16" t="inlineStr">
        <is>
          <t>theme=tokyo-night surface=Variables panel</t>
        </is>
      </c>
      <c r="I2805" s="16" t="inlineStr">
        <is>
          <t>Theme tokens applied consistently; text legible against background; focus rings still visible; no contrast regressions.</t>
        </is>
      </c>
      <c r="J2805" s="16" t="inlineStr"/>
      <c r="K2805" s="16" t="inlineStr">
        <is>
          <t>Not Run</t>
        </is>
      </c>
      <c r="L2805" s="16" t="inlineStr">
        <is>
          <t>Low</t>
        </is>
      </c>
      <c r="M2805" s="16" t="inlineStr"/>
      <c r="N2805" s="16" t="inlineStr"/>
      <c r="O2805" s="16" t="inlineStr"/>
    </row>
    <row r="2806" ht="72" customHeight="1">
      <c r="A2806" s="16" t="inlineStr">
        <is>
          <t>TC-ST-0036</t>
        </is>
      </c>
      <c r="B2806" s="16" t="inlineStr">
        <is>
          <t>Settings &amp; Theming</t>
        </is>
      </c>
      <c r="C2806" s="16" t="inlineStr">
        <is>
          <t>Theme Matrix</t>
        </is>
      </c>
      <c r="D2806" s="16" t="inlineStr">
        <is>
          <t>UX/UI</t>
        </is>
      </c>
      <c r="E2806" s="16" t="inlineStr">
        <is>
          <t>Render Mocks list under theme 'tokyo-night'</t>
        </is>
      </c>
      <c r="F2806" s="16" t="inlineStr">
        <is>
          <t>-</t>
        </is>
      </c>
      <c r="G2806" s="16" t="inlineStr">
        <is>
          <t>1. Set theme tokyo-night.
2. Navigate to Mocks list.
3. Verify text/icon contrast and color tokens.</t>
        </is>
      </c>
      <c r="H2806" s="16" t="inlineStr">
        <is>
          <t>theme=tokyo-night surface=Mocks list</t>
        </is>
      </c>
      <c r="I2806" s="16" t="inlineStr">
        <is>
          <t>Theme tokens applied consistently; text legible against background; focus rings still visible; no contrast regressions.</t>
        </is>
      </c>
      <c r="J2806" s="16" t="inlineStr"/>
      <c r="K2806" s="16" t="inlineStr">
        <is>
          <t>Not Run</t>
        </is>
      </c>
      <c r="L2806" s="16" t="inlineStr">
        <is>
          <t>Low</t>
        </is>
      </c>
      <c r="M2806" s="16" t="inlineStr"/>
      <c r="N2806" s="16" t="inlineStr"/>
      <c r="O2806" s="16" t="inlineStr"/>
    </row>
    <row r="2807" ht="72" customHeight="1">
      <c r="A2807" s="16" t="inlineStr">
        <is>
          <t>TC-ST-0037</t>
        </is>
      </c>
      <c r="B2807" s="16" t="inlineStr">
        <is>
          <t>Settings &amp; Theming</t>
        </is>
      </c>
      <c r="C2807" s="16" t="inlineStr">
        <is>
          <t>Theme Matrix</t>
        </is>
      </c>
      <c r="D2807" s="16" t="inlineStr">
        <is>
          <t>UX/UI</t>
        </is>
      </c>
      <c r="E2807" s="16" t="inlineStr">
        <is>
          <t>Render Help under theme 'tokyo-night'</t>
        </is>
      </c>
      <c r="F2807" s="16" t="inlineStr">
        <is>
          <t>-</t>
        </is>
      </c>
      <c r="G2807" s="16" t="inlineStr">
        <is>
          <t>1. Set theme tokyo-night.
2. Navigate to Help.
3. Verify text/icon contrast and color tokens.</t>
        </is>
      </c>
      <c r="H2807" s="16" t="inlineStr">
        <is>
          <t>theme=tokyo-night surface=Help</t>
        </is>
      </c>
      <c r="I2807" s="16" t="inlineStr">
        <is>
          <t>Theme tokens applied consistently; text legible against background; focus rings still visible; no contrast regressions.</t>
        </is>
      </c>
      <c r="J2807" s="16" t="inlineStr"/>
      <c r="K2807" s="16" t="inlineStr">
        <is>
          <t>Not Run</t>
        </is>
      </c>
      <c r="L2807" s="16" t="inlineStr">
        <is>
          <t>Low</t>
        </is>
      </c>
      <c r="M2807" s="16" t="inlineStr"/>
      <c r="N2807" s="16" t="inlineStr"/>
      <c r="O2807" s="16" t="inlineStr"/>
    </row>
    <row r="2808" ht="72" customHeight="1">
      <c r="A2808" s="16" t="inlineStr">
        <is>
          <t>TC-ST-0038</t>
        </is>
      </c>
      <c r="B2808" s="16" t="inlineStr">
        <is>
          <t>Settings &amp; Theming</t>
        </is>
      </c>
      <c r="C2808" s="16" t="inlineStr">
        <is>
          <t>Theme Matrix</t>
        </is>
      </c>
      <c r="D2808" s="16" t="inlineStr">
        <is>
          <t>UX/UI</t>
        </is>
      </c>
      <c r="E2808" s="16" t="inlineStr">
        <is>
          <t>Render Editor panel under theme 'monokai-pro'</t>
        </is>
      </c>
      <c r="F2808" s="16" t="inlineStr">
        <is>
          <t>-</t>
        </is>
      </c>
      <c r="G2808" s="16" t="inlineStr">
        <is>
          <t>1. Set theme monokai-pro.
2. Navigate to Editor panel.
3. Verify text/icon contrast and color tokens.</t>
        </is>
      </c>
      <c r="H2808" s="16" t="inlineStr">
        <is>
          <t>theme=monokai-pro surface=Editor panel</t>
        </is>
      </c>
      <c r="I2808" s="16" t="inlineStr">
        <is>
          <t>Theme tokens applied consistently; text legible against background; focus rings still visible; no contrast regressions.</t>
        </is>
      </c>
      <c r="J2808" s="16" t="inlineStr"/>
      <c r="K2808" s="16" t="inlineStr">
        <is>
          <t>Not Run</t>
        </is>
      </c>
      <c r="L2808" s="16" t="inlineStr">
        <is>
          <t>Low</t>
        </is>
      </c>
      <c r="M2808" s="16" t="inlineStr"/>
      <c r="N2808" s="16" t="inlineStr"/>
      <c r="O2808" s="16" t="inlineStr"/>
    </row>
    <row r="2809" ht="72" customHeight="1">
      <c r="A2809" s="16" t="inlineStr">
        <is>
          <t>TC-ST-0039</t>
        </is>
      </c>
      <c r="B2809" s="16" t="inlineStr">
        <is>
          <t>Settings &amp; Theming</t>
        </is>
      </c>
      <c r="C2809" s="16" t="inlineStr">
        <is>
          <t>Theme Matrix</t>
        </is>
      </c>
      <c r="D2809" s="16" t="inlineStr">
        <is>
          <t>UX/UI</t>
        </is>
      </c>
      <c r="E2809" s="16" t="inlineStr">
        <is>
          <t>Render Workspace explorer under theme 'monokai-pro'</t>
        </is>
      </c>
      <c r="F2809" s="16" t="inlineStr">
        <is>
          <t>-</t>
        </is>
      </c>
      <c r="G2809" s="16" t="inlineStr">
        <is>
          <t>1. Set theme monokai-pro.
2. Navigate to Workspace explorer.
3. Verify text/icon contrast and color tokens.</t>
        </is>
      </c>
      <c r="H2809" s="16" t="inlineStr">
        <is>
          <t>theme=monokai-pro surface=Workspace explorer</t>
        </is>
      </c>
      <c r="I2809" s="16" t="inlineStr">
        <is>
          <t>Theme tokens applied consistently; text legible against background; focus rings still visible; no contrast regressions.</t>
        </is>
      </c>
      <c r="J2809" s="16" t="inlineStr"/>
      <c r="K2809" s="16" t="inlineStr">
        <is>
          <t>Not Run</t>
        </is>
      </c>
      <c r="L2809" s="16" t="inlineStr">
        <is>
          <t>Low</t>
        </is>
      </c>
      <c r="M2809" s="16" t="inlineStr"/>
      <c r="N2809" s="16" t="inlineStr"/>
      <c r="O2809" s="16" t="inlineStr"/>
    </row>
    <row r="2810" ht="72" customHeight="1">
      <c r="A2810" s="16" t="inlineStr">
        <is>
          <t>TC-ST-0040</t>
        </is>
      </c>
      <c r="B2810" s="16" t="inlineStr">
        <is>
          <t>Settings &amp; Theming</t>
        </is>
      </c>
      <c r="C2810" s="16" t="inlineStr">
        <is>
          <t>Theme Matrix</t>
        </is>
      </c>
      <c r="D2810" s="16" t="inlineStr">
        <is>
          <t>UX/UI</t>
        </is>
      </c>
      <c r="E2810" s="16" t="inlineStr">
        <is>
          <t>Render Response panel under theme 'monokai-pro'</t>
        </is>
      </c>
      <c r="F2810" s="16" t="inlineStr">
        <is>
          <t>-</t>
        </is>
      </c>
      <c r="G2810" s="16" t="inlineStr">
        <is>
          <t>1. Set theme monokai-pro.
2. Navigate to Response panel.
3. Verify text/icon contrast and color tokens.</t>
        </is>
      </c>
      <c r="H2810" s="16" t="inlineStr">
        <is>
          <t>theme=monokai-pro surface=Response panel</t>
        </is>
      </c>
      <c r="I2810" s="16" t="inlineStr">
        <is>
          <t>Theme tokens applied consistently; text legible against background; focus rings still visible; no contrast regressions.</t>
        </is>
      </c>
      <c r="J2810" s="16" t="inlineStr"/>
      <c r="K2810" s="16" t="inlineStr">
        <is>
          <t>Not Run</t>
        </is>
      </c>
      <c r="L2810" s="16" t="inlineStr">
        <is>
          <t>Low</t>
        </is>
      </c>
      <c r="M2810" s="16" t="inlineStr"/>
      <c r="N2810" s="16" t="inlineStr"/>
      <c r="O2810" s="16" t="inlineStr"/>
    </row>
    <row r="2811" ht="72" customHeight="1">
      <c r="A2811" s="16" t="inlineStr">
        <is>
          <t>TC-ST-0041</t>
        </is>
      </c>
      <c r="B2811" s="16" t="inlineStr">
        <is>
          <t>Settings &amp; Theming</t>
        </is>
      </c>
      <c r="C2811" s="16" t="inlineStr">
        <is>
          <t>Theme Matrix</t>
        </is>
      </c>
      <c r="D2811" s="16" t="inlineStr">
        <is>
          <t>UX/UI</t>
        </is>
      </c>
      <c r="E2811" s="16" t="inlineStr">
        <is>
          <t>Render Variables panel under theme 'monokai-pro'</t>
        </is>
      </c>
      <c r="F2811" s="16" t="inlineStr">
        <is>
          <t>-</t>
        </is>
      </c>
      <c r="G2811" s="16" t="inlineStr">
        <is>
          <t>1. Set theme monokai-pro.
2. Navigate to Variables panel.
3. Verify text/icon contrast and color tokens.</t>
        </is>
      </c>
      <c r="H2811" s="16" t="inlineStr">
        <is>
          <t>theme=monokai-pro surface=Variables panel</t>
        </is>
      </c>
      <c r="I2811" s="16" t="inlineStr">
        <is>
          <t>Theme tokens applied consistently; text legible against background; focus rings still visible; no contrast regressions.</t>
        </is>
      </c>
      <c r="J2811" s="16" t="inlineStr"/>
      <c r="K2811" s="16" t="inlineStr">
        <is>
          <t>Not Run</t>
        </is>
      </c>
      <c r="L2811" s="16" t="inlineStr">
        <is>
          <t>Low</t>
        </is>
      </c>
      <c r="M2811" s="16" t="inlineStr"/>
      <c r="N2811" s="16" t="inlineStr"/>
      <c r="O2811" s="16" t="inlineStr"/>
    </row>
    <row r="2812" ht="72" customHeight="1">
      <c r="A2812" s="16" t="inlineStr">
        <is>
          <t>TC-ST-0042</t>
        </is>
      </c>
      <c r="B2812" s="16" t="inlineStr">
        <is>
          <t>Settings &amp; Theming</t>
        </is>
      </c>
      <c r="C2812" s="16" t="inlineStr">
        <is>
          <t>Theme Matrix</t>
        </is>
      </c>
      <c r="D2812" s="16" t="inlineStr">
        <is>
          <t>UX/UI</t>
        </is>
      </c>
      <c r="E2812" s="16" t="inlineStr">
        <is>
          <t>Render Mocks list under theme 'monokai-pro'</t>
        </is>
      </c>
      <c r="F2812" s="16" t="inlineStr">
        <is>
          <t>-</t>
        </is>
      </c>
      <c r="G2812" s="16" t="inlineStr">
        <is>
          <t>1. Set theme monokai-pro.
2. Navigate to Mocks list.
3. Verify text/icon contrast and color tokens.</t>
        </is>
      </c>
      <c r="H2812" s="16" t="inlineStr">
        <is>
          <t>theme=monokai-pro surface=Mocks list</t>
        </is>
      </c>
      <c r="I2812" s="16" t="inlineStr">
        <is>
          <t>Theme tokens applied consistently; text legible against background; focus rings still visible; no contrast regressions.</t>
        </is>
      </c>
      <c r="J2812" s="16" t="inlineStr"/>
      <c r="K2812" s="16" t="inlineStr">
        <is>
          <t>Not Run</t>
        </is>
      </c>
      <c r="L2812" s="16" t="inlineStr">
        <is>
          <t>Low</t>
        </is>
      </c>
      <c r="M2812" s="16" t="inlineStr"/>
      <c r="N2812" s="16" t="inlineStr"/>
      <c r="O2812" s="16" t="inlineStr"/>
    </row>
    <row r="2813" ht="72" customHeight="1">
      <c r="A2813" s="16" t="inlineStr">
        <is>
          <t>TC-ST-0043</t>
        </is>
      </c>
      <c r="B2813" s="16" t="inlineStr">
        <is>
          <t>Settings &amp; Theming</t>
        </is>
      </c>
      <c r="C2813" s="16" t="inlineStr">
        <is>
          <t>Theme Matrix</t>
        </is>
      </c>
      <c r="D2813" s="16" t="inlineStr">
        <is>
          <t>UX/UI</t>
        </is>
      </c>
      <c r="E2813" s="16" t="inlineStr">
        <is>
          <t>Render Help under theme 'monokai-pro'</t>
        </is>
      </c>
      <c r="F2813" s="16" t="inlineStr">
        <is>
          <t>-</t>
        </is>
      </c>
      <c r="G2813" s="16" t="inlineStr">
        <is>
          <t>1. Set theme monokai-pro.
2. Navigate to Help.
3. Verify text/icon contrast and color tokens.</t>
        </is>
      </c>
      <c r="H2813" s="16" t="inlineStr">
        <is>
          <t>theme=monokai-pro surface=Help</t>
        </is>
      </c>
      <c r="I2813" s="16" t="inlineStr">
        <is>
          <t>Theme tokens applied consistently; text legible against background; focus rings still visible; no contrast regressions.</t>
        </is>
      </c>
      <c r="J2813" s="16" t="inlineStr"/>
      <c r="K2813" s="16" t="inlineStr">
        <is>
          <t>Not Run</t>
        </is>
      </c>
      <c r="L2813" s="16" t="inlineStr">
        <is>
          <t>Low</t>
        </is>
      </c>
      <c r="M2813" s="16" t="inlineStr"/>
      <c r="N2813" s="16" t="inlineStr"/>
      <c r="O2813" s="16" t="inlineStr"/>
    </row>
    <row r="2814" ht="72" customHeight="1">
      <c r="A2814" s="16" t="inlineStr">
        <is>
          <t>TC-ST-0044</t>
        </is>
      </c>
      <c r="B2814" s="16" t="inlineStr">
        <is>
          <t>Settings &amp; Theming</t>
        </is>
      </c>
      <c r="C2814" s="16" t="inlineStr">
        <is>
          <t>Theme Matrix</t>
        </is>
      </c>
      <c r="D2814" s="16" t="inlineStr">
        <is>
          <t>UX/UI</t>
        </is>
      </c>
      <c r="E2814" s="16" t="inlineStr">
        <is>
          <t>Render Editor panel under theme 'high-contrast'</t>
        </is>
      </c>
      <c r="F2814" s="16" t="inlineStr">
        <is>
          <t>-</t>
        </is>
      </c>
      <c r="G2814" s="16" t="inlineStr">
        <is>
          <t>1. Set theme high-contrast.
2. Navigate to Editor panel.
3. Verify text/icon contrast and color tokens.</t>
        </is>
      </c>
      <c r="H2814" s="16" t="inlineStr">
        <is>
          <t>theme=high-contrast surface=Editor panel</t>
        </is>
      </c>
      <c r="I2814" s="16" t="inlineStr">
        <is>
          <t>Theme tokens applied consistently; text legible against background; focus rings still visible; no contrast regressions.</t>
        </is>
      </c>
      <c r="J2814" s="16" t="inlineStr"/>
      <c r="K2814" s="16" t="inlineStr">
        <is>
          <t>Not Run</t>
        </is>
      </c>
      <c r="L2814" s="16" t="inlineStr">
        <is>
          <t>Medium</t>
        </is>
      </c>
      <c r="M2814" s="16" t="inlineStr"/>
      <c r="N2814" s="16" t="inlineStr"/>
      <c r="O2814" s="16" t="inlineStr"/>
    </row>
    <row r="2815" ht="72" customHeight="1">
      <c r="A2815" s="16" t="inlineStr">
        <is>
          <t>TC-ST-0045</t>
        </is>
      </c>
      <c r="B2815" s="16" t="inlineStr">
        <is>
          <t>Settings &amp; Theming</t>
        </is>
      </c>
      <c r="C2815" s="16" t="inlineStr">
        <is>
          <t>Theme Matrix</t>
        </is>
      </c>
      <c r="D2815" s="16" t="inlineStr">
        <is>
          <t>UX/UI</t>
        </is>
      </c>
      <c r="E2815" s="16" t="inlineStr">
        <is>
          <t>Render Workspace explorer under theme 'high-contrast'</t>
        </is>
      </c>
      <c r="F2815" s="16" t="inlineStr">
        <is>
          <t>-</t>
        </is>
      </c>
      <c r="G2815" s="16" t="inlineStr">
        <is>
          <t>1. Set theme high-contrast.
2. Navigate to Workspace explorer.
3. Verify text/icon contrast and color tokens.</t>
        </is>
      </c>
      <c r="H2815" s="16" t="inlineStr">
        <is>
          <t>theme=high-contrast surface=Workspace explorer</t>
        </is>
      </c>
      <c r="I2815" s="16" t="inlineStr">
        <is>
          <t>Theme tokens applied consistently; text legible against background; focus rings still visible; no contrast regressions.</t>
        </is>
      </c>
      <c r="J2815" s="16" t="inlineStr"/>
      <c r="K2815" s="16" t="inlineStr">
        <is>
          <t>Not Run</t>
        </is>
      </c>
      <c r="L2815" s="16" t="inlineStr">
        <is>
          <t>Medium</t>
        </is>
      </c>
      <c r="M2815" s="16" t="inlineStr"/>
      <c r="N2815" s="16" t="inlineStr"/>
      <c r="O2815" s="16" t="inlineStr"/>
    </row>
    <row r="2816" ht="72" customHeight="1">
      <c r="A2816" s="16" t="inlineStr">
        <is>
          <t>TC-ST-0046</t>
        </is>
      </c>
      <c r="B2816" s="16" t="inlineStr">
        <is>
          <t>Settings &amp; Theming</t>
        </is>
      </c>
      <c r="C2816" s="16" t="inlineStr">
        <is>
          <t>Theme Matrix</t>
        </is>
      </c>
      <c r="D2816" s="16" t="inlineStr">
        <is>
          <t>UX/UI</t>
        </is>
      </c>
      <c r="E2816" s="16" t="inlineStr">
        <is>
          <t>Render Response panel under theme 'high-contrast'</t>
        </is>
      </c>
      <c r="F2816" s="16" t="inlineStr">
        <is>
          <t>-</t>
        </is>
      </c>
      <c r="G2816" s="16" t="inlineStr">
        <is>
          <t>1. Set theme high-contrast.
2. Navigate to Response panel.
3. Verify text/icon contrast and color tokens.</t>
        </is>
      </c>
      <c r="H2816" s="16" t="inlineStr">
        <is>
          <t>theme=high-contrast surface=Response panel</t>
        </is>
      </c>
      <c r="I2816" s="16" t="inlineStr">
        <is>
          <t>Theme tokens applied consistently; text legible against background; focus rings still visible; no contrast regressions.</t>
        </is>
      </c>
      <c r="J2816" s="16" t="inlineStr"/>
      <c r="K2816" s="16" t="inlineStr">
        <is>
          <t>Not Run</t>
        </is>
      </c>
      <c r="L2816" s="16" t="inlineStr">
        <is>
          <t>Medium</t>
        </is>
      </c>
      <c r="M2816" s="16" t="inlineStr"/>
      <c r="N2816" s="16" t="inlineStr"/>
      <c r="O2816" s="16" t="inlineStr"/>
    </row>
    <row r="2817" ht="72" customHeight="1">
      <c r="A2817" s="16" t="inlineStr">
        <is>
          <t>TC-ST-0047</t>
        </is>
      </c>
      <c r="B2817" s="16" t="inlineStr">
        <is>
          <t>Settings &amp; Theming</t>
        </is>
      </c>
      <c r="C2817" s="16" t="inlineStr">
        <is>
          <t>Theme Matrix</t>
        </is>
      </c>
      <c r="D2817" s="16" t="inlineStr">
        <is>
          <t>UX/UI</t>
        </is>
      </c>
      <c r="E2817" s="16" t="inlineStr">
        <is>
          <t>Render Variables panel under theme 'high-contrast'</t>
        </is>
      </c>
      <c r="F2817" s="16" t="inlineStr">
        <is>
          <t>-</t>
        </is>
      </c>
      <c r="G2817" s="16" t="inlineStr">
        <is>
          <t>1. Set theme high-contrast.
2. Navigate to Variables panel.
3. Verify text/icon contrast and color tokens.</t>
        </is>
      </c>
      <c r="H2817" s="16" t="inlineStr">
        <is>
          <t>theme=high-contrast surface=Variables panel</t>
        </is>
      </c>
      <c r="I2817" s="16" t="inlineStr">
        <is>
          <t>Theme tokens applied consistently; text legible against background; focus rings still visible; no contrast regressions.</t>
        </is>
      </c>
      <c r="J2817" s="16" t="inlineStr"/>
      <c r="K2817" s="16" t="inlineStr">
        <is>
          <t>Not Run</t>
        </is>
      </c>
      <c r="L2817" s="16" t="inlineStr">
        <is>
          <t>Medium</t>
        </is>
      </c>
      <c r="M2817" s="16" t="inlineStr"/>
      <c r="N2817" s="16" t="inlineStr"/>
      <c r="O2817" s="16" t="inlineStr"/>
    </row>
    <row r="2818" ht="72" customHeight="1">
      <c r="A2818" s="16" t="inlineStr">
        <is>
          <t>TC-ST-0048</t>
        </is>
      </c>
      <c r="B2818" s="16" t="inlineStr">
        <is>
          <t>Settings &amp; Theming</t>
        </is>
      </c>
      <c r="C2818" s="16" t="inlineStr">
        <is>
          <t>Theme Matrix</t>
        </is>
      </c>
      <c r="D2818" s="16" t="inlineStr">
        <is>
          <t>UX/UI</t>
        </is>
      </c>
      <c r="E2818" s="16" t="inlineStr">
        <is>
          <t>Render Mocks list under theme 'high-contrast'</t>
        </is>
      </c>
      <c r="F2818" s="16" t="inlineStr">
        <is>
          <t>-</t>
        </is>
      </c>
      <c r="G2818" s="16" t="inlineStr">
        <is>
          <t>1. Set theme high-contrast.
2. Navigate to Mocks list.
3. Verify text/icon contrast and color tokens.</t>
        </is>
      </c>
      <c r="H2818" s="16" t="inlineStr">
        <is>
          <t>theme=high-contrast surface=Mocks list</t>
        </is>
      </c>
      <c r="I2818" s="16" t="inlineStr">
        <is>
          <t>Theme tokens applied consistently; text legible against background; focus rings still visible; no contrast regressions.</t>
        </is>
      </c>
      <c r="J2818" s="16" t="inlineStr"/>
      <c r="K2818" s="16" t="inlineStr">
        <is>
          <t>Not Run</t>
        </is>
      </c>
      <c r="L2818" s="16" t="inlineStr">
        <is>
          <t>Medium</t>
        </is>
      </c>
      <c r="M2818" s="16" t="inlineStr"/>
      <c r="N2818" s="16" t="inlineStr"/>
      <c r="O2818" s="16" t="inlineStr"/>
    </row>
    <row r="2819" ht="72" customHeight="1">
      <c r="A2819" s="16" t="inlineStr">
        <is>
          <t>TC-ST-0049</t>
        </is>
      </c>
      <c r="B2819" s="16" t="inlineStr">
        <is>
          <t>Settings &amp; Theming</t>
        </is>
      </c>
      <c r="C2819" s="16" t="inlineStr">
        <is>
          <t>Theme Matrix</t>
        </is>
      </c>
      <c r="D2819" s="16" t="inlineStr">
        <is>
          <t>UX/UI</t>
        </is>
      </c>
      <c r="E2819" s="16" t="inlineStr">
        <is>
          <t>Render Help under theme 'high-contrast'</t>
        </is>
      </c>
      <c r="F2819" s="16" t="inlineStr">
        <is>
          <t>-</t>
        </is>
      </c>
      <c r="G2819" s="16" t="inlineStr">
        <is>
          <t>1. Set theme high-contrast.
2. Navigate to Help.
3. Verify text/icon contrast and color tokens.</t>
        </is>
      </c>
      <c r="H2819" s="16" t="inlineStr">
        <is>
          <t>theme=high-contrast surface=Help</t>
        </is>
      </c>
      <c r="I2819" s="16" t="inlineStr">
        <is>
          <t>Theme tokens applied consistently; text legible against background; focus rings still visible; no contrast regressions.</t>
        </is>
      </c>
      <c r="J2819" s="16" t="inlineStr"/>
      <c r="K2819" s="16" t="inlineStr">
        <is>
          <t>Not Run</t>
        </is>
      </c>
      <c r="L2819" s="16" t="inlineStr">
        <is>
          <t>Medium</t>
        </is>
      </c>
      <c r="M2819" s="16" t="inlineStr"/>
      <c r="N2819" s="16" t="inlineStr"/>
      <c r="O2819" s="16" t="inlineStr"/>
    </row>
    <row r="2820" ht="72" customHeight="1">
      <c r="A2820" s="16" t="inlineStr">
        <is>
          <t>TC-ST-0050</t>
        </is>
      </c>
      <c r="B2820" s="16" t="inlineStr">
        <is>
          <t>Settings &amp; Theming</t>
        </is>
      </c>
      <c r="C2820" s="16" t="inlineStr">
        <is>
          <t>Theme Matrix</t>
        </is>
      </c>
      <c r="D2820" s="16" t="inlineStr">
        <is>
          <t>UX/UI</t>
        </is>
      </c>
      <c r="E2820" s="16" t="inlineStr">
        <is>
          <t>Render Editor panel under theme 'solarized-light'</t>
        </is>
      </c>
      <c r="F2820" s="16" t="inlineStr">
        <is>
          <t>-</t>
        </is>
      </c>
      <c r="G2820" s="16" t="inlineStr">
        <is>
          <t>1. Set theme solarized-light.
2. Navigate to Editor panel.
3. Verify text/icon contrast and color tokens.</t>
        </is>
      </c>
      <c r="H2820" s="16" t="inlineStr">
        <is>
          <t>theme=solarized-light surface=Editor panel</t>
        </is>
      </c>
      <c r="I2820" s="16" t="inlineStr">
        <is>
          <t>Theme tokens applied consistently; text legible against background; focus rings still visible; no contrast regressions.</t>
        </is>
      </c>
      <c r="J2820" s="16" t="inlineStr"/>
      <c r="K2820" s="16" t="inlineStr">
        <is>
          <t>Not Run</t>
        </is>
      </c>
      <c r="L2820" s="16" t="inlineStr">
        <is>
          <t>Low</t>
        </is>
      </c>
      <c r="M2820" s="16" t="inlineStr"/>
      <c r="N2820" s="16" t="inlineStr"/>
      <c r="O2820" s="16" t="inlineStr"/>
    </row>
    <row r="2821" ht="72" customHeight="1">
      <c r="A2821" s="16" t="inlineStr">
        <is>
          <t>TC-ST-0051</t>
        </is>
      </c>
      <c r="B2821" s="16" t="inlineStr">
        <is>
          <t>Settings &amp; Theming</t>
        </is>
      </c>
      <c r="C2821" s="16" t="inlineStr">
        <is>
          <t>Theme Matrix</t>
        </is>
      </c>
      <c r="D2821" s="16" t="inlineStr">
        <is>
          <t>UX/UI</t>
        </is>
      </c>
      <c r="E2821" s="16" t="inlineStr">
        <is>
          <t>Render Workspace explorer under theme 'solarized-light'</t>
        </is>
      </c>
      <c r="F2821" s="16" t="inlineStr">
        <is>
          <t>-</t>
        </is>
      </c>
      <c r="G2821" s="16" t="inlineStr">
        <is>
          <t>1. Set theme solarized-light.
2. Navigate to Workspace explorer.
3. Verify text/icon contrast and color tokens.</t>
        </is>
      </c>
      <c r="H2821" s="16" t="inlineStr">
        <is>
          <t>theme=solarized-light surface=Workspace explorer</t>
        </is>
      </c>
      <c r="I2821" s="16" t="inlineStr">
        <is>
          <t>Theme tokens applied consistently; text legible against background; focus rings still visible; no contrast regressions.</t>
        </is>
      </c>
      <c r="J2821" s="16" t="inlineStr"/>
      <c r="K2821" s="16" t="inlineStr">
        <is>
          <t>Not Run</t>
        </is>
      </c>
      <c r="L2821" s="16" t="inlineStr">
        <is>
          <t>Low</t>
        </is>
      </c>
      <c r="M2821" s="16" t="inlineStr"/>
      <c r="N2821" s="16" t="inlineStr"/>
      <c r="O2821" s="16" t="inlineStr"/>
    </row>
    <row r="2822" ht="72" customHeight="1">
      <c r="A2822" s="16" t="inlineStr">
        <is>
          <t>TC-ST-0052</t>
        </is>
      </c>
      <c r="B2822" s="16" t="inlineStr">
        <is>
          <t>Settings &amp; Theming</t>
        </is>
      </c>
      <c r="C2822" s="16" t="inlineStr">
        <is>
          <t>Theme Matrix</t>
        </is>
      </c>
      <c r="D2822" s="16" t="inlineStr">
        <is>
          <t>UX/UI</t>
        </is>
      </c>
      <c r="E2822" s="16" t="inlineStr">
        <is>
          <t>Render Response panel under theme 'solarized-light'</t>
        </is>
      </c>
      <c r="F2822" s="16" t="inlineStr">
        <is>
          <t>-</t>
        </is>
      </c>
      <c r="G2822" s="16" t="inlineStr">
        <is>
          <t>1. Set theme solarized-light.
2. Navigate to Response panel.
3. Verify text/icon contrast and color tokens.</t>
        </is>
      </c>
      <c r="H2822" s="16" t="inlineStr">
        <is>
          <t>theme=solarized-light surface=Response panel</t>
        </is>
      </c>
      <c r="I2822" s="16" t="inlineStr">
        <is>
          <t>Theme tokens applied consistently; text legible against background; focus rings still visible; no contrast regressions.</t>
        </is>
      </c>
      <c r="J2822" s="16" t="inlineStr"/>
      <c r="K2822" s="16" t="inlineStr">
        <is>
          <t>Not Run</t>
        </is>
      </c>
      <c r="L2822" s="16" t="inlineStr">
        <is>
          <t>Low</t>
        </is>
      </c>
      <c r="M2822" s="16" t="inlineStr"/>
      <c r="N2822" s="16" t="inlineStr"/>
      <c r="O2822" s="16" t="inlineStr"/>
    </row>
    <row r="2823" ht="72" customHeight="1">
      <c r="A2823" s="16" t="inlineStr">
        <is>
          <t>TC-ST-0053</t>
        </is>
      </c>
      <c r="B2823" s="16" t="inlineStr">
        <is>
          <t>Settings &amp; Theming</t>
        </is>
      </c>
      <c r="C2823" s="16" t="inlineStr">
        <is>
          <t>Theme Matrix</t>
        </is>
      </c>
      <c r="D2823" s="16" t="inlineStr">
        <is>
          <t>UX/UI</t>
        </is>
      </c>
      <c r="E2823" s="16" t="inlineStr">
        <is>
          <t>Render Variables panel under theme 'solarized-light'</t>
        </is>
      </c>
      <c r="F2823" s="16" t="inlineStr">
        <is>
          <t>-</t>
        </is>
      </c>
      <c r="G2823" s="16" t="inlineStr">
        <is>
          <t>1. Set theme solarized-light.
2. Navigate to Variables panel.
3. Verify text/icon contrast and color tokens.</t>
        </is>
      </c>
      <c r="H2823" s="16" t="inlineStr">
        <is>
          <t>theme=solarized-light surface=Variables panel</t>
        </is>
      </c>
      <c r="I2823" s="16" t="inlineStr">
        <is>
          <t>Theme tokens applied consistently; text legible against background; focus rings still visible; no contrast regressions.</t>
        </is>
      </c>
      <c r="J2823" s="16" t="inlineStr"/>
      <c r="K2823" s="16" t="inlineStr">
        <is>
          <t>Not Run</t>
        </is>
      </c>
      <c r="L2823" s="16" t="inlineStr">
        <is>
          <t>Low</t>
        </is>
      </c>
      <c r="M2823" s="16" t="inlineStr"/>
      <c r="N2823" s="16" t="inlineStr"/>
      <c r="O2823" s="16" t="inlineStr"/>
    </row>
    <row r="2824" ht="72" customHeight="1">
      <c r="A2824" s="16" t="inlineStr">
        <is>
          <t>TC-ST-0054</t>
        </is>
      </c>
      <c r="B2824" s="16" t="inlineStr">
        <is>
          <t>Settings &amp; Theming</t>
        </is>
      </c>
      <c r="C2824" s="16" t="inlineStr">
        <is>
          <t>Theme Matrix</t>
        </is>
      </c>
      <c r="D2824" s="16" t="inlineStr">
        <is>
          <t>UX/UI</t>
        </is>
      </c>
      <c r="E2824" s="16" t="inlineStr">
        <is>
          <t>Render Mocks list under theme 'solarized-light'</t>
        </is>
      </c>
      <c r="F2824" s="16" t="inlineStr">
        <is>
          <t>-</t>
        </is>
      </c>
      <c r="G2824" s="16" t="inlineStr">
        <is>
          <t>1. Set theme solarized-light.
2. Navigate to Mocks list.
3. Verify text/icon contrast and color tokens.</t>
        </is>
      </c>
      <c r="H2824" s="16" t="inlineStr">
        <is>
          <t>theme=solarized-light surface=Mocks list</t>
        </is>
      </c>
      <c r="I2824" s="16" t="inlineStr">
        <is>
          <t>Theme tokens applied consistently; text legible against background; focus rings still visible; no contrast regressions.</t>
        </is>
      </c>
      <c r="J2824" s="16" t="inlineStr"/>
      <c r="K2824" s="16" t="inlineStr">
        <is>
          <t>Not Run</t>
        </is>
      </c>
      <c r="L2824" s="16" t="inlineStr">
        <is>
          <t>Low</t>
        </is>
      </c>
      <c r="M2824" s="16" t="inlineStr"/>
      <c r="N2824" s="16" t="inlineStr"/>
      <c r="O2824" s="16" t="inlineStr"/>
    </row>
    <row r="2825" ht="72" customHeight="1">
      <c r="A2825" s="16" t="inlineStr">
        <is>
          <t>TC-ST-0055</t>
        </is>
      </c>
      <c r="B2825" s="16" t="inlineStr">
        <is>
          <t>Settings &amp; Theming</t>
        </is>
      </c>
      <c r="C2825" s="16" t="inlineStr">
        <is>
          <t>Theme Matrix</t>
        </is>
      </c>
      <c r="D2825" s="16" t="inlineStr">
        <is>
          <t>UX/UI</t>
        </is>
      </c>
      <c r="E2825" s="16" t="inlineStr">
        <is>
          <t>Render Help under theme 'solarized-light'</t>
        </is>
      </c>
      <c r="F2825" s="16" t="inlineStr">
        <is>
          <t>-</t>
        </is>
      </c>
      <c r="G2825" s="16" t="inlineStr">
        <is>
          <t>1. Set theme solarized-light.
2. Navigate to Help.
3. Verify text/icon contrast and color tokens.</t>
        </is>
      </c>
      <c r="H2825" s="16" t="inlineStr">
        <is>
          <t>theme=solarized-light surface=Help</t>
        </is>
      </c>
      <c r="I2825" s="16" t="inlineStr">
        <is>
          <t>Theme tokens applied consistently; text legible against background; focus rings still visible; no contrast regressions.</t>
        </is>
      </c>
      <c r="J2825" s="16" t="inlineStr"/>
      <c r="K2825" s="16" t="inlineStr">
        <is>
          <t>Not Run</t>
        </is>
      </c>
      <c r="L2825" s="16" t="inlineStr">
        <is>
          <t>Low</t>
        </is>
      </c>
      <c r="M2825" s="16" t="inlineStr"/>
      <c r="N2825" s="16" t="inlineStr"/>
      <c r="O2825" s="16" t="inlineStr"/>
    </row>
    <row r="2826" ht="72" customHeight="1">
      <c r="A2826" s="16" t="inlineStr">
        <is>
          <t>TC-ST-0056</t>
        </is>
      </c>
      <c r="B2826" s="16" t="inlineStr">
        <is>
          <t>Settings &amp; Theming</t>
        </is>
      </c>
      <c r="C2826" s="16" t="inlineStr">
        <is>
          <t>Theme Matrix</t>
        </is>
      </c>
      <c r="D2826" s="16" t="inlineStr">
        <is>
          <t>UX/UI</t>
        </is>
      </c>
      <c r="E2826" s="16" t="inlineStr">
        <is>
          <t>Render Editor panel under theme 'github-light'</t>
        </is>
      </c>
      <c r="F2826" s="16" t="inlineStr">
        <is>
          <t>-</t>
        </is>
      </c>
      <c r="G2826" s="16" t="inlineStr">
        <is>
          <t>1. Set theme github-light.
2. Navigate to Editor panel.
3. Verify text/icon contrast and color tokens.</t>
        </is>
      </c>
      <c r="H2826" s="16" t="inlineStr">
        <is>
          <t>theme=github-light surface=Editor panel</t>
        </is>
      </c>
      <c r="I2826" s="16" t="inlineStr">
        <is>
          <t>Theme tokens applied consistently; text legible against background; focus rings still visible; no contrast regressions.</t>
        </is>
      </c>
      <c r="J2826" s="16" t="inlineStr"/>
      <c r="K2826" s="16" t="inlineStr">
        <is>
          <t>Not Run</t>
        </is>
      </c>
      <c r="L2826" s="16" t="inlineStr">
        <is>
          <t>Low</t>
        </is>
      </c>
      <c r="M2826" s="16" t="inlineStr"/>
      <c r="N2826" s="16" t="inlineStr"/>
      <c r="O2826" s="16" t="inlineStr"/>
    </row>
    <row r="2827" ht="72" customHeight="1">
      <c r="A2827" s="16" t="inlineStr">
        <is>
          <t>TC-ST-0057</t>
        </is>
      </c>
      <c r="B2827" s="16" t="inlineStr">
        <is>
          <t>Settings &amp; Theming</t>
        </is>
      </c>
      <c r="C2827" s="16" t="inlineStr">
        <is>
          <t>Theme Matrix</t>
        </is>
      </c>
      <c r="D2827" s="16" t="inlineStr">
        <is>
          <t>UX/UI</t>
        </is>
      </c>
      <c r="E2827" s="16" t="inlineStr">
        <is>
          <t>Render Workspace explorer under theme 'github-light'</t>
        </is>
      </c>
      <c r="F2827" s="16" t="inlineStr">
        <is>
          <t>-</t>
        </is>
      </c>
      <c r="G2827" s="16" t="inlineStr">
        <is>
          <t>1. Set theme github-light.
2. Navigate to Workspace explorer.
3. Verify text/icon contrast and color tokens.</t>
        </is>
      </c>
      <c r="H2827" s="16" t="inlineStr">
        <is>
          <t>theme=github-light surface=Workspace explorer</t>
        </is>
      </c>
      <c r="I2827" s="16" t="inlineStr">
        <is>
          <t>Theme tokens applied consistently; text legible against background; focus rings still visible; no contrast regressions.</t>
        </is>
      </c>
      <c r="J2827" s="16" t="inlineStr"/>
      <c r="K2827" s="16" t="inlineStr">
        <is>
          <t>Not Run</t>
        </is>
      </c>
      <c r="L2827" s="16" t="inlineStr">
        <is>
          <t>Low</t>
        </is>
      </c>
      <c r="M2827" s="16" t="inlineStr"/>
      <c r="N2827" s="16" t="inlineStr"/>
      <c r="O2827" s="16" t="inlineStr"/>
    </row>
    <row r="2828" ht="72" customHeight="1">
      <c r="A2828" s="16" t="inlineStr">
        <is>
          <t>TC-ST-0058</t>
        </is>
      </c>
      <c r="B2828" s="16" t="inlineStr">
        <is>
          <t>Settings &amp; Theming</t>
        </is>
      </c>
      <c r="C2828" s="16" t="inlineStr">
        <is>
          <t>Theme Matrix</t>
        </is>
      </c>
      <c r="D2828" s="16" t="inlineStr">
        <is>
          <t>UX/UI</t>
        </is>
      </c>
      <c r="E2828" s="16" t="inlineStr">
        <is>
          <t>Render Response panel under theme 'github-light'</t>
        </is>
      </c>
      <c r="F2828" s="16" t="inlineStr">
        <is>
          <t>-</t>
        </is>
      </c>
      <c r="G2828" s="16" t="inlineStr">
        <is>
          <t>1. Set theme github-light.
2. Navigate to Response panel.
3. Verify text/icon contrast and color tokens.</t>
        </is>
      </c>
      <c r="H2828" s="16" t="inlineStr">
        <is>
          <t>theme=github-light surface=Response panel</t>
        </is>
      </c>
      <c r="I2828" s="16" t="inlineStr">
        <is>
          <t>Theme tokens applied consistently; text legible against background; focus rings still visible; no contrast regressions.</t>
        </is>
      </c>
      <c r="J2828" s="16" t="inlineStr"/>
      <c r="K2828" s="16" t="inlineStr">
        <is>
          <t>Not Run</t>
        </is>
      </c>
      <c r="L2828" s="16" t="inlineStr">
        <is>
          <t>Low</t>
        </is>
      </c>
      <c r="M2828" s="16" t="inlineStr"/>
      <c r="N2828" s="16" t="inlineStr"/>
      <c r="O2828" s="16" t="inlineStr"/>
    </row>
    <row r="2829" ht="72" customHeight="1">
      <c r="A2829" s="16" t="inlineStr">
        <is>
          <t>TC-ST-0059</t>
        </is>
      </c>
      <c r="B2829" s="16" t="inlineStr">
        <is>
          <t>Settings &amp; Theming</t>
        </is>
      </c>
      <c r="C2829" s="16" t="inlineStr">
        <is>
          <t>Theme Matrix</t>
        </is>
      </c>
      <c r="D2829" s="16" t="inlineStr">
        <is>
          <t>UX/UI</t>
        </is>
      </c>
      <c r="E2829" s="16" t="inlineStr">
        <is>
          <t>Render Variables panel under theme 'github-light'</t>
        </is>
      </c>
      <c r="F2829" s="16" t="inlineStr">
        <is>
          <t>-</t>
        </is>
      </c>
      <c r="G2829" s="16" t="inlineStr">
        <is>
          <t>1. Set theme github-light.
2. Navigate to Variables panel.
3. Verify text/icon contrast and color tokens.</t>
        </is>
      </c>
      <c r="H2829" s="16" t="inlineStr">
        <is>
          <t>theme=github-light surface=Variables panel</t>
        </is>
      </c>
      <c r="I2829" s="16" t="inlineStr">
        <is>
          <t>Theme tokens applied consistently; text legible against background; focus rings still visible; no contrast regressions.</t>
        </is>
      </c>
      <c r="J2829" s="16" t="inlineStr"/>
      <c r="K2829" s="16" t="inlineStr">
        <is>
          <t>Not Run</t>
        </is>
      </c>
      <c r="L2829" s="16" t="inlineStr">
        <is>
          <t>Low</t>
        </is>
      </c>
      <c r="M2829" s="16" t="inlineStr"/>
      <c r="N2829" s="16" t="inlineStr"/>
      <c r="O2829" s="16" t="inlineStr"/>
    </row>
    <row r="2830" ht="72" customHeight="1">
      <c r="A2830" s="16" t="inlineStr">
        <is>
          <t>TC-ST-0060</t>
        </is>
      </c>
      <c r="B2830" s="16" t="inlineStr">
        <is>
          <t>Settings &amp; Theming</t>
        </is>
      </c>
      <c r="C2830" s="16" t="inlineStr">
        <is>
          <t>Theme Matrix</t>
        </is>
      </c>
      <c r="D2830" s="16" t="inlineStr">
        <is>
          <t>UX/UI</t>
        </is>
      </c>
      <c r="E2830" s="16" t="inlineStr">
        <is>
          <t>Render Mocks list under theme 'github-light'</t>
        </is>
      </c>
      <c r="F2830" s="16" t="inlineStr">
        <is>
          <t>-</t>
        </is>
      </c>
      <c r="G2830" s="16" t="inlineStr">
        <is>
          <t>1. Set theme github-light.
2. Navigate to Mocks list.
3. Verify text/icon contrast and color tokens.</t>
        </is>
      </c>
      <c r="H2830" s="16" t="inlineStr">
        <is>
          <t>theme=github-light surface=Mocks list</t>
        </is>
      </c>
      <c r="I2830" s="16" t="inlineStr">
        <is>
          <t>Theme tokens applied consistently; text legible against background; focus rings still visible; no contrast regressions.</t>
        </is>
      </c>
      <c r="J2830" s="16" t="inlineStr"/>
      <c r="K2830" s="16" t="inlineStr">
        <is>
          <t>Not Run</t>
        </is>
      </c>
      <c r="L2830" s="16" t="inlineStr">
        <is>
          <t>Low</t>
        </is>
      </c>
      <c r="M2830" s="16" t="inlineStr"/>
      <c r="N2830" s="16" t="inlineStr"/>
      <c r="O2830" s="16" t="inlineStr"/>
    </row>
    <row r="2831" ht="72" customHeight="1">
      <c r="A2831" s="16" t="inlineStr">
        <is>
          <t>TC-ST-0061</t>
        </is>
      </c>
      <c r="B2831" s="16" t="inlineStr">
        <is>
          <t>Settings &amp; Theming</t>
        </is>
      </c>
      <c r="C2831" s="16" t="inlineStr">
        <is>
          <t>Theme Matrix</t>
        </is>
      </c>
      <c r="D2831" s="16" t="inlineStr">
        <is>
          <t>UX/UI</t>
        </is>
      </c>
      <c r="E2831" s="16" t="inlineStr">
        <is>
          <t>Render Help under theme 'github-light'</t>
        </is>
      </c>
      <c r="F2831" s="16" t="inlineStr">
        <is>
          <t>-</t>
        </is>
      </c>
      <c r="G2831" s="16" t="inlineStr">
        <is>
          <t>1. Set theme github-light.
2. Navigate to Help.
3. Verify text/icon contrast and color tokens.</t>
        </is>
      </c>
      <c r="H2831" s="16" t="inlineStr">
        <is>
          <t>theme=github-light surface=Help</t>
        </is>
      </c>
      <c r="I2831" s="16" t="inlineStr">
        <is>
          <t>Theme tokens applied consistently; text legible against background; focus rings still visible; no contrast regressions.</t>
        </is>
      </c>
      <c r="J2831" s="16" t="inlineStr"/>
      <c r="K2831" s="16" t="inlineStr">
        <is>
          <t>Not Run</t>
        </is>
      </c>
      <c r="L2831" s="16" t="inlineStr">
        <is>
          <t>Low</t>
        </is>
      </c>
      <c r="M2831" s="16" t="inlineStr"/>
      <c r="N2831" s="16" t="inlineStr"/>
      <c r="O2831" s="16" t="inlineStr"/>
    </row>
    <row r="2832" ht="72" customHeight="1">
      <c r="A2832" s="16" t="inlineStr">
        <is>
          <t>TC-ST-0062</t>
        </is>
      </c>
      <c r="B2832" s="16" t="inlineStr">
        <is>
          <t>Settings &amp; Theming</t>
        </is>
      </c>
      <c r="C2832" s="16" t="inlineStr">
        <is>
          <t>Theme Matrix</t>
        </is>
      </c>
      <c r="D2832" s="16" t="inlineStr">
        <is>
          <t>UX/UI</t>
        </is>
      </c>
      <c r="E2832" s="16" t="inlineStr">
        <is>
          <t>Render Editor panel under theme 'rose-pine'</t>
        </is>
      </c>
      <c r="F2832" s="16" t="inlineStr">
        <is>
          <t>-</t>
        </is>
      </c>
      <c r="G2832" s="16" t="inlineStr">
        <is>
          <t>1. Set theme rose-pine.
2. Navigate to Editor panel.
3. Verify text/icon contrast and color tokens.</t>
        </is>
      </c>
      <c r="H2832" s="16" t="inlineStr">
        <is>
          <t>theme=rose-pine surface=Editor panel</t>
        </is>
      </c>
      <c r="I2832" s="16" t="inlineStr">
        <is>
          <t>Theme tokens applied consistently; text legible against background; focus rings still visible; no contrast regressions.</t>
        </is>
      </c>
      <c r="J2832" s="16" t="inlineStr"/>
      <c r="K2832" s="16" t="inlineStr">
        <is>
          <t>Not Run</t>
        </is>
      </c>
      <c r="L2832" s="16" t="inlineStr">
        <is>
          <t>Low</t>
        </is>
      </c>
      <c r="M2832" s="16" t="inlineStr"/>
      <c r="N2832" s="16" t="inlineStr"/>
      <c r="O2832" s="16" t="inlineStr"/>
    </row>
    <row r="2833" ht="72" customHeight="1">
      <c r="A2833" s="16" t="inlineStr">
        <is>
          <t>TC-ST-0063</t>
        </is>
      </c>
      <c r="B2833" s="16" t="inlineStr">
        <is>
          <t>Settings &amp; Theming</t>
        </is>
      </c>
      <c r="C2833" s="16" t="inlineStr">
        <is>
          <t>Theme Matrix</t>
        </is>
      </c>
      <c r="D2833" s="16" t="inlineStr">
        <is>
          <t>UX/UI</t>
        </is>
      </c>
      <c r="E2833" s="16" t="inlineStr">
        <is>
          <t>Render Workspace explorer under theme 'rose-pine'</t>
        </is>
      </c>
      <c r="F2833" s="16" t="inlineStr">
        <is>
          <t>-</t>
        </is>
      </c>
      <c r="G2833" s="16" t="inlineStr">
        <is>
          <t>1. Set theme rose-pine.
2. Navigate to Workspace explorer.
3. Verify text/icon contrast and color tokens.</t>
        </is>
      </c>
      <c r="H2833" s="16" t="inlineStr">
        <is>
          <t>theme=rose-pine surface=Workspace explorer</t>
        </is>
      </c>
      <c r="I2833" s="16" t="inlineStr">
        <is>
          <t>Theme tokens applied consistently; text legible against background; focus rings still visible; no contrast regressions.</t>
        </is>
      </c>
      <c r="J2833" s="16" t="inlineStr"/>
      <c r="K2833" s="16" t="inlineStr">
        <is>
          <t>Not Run</t>
        </is>
      </c>
      <c r="L2833" s="16" t="inlineStr">
        <is>
          <t>Low</t>
        </is>
      </c>
      <c r="M2833" s="16" t="inlineStr"/>
      <c r="N2833" s="16" t="inlineStr"/>
      <c r="O2833" s="16" t="inlineStr"/>
    </row>
    <row r="2834" ht="72" customHeight="1">
      <c r="A2834" s="16" t="inlineStr">
        <is>
          <t>TC-ST-0064</t>
        </is>
      </c>
      <c r="B2834" s="16" t="inlineStr">
        <is>
          <t>Settings &amp; Theming</t>
        </is>
      </c>
      <c r="C2834" s="16" t="inlineStr">
        <is>
          <t>Theme Matrix</t>
        </is>
      </c>
      <c r="D2834" s="16" t="inlineStr">
        <is>
          <t>UX/UI</t>
        </is>
      </c>
      <c r="E2834" s="16" t="inlineStr">
        <is>
          <t>Render Response panel under theme 'rose-pine'</t>
        </is>
      </c>
      <c r="F2834" s="16" t="inlineStr">
        <is>
          <t>-</t>
        </is>
      </c>
      <c r="G2834" s="16" t="inlineStr">
        <is>
          <t>1. Set theme rose-pine.
2. Navigate to Response panel.
3. Verify text/icon contrast and color tokens.</t>
        </is>
      </c>
      <c r="H2834" s="16" t="inlineStr">
        <is>
          <t>theme=rose-pine surface=Response panel</t>
        </is>
      </c>
      <c r="I2834" s="16" t="inlineStr">
        <is>
          <t>Theme tokens applied consistently; text legible against background; focus rings still visible; no contrast regressions.</t>
        </is>
      </c>
      <c r="J2834" s="16" t="inlineStr"/>
      <c r="K2834" s="16" t="inlineStr">
        <is>
          <t>Not Run</t>
        </is>
      </c>
      <c r="L2834" s="16" t="inlineStr">
        <is>
          <t>Low</t>
        </is>
      </c>
      <c r="M2834" s="16" t="inlineStr"/>
      <c r="N2834" s="16" t="inlineStr"/>
      <c r="O2834" s="16" t="inlineStr"/>
    </row>
    <row r="2835" ht="72" customHeight="1">
      <c r="A2835" s="16" t="inlineStr">
        <is>
          <t>TC-ST-0065</t>
        </is>
      </c>
      <c r="B2835" s="16" t="inlineStr">
        <is>
          <t>Settings &amp; Theming</t>
        </is>
      </c>
      <c r="C2835" s="16" t="inlineStr">
        <is>
          <t>Theme Matrix</t>
        </is>
      </c>
      <c r="D2835" s="16" t="inlineStr">
        <is>
          <t>UX/UI</t>
        </is>
      </c>
      <c r="E2835" s="16" t="inlineStr">
        <is>
          <t>Render Variables panel under theme 'rose-pine'</t>
        </is>
      </c>
      <c r="F2835" s="16" t="inlineStr">
        <is>
          <t>-</t>
        </is>
      </c>
      <c r="G2835" s="16" t="inlineStr">
        <is>
          <t>1. Set theme rose-pine.
2. Navigate to Variables panel.
3. Verify text/icon contrast and color tokens.</t>
        </is>
      </c>
      <c r="H2835" s="16" t="inlineStr">
        <is>
          <t>theme=rose-pine surface=Variables panel</t>
        </is>
      </c>
      <c r="I2835" s="16" t="inlineStr">
        <is>
          <t>Theme tokens applied consistently; text legible against background; focus rings still visible; no contrast regressions.</t>
        </is>
      </c>
      <c r="J2835" s="16" t="inlineStr"/>
      <c r="K2835" s="16" t="inlineStr">
        <is>
          <t>Not Run</t>
        </is>
      </c>
      <c r="L2835" s="16" t="inlineStr">
        <is>
          <t>Low</t>
        </is>
      </c>
      <c r="M2835" s="16" t="inlineStr"/>
      <c r="N2835" s="16" t="inlineStr"/>
      <c r="O2835" s="16" t="inlineStr"/>
    </row>
    <row r="2836" ht="72" customHeight="1">
      <c r="A2836" s="16" t="inlineStr">
        <is>
          <t>TC-ST-0066</t>
        </is>
      </c>
      <c r="B2836" s="16" t="inlineStr">
        <is>
          <t>Settings &amp; Theming</t>
        </is>
      </c>
      <c r="C2836" s="16" t="inlineStr">
        <is>
          <t>Theme Matrix</t>
        </is>
      </c>
      <c r="D2836" s="16" t="inlineStr">
        <is>
          <t>UX/UI</t>
        </is>
      </c>
      <c r="E2836" s="16" t="inlineStr">
        <is>
          <t>Render Mocks list under theme 'rose-pine'</t>
        </is>
      </c>
      <c r="F2836" s="16" t="inlineStr">
        <is>
          <t>-</t>
        </is>
      </c>
      <c r="G2836" s="16" t="inlineStr">
        <is>
          <t>1. Set theme rose-pine.
2. Navigate to Mocks list.
3. Verify text/icon contrast and color tokens.</t>
        </is>
      </c>
      <c r="H2836" s="16" t="inlineStr">
        <is>
          <t>theme=rose-pine surface=Mocks list</t>
        </is>
      </c>
      <c r="I2836" s="16" t="inlineStr">
        <is>
          <t>Theme tokens applied consistently; text legible against background; focus rings still visible; no contrast regressions.</t>
        </is>
      </c>
      <c r="J2836" s="16" t="inlineStr"/>
      <c r="K2836" s="16" t="inlineStr">
        <is>
          <t>Not Run</t>
        </is>
      </c>
      <c r="L2836" s="16" t="inlineStr">
        <is>
          <t>Low</t>
        </is>
      </c>
      <c r="M2836" s="16" t="inlineStr"/>
      <c r="N2836" s="16" t="inlineStr"/>
      <c r="O2836" s="16" t="inlineStr"/>
    </row>
    <row r="2837" ht="72" customHeight="1">
      <c r="A2837" s="16" t="inlineStr">
        <is>
          <t>TC-ST-0067</t>
        </is>
      </c>
      <c r="B2837" s="16" t="inlineStr">
        <is>
          <t>Settings &amp; Theming</t>
        </is>
      </c>
      <c r="C2837" s="16" t="inlineStr">
        <is>
          <t>Theme Matrix</t>
        </is>
      </c>
      <c r="D2837" s="16" t="inlineStr">
        <is>
          <t>UX/UI</t>
        </is>
      </c>
      <c r="E2837" s="16" t="inlineStr">
        <is>
          <t>Render Help under theme 'rose-pine'</t>
        </is>
      </c>
      <c r="F2837" s="16" t="inlineStr">
        <is>
          <t>-</t>
        </is>
      </c>
      <c r="G2837" s="16" t="inlineStr">
        <is>
          <t>1. Set theme rose-pine.
2. Navigate to Help.
3. Verify text/icon contrast and color tokens.</t>
        </is>
      </c>
      <c r="H2837" s="16" t="inlineStr">
        <is>
          <t>theme=rose-pine surface=Help</t>
        </is>
      </c>
      <c r="I2837" s="16" t="inlineStr">
        <is>
          <t>Theme tokens applied consistently; text legible against background; focus rings still visible; no contrast regressions.</t>
        </is>
      </c>
      <c r="J2837" s="16" t="inlineStr"/>
      <c r="K2837" s="16" t="inlineStr">
        <is>
          <t>Not Run</t>
        </is>
      </c>
      <c r="L2837" s="16" t="inlineStr">
        <is>
          <t>Low</t>
        </is>
      </c>
      <c r="M2837" s="16" t="inlineStr"/>
      <c r="N2837" s="16" t="inlineStr"/>
      <c r="O2837" s="16" t="inlineStr"/>
    </row>
    <row r="2838" ht="72" customHeight="1">
      <c r="A2838" s="16" t="inlineStr">
        <is>
          <t>TC-OI-0001</t>
        </is>
      </c>
      <c r="B2838" s="16" t="inlineStr">
        <is>
          <t>OAuth2 IdP Compatibility</t>
        </is>
      </c>
      <c r="C2838" s="16" t="inlineStr">
        <is>
          <t>Auth0</t>
        </is>
      </c>
      <c r="D2838" s="16" t="inlineStr">
        <is>
          <t>Compatibility</t>
        </is>
      </c>
      <c r="E2838" s="16" t="inlineStr">
        <is>
          <t>OAuth2 against Auth0 using client_credentials</t>
        </is>
      </c>
      <c r="F2838" s="16" t="inlineStr">
        <is>
          <t>OAuth2 credentials for the IdP.</t>
        </is>
      </c>
      <c r="G2838" s="16" t="inlineStr">
        <is>
          <t>1. Configure OAuth2: authUrl/tokenUrl per Auth0; clientId/secret/scope.
2. Initiate client_credentials.
3. Approve in IdP UI (or supply credentials for non-interactive grants).
4. Verify access_token + (optional refresh_token) stored.
5. Send a downstream protected request.</t>
        </is>
      </c>
      <c r="H2838" s="16" t="inlineStr">
        <is>
          <t>idp=Auth0 grant=client_credentials</t>
        </is>
      </c>
      <c r="I2838" s="16" t="inlineStr">
        <is>
          <t>Token acquired against Auth0 successfully; obtainedScope reflects granted scope; downstream request returns 200; refresh path (if returned) works on next expiry.</t>
        </is>
      </c>
      <c r="J2838" s="16" t="inlineStr"/>
      <c r="K2838" s="16" t="inlineStr">
        <is>
          <t>Not Run</t>
        </is>
      </c>
      <c r="L2838" s="16" t="inlineStr">
        <is>
          <t>High</t>
        </is>
      </c>
      <c r="M2838" s="16" t="inlineStr"/>
      <c r="N2838" s="16" t="inlineStr"/>
      <c r="O2838" s="16" t="inlineStr"/>
    </row>
    <row r="2839" ht="72" customHeight="1">
      <c r="A2839" s="16" t="inlineStr">
        <is>
          <t>TC-OI-0002</t>
        </is>
      </c>
      <c r="B2839" s="16" t="inlineStr">
        <is>
          <t>OAuth2 IdP Compatibility</t>
        </is>
      </c>
      <c r="C2839" s="16" t="inlineStr">
        <is>
          <t>Auth0</t>
        </is>
      </c>
      <c r="D2839" s="16" t="inlineStr">
        <is>
          <t>Compatibility</t>
        </is>
      </c>
      <c r="E2839" s="16" t="inlineStr">
        <is>
          <t>OAuth2 against Auth0 using authorization_code</t>
        </is>
      </c>
      <c r="F2839" s="16" t="inlineStr">
        <is>
          <t>OAuth2 credentials for the IdP.</t>
        </is>
      </c>
      <c r="G2839" s="16" t="inlineStr">
        <is>
          <t>1. Configure OAuth2: authUrl/tokenUrl per Auth0; clientId/secret/scope.
2. Initiate authorization_code.
3. Approve in IdP UI (or supply credentials for non-interactive grants).
4. Verify access_token + (optional refresh_token) stored.
5. Send a downstream protected request.</t>
        </is>
      </c>
      <c r="H2839" s="16" t="inlineStr">
        <is>
          <t>idp=Auth0 grant=authorization_code</t>
        </is>
      </c>
      <c r="I2839" s="16" t="inlineStr">
        <is>
          <t>Token acquired against Auth0 successfully; obtainedScope reflects granted scope; downstream request returns 200; refresh path (if returned) works on next expiry.</t>
        </is>
      </c>
      <c r="J2839" s="16" t="inlineStr"/>
      <c r="K2839" s="16" t="inlineStr">
        <is>
          <t>Not Run</t>
        </is>
      </c>
      <c r="L2839" s="16" t="inlineStr">
        <is>
          <t>High</t>
        </is>
      </c>
      <c r="M2839" s="16" t="inlineStr"/>
      <c r="N2839" s="16" t="inlineStr"/>
      <c r="O2839" s="16" t="inlineStr"/>
    </row>
    <row r="2840" ht="72" customHeight="1">
      <c r="A2840" s="16" t="inlineStr">
        <is>
          <t>TC-OI-0003</t>
        </is>
      </c>
      <c r="B2840" s="16" t="inlineStr">
        <is>
          <t>OAuth2 IdP Compatibility</t>
        </is>
      </c>
      <c r="C2840" s="16" t="inlineStr">
        <is>
          <t>Auth0</t>
        </is>
      </c>
      <c r="D2840" s="16" t="inlineStr">
        <is>
          <t>Compatibility</t>
        </is>
      </c>
      <c r="E2840" s="16" t="inlineStr">
        <is>
          <t>OAuth2 against Auth0 using authorization_code+PKCE</t>
        </is>
      </c>
      <c r="F2840" s="16" t="inlineStr">
        <is>
          <t>OAuth2 credentials for the IdP.</t>
        </is>
      </c>
      <c r="G2840" s="16" t="inlineStr">
        <is>
          <t>1. Configure OAuth2: authUrl/tokenUrl per Auth0; clientId/secret/scope.
2. Initiate authorization_code+PKCE.
3. Approve in IdP UI (or supply credentials for non-interactive grants).
4. Verify access_token + (optional refresh_token) stored.
5. Send a downstream protected request.</t>
        </is>
      </c>
      <c r="H2840" s="16" t="inlineStr">
        <is>
          <t>idp=Auth0 grant=authorization_code+PKCE</t>
        </is>
      </c>
      <c r="I2840" s="16" t="inlineStr">
        <is>
          <t>Token acquired against Auth0 successfully; obtainedScope reflects granted scope; downstream request returns 200; refresh path (if returned) works on next expiry.</t>
        </is>
      </c>
      <c r="J2840" s="16" t="inlineStr"/>
      <c r="K2840" s="16" t="inlineStr">
        <is>
          <t>Not Run</t>
        </is>
      </c>
      <c r="L2840" s="16" t="inlineStr">
        <is>
          <t>High</t>
        </is>
      </c>
      <c r="M2840" s="16" t="inlineStr"/>
      <c r="N2840" s="16" t="inlineStr"/>
      <c r="O2840" s="16" t="inlineStr"/>
    </row>
    <row r="2841" ht="72" customHeight="1">
      <c r="A2841" s="16" t="inlineStr">
        <is>
          <t>TC-OI-0004</t>
        </is>
      </c>
      <c r="B2841" s="16" t="inlineStr">
        <is>
          <t>OAuth2 IdP Compatibility</t>
        </is>
      </c>
      <c r="C2841" s="16" t="inlineStr">
        <is>
          <t>Auth0</t>
        </is>
      </c>
      <c r="D2841" s="16" t="inlineStr">
        <is>
          <t>Compatibility</t>
        </is>
      </c>
      <c r="E2841" s="16" t="inlineStr">
        <is>
          <t>OAuth2 against Auth0 using password</t>
        </is>
      </c>
      <c r="F2841" s="16" t="inlineStr">
        <is>
          <t>OAuth2 credentials for the IdP.</t>
        </is>
      </c>
      <c r="G2841" s="16" t="inlineStr">
        <is>
          <t>1. Configure OAuth2: authUrl/tokenUrl per Auth0; clientId/secret/scope.
2. Initiate password.
3. Approve in IdP UI (or supply credentials for non-interactive grants).
4. Verify access_token + (optional refresh_token) stored.
5. Send a downstream protected request.</t>
        </is>
      </c>
      <c r="H2841" s="16" t="inlineStr">
        <is>
          <t>idp=Auth0 grant=password</t>
        </is>
      </c>
      <c r="I2841" s="16" t="inlineStr">
        <is>
          <t>Token acquired against Auth0 successfully; obtainedScope reflects granted scope; downstream request returns 200; refresh path (if returned) works on next expiry.</t>
        </is>
      </c>
      <c r="J2841" s="16" t="inlineStr"/>
      <c r="K2841" s="16" t="inlineStr">
        <is>
          <t>Not Run</t>
        </is>
      </c>
      <c r="L2841" s="16" t="inlineStr">
        <is>
          <t>High</t>
        </is>
      </c>
      <c r="M2841" s="16" t="inlineStr"/>
      <c r="N2841" s="16" t="inlineStr"/>
      <c r="O2841" s="16" t="inlineStr"/>
    </row>
    <row r="2842" ht="72" customHeight="1">
      <c r="A2842" s="16" t="inlineStr">
        <is>
          <t>TC-OI-0005</t>
        </is>
      </c>
      <c r="B2842" s="16" t="inlineStr">
        <is>
          <t>OAuth2 IdP Compatibility</t>
        </is>
      </c>
      <c r="C2842" s="16" t="inlineStr">
        <is>
          <t>Auth0</t>
        </is>
      </c>
      <c r="D2842" s="16" t="inlineStr">
        <is>
          <t>Compatibility</t>
        </is>
      </c>
      <c r="E2842" s="16" t="inlineStr">
        <is>
          <t>OAuth2 against Auth0 using device_code</t>
        </is>
      </c>
      <c r="F2842" s="16" t="inlineStr">
        <is>
          <t>OAuth2 credentials for the IdP.</t>
        </is>
      </c>
      <c r="G2842" s="16" t="inlineStr">
        <is>
          <t>1. Configure OAuth2: authUrl/tokenUrl per Auth0; clientId/secret/scope.
2. Initiate device_code.
3. Approve in IdP UI (or supply credentials for non-interactive grants).
4. Verify access_token + (optional refresh_token) stored.
5. Send a downstream protected request.</t>
        </is>
      </c>
      <c r="H2842" s="16" t="inlineStr">
        <is>
          <t>idp=Auth0 grant=device_code</t>
        </is>
      </c>
      <c r="I2842" s="16" t="inlineStr">
        <is>
          <t>Token acquired against Auth0 successfully; obtainedScope reflects granted scope; downstream request returns 200; refresh path (if returned) works on next expiry. Device flow user_code displayed; polling respected; activation works.</t>
        </is>
      </c>
      <c r="J2842" s="16" t="inlineStr"/>
      <c r="K2842" s="16" t="inlineStr">
        <is>
          <t>Not Run</t>
        </is>
      </c>
      <c r="L2842" s="16" t="inlineStr">
        <is>
          <t>Medium</t>
        </is>
      </c>
      <c r="M2842" s="16" t="inlineStr"/>
      <c r="N2842" s="16" t="inlineStr"/>
      <c r="O2842" s="16" t="inlineStr"/>
    </row>
    <row r="2843" ht="72" customHeight="1">
      <c r="A2843" s="16" t="inlineStr">
        <is>
          <t>TC-OI-0006</t>
        </is>
      </c>
      <c r="B2843" s="16" t="inlineStr">
        <is>
          <t>OAuth2 IdP Compatibility</t>
        </is>
      </c>
      <c r="C2843" s="16" t="inlineStr">
        <is>
          <t>Auth0</t>
        </is>
      </c>
      <c r="D2843" s="16" t="inlineStr">
        <is>
          <t>Compatibility</t>
        </is>
      </c>
      <c r="E2843" s="16" t="inlineStr">
        <is>
          <t>OAuth2 against Auth0 using refresh_token</t>
        </is>
      </c>
      <c r="F2843" s="16" t="inlineStr">
        <is>
          <t>OAuth2 credentials for the IdP.</t>
        </is>
      </c>
      <c r="G2843" s="16" t="inlineStr">
        <is>
          <t>1. Configure OAuth2: authUrl/tokenUrl per Auth0; clientId/secret/scope.
2. Initiate refresh_token.
3. Approve in IdP UI (or supply credentials for non-interactive grants).
4. Verify access_token + (optional refresh_token) stored.
5. Send a downstream protected request.</t>
        </is>
      </c>
      <c r="H2843" s="16" t="inlineStr">
        <is>
          <t>idp=Auth0 grant=refresh_token</t>
        </is>
      </c>
      <c r="I2843" s="16" t="inlineStr">
        <is>
          <t>Token acquired against Auth0 successfully; obtainedScope reflects granted scope; downstream request returns 200; refresh path (if returned) works on next expiry.</t>
        </is>
      </c>
      <c r="J2843" s="16" t="inlineStr"/>
      <c r="K2843" s="16" t="inlineStr">
        <is>
          <t>Not Run</t>
        </is>
      </c>
      <c r="L2843" s="16" t="inlineStr">
        <is>
          <t>High</t>
        </is>
      </c>
      <c r="M2843" s="16" t="inlineStr"/>
      <c r="N2843" s="16" t="inlineStr"/>
      <c r="O2843" s="16" t="inlineStr"/>
    </row>
    <row r="2844" ht="72" customHeight="1">
      <c r="A2844" s="16" t="inlineStr">
        <is>
          <t>TC-OI-0007</t>
        </is>
      </c>
      <c r="B2844" s="16" t="inlineStr">
        <is>
          <t>OAuth2 IdP Compatibility</t>
        </is>
      </c>
      <c r="C2844" s="16" t="inlineStr">
        <is>
          <t>Auth0</t>
        </is>
      </c>
      <c r="D2844" s="16" t="inlineStr">
        <is>
          <t>Compatibility</t>
        </is>
      </c>
      <c r="E2844" s="16" t="inlineStr">
        <is>
          <t>OAuth2 against Auth0 using implicit</t>
        </is>
      </c>
      <c r="F2844" s="16" t="inlineStr">
        <is>
          <t>OAuth2 credentials for the IdP.</t>
        </is>
      </c>
      <c r="G2844" s="16" t="inlineStr">
        <is>
          <t>1. Configure OAuth2: authUrl/tokenUrl per Auth0; clientId/secret/scope.
2. Initiate implicit.
3. Approve in IdP UI (or supply credentials for non-interactive grants).
4. Verify access_token + (optional refresh_token) stored.
5. Send a downstream protected request.</t>
        </is>
      </c>
      <c r="H2844" s="16" t="inlineStr">
        <is>
          <t>idp=Auth0 grant=implicit</t>
        </is>
      </c>
      <c r="I2844" s="16" t="inlineStr">
        <is>
          <t>Token acquired against Auth0 successfully; obtainedScope reflects granted scope; downstream request returns 200; refresh path (if returned) works on next expiry.</t>
        </is>
      </c>
      <c r="J2844" s="16" t="inlineStr"/>
      <c r="K2844" s="16" t="inlineStr">
        <is>
          <t>Not Run</t>
        </is>
      </c>
      <c r="L2844" s="16" t="inlineStr">
        <is>
          <t>High</t>
        </is>
      </c>
      <c r="M2844" s="16" t="inlineStr"/>
      <c r="N2844" s="16" t="inlineStr"/>
      <c r="O2844" s="16" t="inlineStr"/>
    </row>
    <row r="2845" ht="72" customHeight="1">
      <c r="A2845" s="16" t="inlineStr">
        <is>
          <t>TC-OI-0008</t>
        </is>
      </c>
      <c r="B2845" s="16" t="inlineStr">
        <is>
          <t>OAuth2 IdP Compatibility</t>
        </is>
      </c>
      <c r="C2845" s="16" t="inlineStr">
        <is>
          <t>Okta</t>
        </is>
      </c>
      <c r="D2845" s="16" t="inlineStr">
        <is>
          <t>Compatibility</t>
        </is>
      </c>
      <c r="E2845" s="16" t="inlineStr">
        <is>
          <t>OAuth2 against Okta using client_credentials</t>
        </is>
      </c>
      <c r="F2845" s="16" t="inlineStr">
        <is>
          <t>OAuth2 credentials for the IdP.</t>
        </is>
      </c>
      <c r="G2845" s="16" t="inlineStr">
        <is>
          <t>1. Configure OAuth2: authUrl/tokenUrl per Okta; clientId/secret/scope.
2. Initiate client_credentials.
3. Approve in IdP UI (or supply credentials for non-interactive grants).
4. Verify access_token + (optional refresh_token) stored.
5. Send a downstream protected request.</t>
        </is>
      </c>
      <c r="H2845" s="16" t="inlineStr">
        <is>
          <t>idp=Okta grant=client_credentials</t>
        </is>
      </c>
      <c r="I2845" s="16" t="inlineStr">
        <is>
          <t>Token acquired against Okta successfully; obtainedScope reflects granted scope; downstream request returns 200; refresh path (if returned) works on next expiry.</t>
        </is>
      </c>
      <c r="J2845" s="16" t="inlineStr"/>
      <c r="K2845" s="16" t="inlineStr">
        <is>
          <t>Not Run</t>
        </is>
      </c>
      <c r="L2845" s="16" t="inlineStr">
        <is>
          <t>High</t>
        </is>
      </c>
      <c r="M2845" s="16" t="inlineStr"/>
      <c r="N2845" s="16" t="inlineStr"/>
      <c r="O2845" s="16" t="inlineStr"/>
    </row>
    <row r="2846" ht="72" customHeight="1">
      <c r="A2846" s="16" t="inlineStr">
        <is>
          <t>TC-OI-0009</t>
        </is>
      </c>
      <c r="B2846" s="16" t="inlineStr">
        <is>
          <t>OAuth2 IdP Compatibility</t>
        </is>
      </c>
      <c r="C2846" s="16" t="inlineStr">
        <is>
          <t>Okta</t>
        </is>
      </c>
      <c r="D2846" s="16" t="inlineStr">
        <is>
          <t>Compatibility</t>
        </is>
      </c>
      <c r="E2846" s="16" t="inlineStr">
        <is>
          <t>OAuth2 against Okta using authorization_code</t>
        </is>
      </c>
      <c r="F2846" s="16" t="inlineStr">
        <is>
          <t>OAuth2 credentials for the IdP.</t>
        </is>
      </c>
      <c r="G2846" s="16" t="inlineStr">
        <is>
          <t>1. Configure OAuth2: authUrl/tokenUrl per Okta; clientId/secret/scope.
2. Initiate authorization_code.
3. Approve in IdP UI (or supply credentials for non-interactive grants).
4. Verify access_token + (optional refresh_token) stored.
5. Send a downstream protected request.</t>
        </is>
      </c>
      <c r="H2846" s="16" t="inlineStr">
        <is>
          <t>idp=Okta grant=authorization_code</t>
        </is>
      </c>
      <c r="I2846" s="16" t="inlineStr">
        <is>
          <t>Token acquired against Okta successfully; obtainedScope reflects granted scope; downstream request returns 200; refresh path (if returned) works on next expiry.</t>
        </is>
      </c>
      <c r="J2846" s="16" t="inlineStr"/>
      <c r="K2846" s="16" t="inlineStr">
        <is>
          <t>Not Run</t>
        </is>
      </c>
      <c r="L2846" s="16" t="inlineStr">
        <is>
          <t>High</t>
        </is>
      </c>
      <c r="M2846" s="16" t="inlineStr"/>
      <c r="N2846" s="16" t="inlineStr"/>
      <c r="O2846" s="16" t="inlineStr"/>
    </row>
    <row r="2847" ht="72" customHeight="1">
      <c r="A2847" s="16" t="inlineStr">
        <is>
          <t>TC-OI-0010</t>
        </is>
      </c>
      <c r="B2847" s="16" t="inlineStr">
        <is>
          <t>OAuth2 IdP Compatibility</t>
        </is>
      </c>
      <c r="C2847" s="16" t="inlineStr">
        <is>
          <t>Okta</t>
        </is>
      </c>
      <c r="D2847" s="16" t="inlineStr">
        <is>
          <t>Compatibility</t>
        </is>
      </c>
      <c r="E2847" s="16" t="inlineStr">
        <is>
          <t>OAuth2 against Okta using authorization_code+PKCE</t>
        </is>
      </c>
      <c r="F2847" s="16" t="inlineStr">
        <is>
          <t>OAuth2 credentials for the IdP.</t>
        </is>
      </c>
      <c r="G2847" s="16" t="inlineStr">
        <is>
          <t>1. Configure OAuth2: authUrl/tokenUrl per Okta; clientId/secret/scope.
2. Initiate authorization_code+PKCE.
3. Approve in IdP UI (or supply credentials for non-interactive grants).
4. Verify access_token + (optional refresh_token) stored.
5. Send a downstream protected request.</t>
        </is>
      </c>
      <c r="H2847" s="16" t="inlineStr">
        <is>
          <t>idp=Okta grant=authorization_code+PKCE</t>
        </is>
      </c>
      <c r="I2847" s="16" t="inlineStr">
        <is>
          <t>Token acquired against Okta successfully; obtainedScope reflects granted scope; downstream request returns 200; refresh path (if returned) works on next expiry.</t>
        </is>
      </c>
      <c r="J2847" s="16" t="inlineStr"/>
      <c r="K2847" s="16" t="inlineStr">
        <is>
          <t>Not Run</t>
        </is>
      </c>
      <c r="L2847" s="16" t="inlineStr">
        <is>
          <t>High</t>
        </is>
      </c>
      <c r="M2847" s="16" t="inlineStr"/>
      <c r="N2847" s="16" t="inlineStr"/>
      <c r="O2847" s="16" t="inlineStr"/>
    </row>
    <row r="2848" ht="72" customHeight="1">
      <c r="A2848" s="16" t="inlineStr">
        <is>
          <t>TC-OI-0011</t>
        </is>
      </c>
      <c r="B2848" s="16" t="inlineStr">
        <is>
          <t>OAuth2 IdP Compatibility</t>
        </is>
      </c>
      <c r="C2848" s="16" t="inlineStr">
        <is>
          <t>Okta</t>
        </is>
      </c>
      <c r="D2848" s="16" t="inlineStr">
        <is>
          <t>Compatibility</t>
        </is>
      </c>
      <c r="E2848" s="16" t="inlineStr">
        <is>
          <t>OAuth2 against Okta using password</t>
        </is>
      </c>
      <c r="F2848" s="16" t="inlineStr">
        <is>
          <t>OAuth2 credentials for the IdP.</t>
        </is>
      </c>
      <c r="G2848" s="16" t="inlineStr">
        <is>
          <t>1. Configure OAuth2: authUrl/tokenUrl per Okta; clientId/secret/scope.
2. Initiate password.
3. Approve in IdP UI (or supply credentials for non-interactive grants).
4. Verify access_token + (optional refresh_token) stored.
5. Send a downstream protected request.</t>
        </is>
      </c>
      <c r="H2848" s="16" t="inlineStr">
        <is>
          <t>idp=Okta grant=password</t>
        </is>
      </c>
      <c r="I2848" s="16" t="inlineStr">
        <is>
          <t>Token acquired against Okta successfully; obtainedScope reflects granted scope; downstream request returns 200; refresh path (if returned) works on next expiry.</t>
        </is>
      </c>
      <c r="J2848" s="16" t="inlineStr"/>
      <c r="K2848" s="16" t="inlineStr">
        <is>
          <t>Not Run</t>
        </is>
      </c>
      <c r="L2848" s="16" t="inlineStr">
        <is>
          <t>High</t>
        </is>
      </c>
      <c r="M2848" s="16" t="inlineStr"/>
      <c r="N2848" s="16" t="inlineStr"/>
      <c r="O2848" s="16" t="inlineStr"/>
    </row>
    <row r="2849" ht="72" customHeight="1">
      <c r="A2849" s="16" t="inlineStr">
        <is>
          <t>TC-OI-0012</t>
        </is>
      </c>
      <c r="B2849" s="16" t="inlineStr">
        <is>
          <t>OAuth2 IdP Compatibility</t>
        </is>
      </c>
      <c r="C2849" s="16" t="inlineStr">
        <is>
          <t>Okta</t>
        </is>
      </c>
      <c r="D2849" s="16" t="inlineStr">
        <is>
          <t>Compatibility</t>
        </is>
      </c>
      <c r="E2849" s="16" t="inlineStr">
        <is>
          <t>OAuth2 against Okta using device_code</t>
        </is>
      </c>
      <c r="F2849" s="16" t="inlineStr">
        <is>
          <t>OAuth2 credentials for the IdP.</t>
        </is>
      </c>
      <c r="G2849" s="16" t="inlineStr">
        <is>
          <t>1. Configure OAuth2: authUrl/tokenUrl per Okta; clientId/secret/scope.
2. Initiate device_code.
3. Approve in IdP UI (or supply credentials for non-interactive grants).
4. Verify access_token + (optional refresh_token) stored.
5. Send a downstream protected request.</t>
        </is>
      </c>
      <c r="H2849" s="16" t="inlineStr">
        <is>
          <t>idp=Okta grant=device_code</t>
        </is>
      </c>
      <c r="I2849" s="16" t="inlineStr">
        <is>
          <t>Token acquired against Okta successfully; obtainedScope reflects granted scope; downstream request returns 200; refresh path (if returned) works on next expiry. Device flow user_code displayed; polling respected; activation works.</t>
        </is>
      </c>
      <c r="J2849" s="16" t="inlineStr"/>
      <c r="K2849" s="16" t="inlineStr">
        <is>
          <t>Not Run</t>
        </is>
      </c>
      <c r="L2849" s="16" t="inlineStr">
        <is>
          <t>Medium</t>
        </is>
      </c>
      <c r="M2849" s="16" t="inlineStr"/>
      <c r="N2849" s="16" t="inlineStr"/>
      <c r="O2849" s="16" t="inlineStr"/>
    </row>
    <row r="2850" ht="72" customHeight="1">
      <c r="A2850" s="16" t="inlineStr">
        <is>
          <t>TC-OI-0013</t>
        </is>
      </c>
      <c r="B2850" s="16" t="inlineStr">
        <is>
          <t>OAuth2 IdP Compatibility</t>
        </is>
      </c>
      <c r="C2850" s="16" t="inlineStr">
        <is>
          <t>Okta</t>
        </is>
      </c>
      <c r="D2850" s="16" t="inlineStr">
        <is>
          <t>Compatibility</t>
        </is>
      </c>
      <c r="E2850" s="16" t="inlineStr">
        <is>
          <t>OAuth2 against Okta using refresh_token</t>
        </is>
      </c>
      <c r="F2850" s="16" t="inlineStr">
        <is>
          <t>OAuth2 credentials for the IdP.</t>
        </is>
      </c>
      <c r="G2850" s="16" t="inlineStr">
        <is>
          <t>1. Configure OAuth2: authUrl/tokenUrl per Okta; clientId/secret/scope.
2. Initiate refresh_token.
3. Approve in IdP UI (or supply credentials for non-interactive grants).
4. Verify access_token + (optional refresh_token) stored.
5. Send a downstream protected request.</t>
        </is>
      </c>
      <c r="H2850" s="16" t="inlineStr">
        <is>
          <t>idp=Okta grant=refresh_token</t>
        </is>
      </c>
      <c r="I2850" s="16" t="inlineStr">
        <is>
          <t>Token acquired against Okta successfully; obtainedScope reflects granted scope; downstream request returns 200; refresh path (if returned) works on next expiry.</t>
        </is>
      </c>
      <c r="J2850" s="16" t="inlineStr"/>
      <c r="K2850" s="16" t="inlineStr">
        <is>
          <t>Not Run</t>
        </is>
      </c>
      <c r="L2850" s="16" t="inlineStr">
        <is>
          <t>High</t>
        </is>
      </c>
      <c r="M2850" s="16" t="inlineStr"/>
      <c r="N2850" s="16" t="inlineStr"/>
      <c r="O2850" s="16" t="inlineStr"/>
    </row>
    <row r="2851" ht="72" customHeight="1">
      <c r="A2851" s="16" t="inlineStr">
        <is>
          <t>TC-OI-0014</t>
        </is>
      </c>
      <c r="B2851" s="16" t="inlineStr">
        <is>
          <t>OAuth2 IdP Compatibility</t>
        </is>
      </c>
      <c r="C2851" s="16" t="inlineStr">
        <is>
          <t>Okta</t>
        </is>
      </c>
      <c r="D2851" s="16" t="inlineStr">
        <is>
          <t>Compatibility</t>
        </is>
      </c>
      <c r="E2851" s="16" t="inlineStr">
        <is>
          <t>OAuth2 against Okta using implicit</t>
        </is>
      </c>
      <c r="F2851" s="16" t="inlineStr">
        <is>
          <t>OAuth2 credentials for the IdP.</t>
        </is>
      </c>
      <c r="G2851" s="16" t="inlineStr">
        <is>
          <t>1. Configure OAuth2: authUrl/tokenUrl per Okta; clientId/secret/scope.
2. Initiate implicit.
3. Approve in IdP UI (or supply credentials for non-interactive grants).
4. Verify access_token + (optional refresh_token) stored.
5. Send a downstream protected request.</t>
        </is>
      </c>
      <c r="H2851" s="16" t="inlineStr">
        <is>
          <t>idp=Okta grant=implicit</t>
        </is>
      </c>
      <c r="I2851" s="16" t="inlineStr">
        <is>
          <t>Token acquired against Okta successfully; obtainedScope reflects granted scope; downstream request returns 200; refresh path (if returned) works on next expiry.</t>
        </is>
      </c>
      <c r="J2851" s="16" t="inlineStr"/>
      <c r="K2851" s="16" t="inlineStr">
        <is>
          <t>Not Run</t>
        </is>
      </c>
      <c r="L2851" s="16" t="inlineStr">
        <is>
          <t>High</t>
        </is>
      </c>
      <c r="M2851" s="16" t="inlineStr"/>
      <c r="N2851" s="16" t="inlineStr"/>
      <c r="O2851" s="16" t="inlineStr"/>
    </row>
    <row r="2852" ht="72" customHeight="1">
      <c r="A2852" s="16" t="inlineStr">
        <is>
          <t>TC-OI-0015</t>
        </is>
      </c>
      <c r="B2852" s="16" t="inlineStr">
        <is>
          <t>OAuth2 IdP Compatibility</t>
        </is>
      </c>
      <c r="C2852" s="16" t="inlineStr">
        <is>
          <t>Google Identity</t>
        </is>
      </c>
      <c r="D2852" s="16" t="inlineStr">
        <is>
          <t>Compatibility</t>
        </is>
      </c>
      <c r="E2852" s="16" t="inlineStr">
        <is>
          <t>OAuth2 against Google Identity using client_credentials</t>
        </is>
      </c>
      <c r="F2852" s="16" t="inlineStr">
        <is>
          <t>OAuth2 credentials for the IdP.</t>
        </is>
      </c>
      <c r="G2852" s="16" t="inlineStr">
        <is>
          <t>1. Configure OAuth2: authUrl/tokenUrl per Google Identity; clientId/secret/scope.
2. Initiate client_credentials.
3. Approve in IdP UI (or supply credentials for non-interactive grants).
4. Verify access_token + (optional refresh_token) stored.
5. Send a downstream protected request.</t>
        </is>
      </c>
      <c r="H2852" s="16" t="inlineStr">
        <is>
          <t>idp=Google Identity grant=client_credentials</t>
        </is>
      </c>
      <c r="I2852" s="16" t="inlineStr">
        <is>
          <t>Token acquired against Google Identity successfully; obtainedScope reflects granted scope; downstream request returns 200; refresh path (if returned) works on next expiry.</t>
        </is>
      </c>
      <c r="J2852" s="16" t="inlineStr"/>
      <c r="K2852" s="16" t="inlineStr">
        <is>
          <t>Not Run</t>
        </is>
      </c>
      <c r="L2852" s="16" t="inlineStr">
        <is>
          <t>High</t>
        </is>
      </c>
      <c r="M2852" s="16" t="inlineStr"/>
      <c r="N2852" s="16" t="inlineStr"/>
      <c r="O2852" s="16" t="inlineStr"/>
    </row>
    <row r="2853" ht="72" customHeight="1">
      <c r="A2853" s="16" t="inlineStr">
        <is>
          <t>TC-OI-0016</t>
        </is>
      </c>
      <c r="B2853" s="16" t="inlineStr">
        <is>
          <t>OAuth2 IdP Compatibility</t>
        </is>
      </c>
      <c r="C2853" s="16" t="inlineStr">
        <is>
          <t>Google Identity</t>
        </is>
      </c>
      <c r="D2853" s="16" t="inlineStr">
        <is>
          <t>Compatibility</t>
        </is>
      </c>
      <c r="E2853" s="16" t="inlineStr">
        <is>
          <t>OAuth2 against Google Identity using authorization_code</t>
        </is>
      </c>
      <c r="F2853" s="16" t="inlineStr">
        <is>
          <t>OAuth2 credentials for the IdP.</t>
        </is>
      </c>
      <c r="G2853" s="16" t="inlineStr">
        <is>
          <t>1. Configure OAuth2: authUrl/tokenUrl per Google Identity; clientId/secret/scope.
2. Initiate authorization_code.
3. Approve in IdP UI (or supply credentials for non-interactive grants).
4. Verify access_token + (optional refresh_token) stored.
5. Send a downstream protected request.</t>
        </is>
      </c>
      <c r="H2853" s="16" t="inlineStr">
        <is>
          <t>idp=Google Identity grant=authorization_code</t>
        </is>
      </c>
      <c r="I2853" s="16" t="inlineStr">
        <is>
          <t>Token acquired against Google Identity successfully; obtainedScope reflects granted scope; downstream request returns 200; refresh path (if returned) works on next expiry.</t>
        </is>
      </c>
      <c r="J2853" s="16" t="inlineStr"/>
      <c r="K2853" s="16" t="inlineStr">
        <is>
          <t>Not Run</t>
        </is>
      </c>
      <c r="L2853" s="16" t="inlineStr">
        <is>
          <t>High</t>
        </is>
      </c>
      <c r="M2853" s="16" t="inlineStr"/>
      <c r="N2853" s="16" t="inlineStr"/>
      <c r="O2853" s="16" t="inlineStr"/>
    </row>
    <row r="2854" ht="72" customHeight="1">
      <c r="A2854" s="16" t="inlineStr">
        <is>
          <t>TC-OI-0017</t>
        </is>
      </c>
      <c r="B2854" s="16" t="inlineStr">
        <is>
          <t>OAuth2 IdP Compatibility</t>
        </is>
      </c>
      <c r="C2854" s="16" t="inlineStr">
        <is>
          <t>Google Identity</t>
        </is>
      </c>
      <c r="D2854" s="16" t="inlineStr">
        <is>
          <t>Compatibility</t>
        </is>
      </c>
      <c r="E2854" s="16" t="inlineStr">
        <is>
          <t>OAuth2 against Google Identity using authorization_code+PKCE</t>
        </is>
      </c>
      <c r="F2854" s="16" t="inlineStr">
        <is>
          <t>OAuth2 credentials for the IdP.</t>
        </is>
      </c>
      <c r="G2854" s="16" t="inlineStr">
        <is>
          <t>1. Configure OAuth2: authUrl/tokenUrl per Google Identity; clientId/secret/scope.
2. Initiate authorization_code+PKCE.
3. Approve in IdP UI (or supply credentials for non-interactive grants).
4. Verify access_token + (optional refresh_token) stored.
5. Send a downstream protected request.</t>
        </is>
      </c>
      <c r="H2854" s="16" t="inlineStr">
        <is>
          <t>idp=Google Identity grant=authorization_code+PKCE</t>
        </is>
      </c>
      <c r="I2854" s="16" t="inlineStr">
        <is>
          <t>Token acquired against Google Identity successfully; obtainedScope reflects granted scope; downstream request returns 200; refresh path (if returned) works on next expiry.</t>
        </is>
      </c>
      <c r="J2854" s="16" t="inlineStr"/>
      <c r="K2854" s="16" t="inlineStr">
        <is>
          <t>Not Run</t>
        </is>
      </c>
      <c r="L2854" s="16" t="inlineStr">
        <is>
          <t>High</t>
        </is>
      </c>
      <c r="M2854" s="16" t="inlineStr"/>
      <c r="N2854" s="16" t="inlineStr"/>
      <c r="O2854" s="16" t="inlineStr"/>
    </row>
    <row r="2855" ht="72" customHeight="1">
      <c r="A2855" s="16" t="inlineStr">
        <is>
          <t>TC-OI-0018</t>
        </is>
      </c>
      <c r="B2855" s="16" t="inlineStr">
        <is>
          <t>OAuth2 IdP Compatibility</t>
        </is>
      </c>
      <c r="C2855" s="16" t="inlineStr">
        <is>
          <t>Google Identity</t>
        </is>
      </c>
      <c r="D2855" s="16" t="inlineStr">
        <is>
          <t>Compatibility</t>
        </is>
      </c>
      <c r="E2855" s="16" t="inlineStr">
        <is>
          <t>OAuth2 against Google Identity using password</t>
        </is>
      </c>
      <c r="F2855" s="16" t="inlineStr">
        <is>
          <t>OAuth2 credentials for the IdP.</t>
        </is>
      </c>
      <c r="G2855" s="16" t="inlineStr">
        <is>
          <t>1. Configure OAuth2: authUrl/tokenUrl per Google Identity; clientId/secret/scope.
2. Initiate password.
3. Approve in IdP UI (or supply credentials for non-interactive grants).
4. Verify access_token + (optional refresh_token) stored.
5. Send a downstream protected request.</t>
        </is>
      </c>
      <c r="H2855" s="16" t="inlineStr">
        <is>
          <t>idp=Google Identity grant=password</t>
        </is>
      </c>
      <c r="I2855" s="16" t="inlineStr">
        <is>
          <t>Token acquired against Google Identity successfully; obtainedScope reflects granted scope; downstream request returns 200; refresh path (if returned) works on next expiry.</t>
        </is>
      </c>
      <c r="J2855" s="16" t="inlineStr"/>
      <c r="K2855" s="16" t="inlineStr">
        <is>
          <t>Not Run</t>
        </is>
      </c>
      <c r="L2855" s="16" t="inlineStr">
        <is>
          <t>High</t>
        </is>
      </c>
      <c r="M2855" s="16" t="inlineStr"/>
      <c r="N2855" s="16" t="inlineStr"/>
      <c r="O2855" s="16" t="inlineStr"/>
    </row>
    <row r="2856" ht="72" customHeight="1">
      <c r="A2856" s="16" t="inlineStr">
        <is>
          <t>TC-OI-0019</t>
        </is>
      </c>
      <c r="B2856" s="16" t="inlineStr">
        <is>
          <t>OAuth2 IdP Compatibility</t>
        </is>
      </c>
      <c r="C2856" s="16" t="inlineStr">
        <is>
          <t>Google Identity</t>
        </is>
      </c>
      <c r="D2856" s="16" t="inlineStr">
        <is>
          <t>Compatibility</t>
        </is>
      </c>
      <c r="E2856" s="16" t="inlineStr">
        <is>
          <t>OAuth2 against Google Identity using device_code</t>
        </is>
      </c>
      <c r="F2856" s="16" t="inlineStr">
        <is>
          <t>OAuth2 credentials for the IdP.</t>
        </is>
      </c>
      <c r="G2856" s="16" t="inlineStr">
        <is>
          <t>1. Configure OAuth2: authUrl/tokenUrl per Google Identity; clientId/secret/scope.
2. Initiate device_code.
3. Approve in IdP UI (or supply credentials for non-interactive grants).
4. Verify access_token + (optional refresh_token) stored.
5. Send a downstream protected request.</t>
        </is>
      </c>
      <c r="H2856" s="16" t="inlineStr">
        <is>
          <t>idp=Google Identity grant=device_code</t>
        </is>
      </c>
      <c r="I2856" s="16" t="inlineStr">
        <is>
          <t>Token acquired against Google Identity successfully; obtainedScope reflects granted scope; downstream request returns 200; refresh path (if returned) works on next expiry. Device flow user_code displayed; polling respected; activation works.</t>
        </is>
      </c>
      <c r="J2856" s="16" t="inlineStr"/>
      <c r="K2856" s="16" t="inlineStr">
        <is>
          <t>Not Run</t>
        </is>
      </c>
      <c r="L2856" s="16" t="inlineStr">
        <is>
          <t>Medium</t>
        </is>
      </c>
      <c r="M2856" s="16" t="inlineStr"/>
      <c r="N2856" s="16" t="inlineStr"/>
      <c r="O2856" s="16" t="inlineStr"/>
    </row>
    <row r="2857" ht="72" customHeight="1">
      <c r="A2857" s="16" t="inlineStr">
        <is>
          <t>TC-OI-0020</t>
        </is>
      </c>
      <c r="B2857" s="16" t="inlineStr">
        <is>
          <t>OAuth2 IdP Compatibility</t>
        </is>
      </c>
      <c r="C2857" s="16" t="inlineStr">
        <is>
          <t>Google Identity</t>
        </is>
      </c>
      <c r="D2857" s="16" t="inlineStr">
        <is>
          <t>Compatibility</t>
        </is>
      </c>
      <c r="E2857" s="16" t="inlineStr">
        <is>
          <t>OAuth2 against Google Identity using refresh_token</t>
        </is>
      </c>
      <c r="F2857" s="16" t="inlineStr">
        <is>
          <t>OAuth2 credentials for the IdP.</t>
        </is>
      </c>
      <c r="G2857" s="16" t="inlineStr">
        <is>
          <t>1. Configure OAuth2: authUrl/tokenUrl per Google Identity; clientId/secret/scope.
2. Initiate refresh_token.
3. Approve in IdP UI (or supply credentials for non-interactive grants).
4. Verify access_token + (optional refresh_token) stored.
5. Send a downstream protected request.</t>
        </is>
      </c>
      <c r="H2857" s="16" t="inlineStr">
        <is>
          <t>idp=Google Identity grant=refresh_token</t>
        </is>
      </c>
      <c r="I2857" s="16" t="inlineStr">
        <is>
          <t>Token acquired against Google Identity successfully; obtainedScope reflects granted scope; downstream request returns 200; refresh path (if returned) works on next expiry.</t>
        </is>
      </c>
      <c r="J2857" s="16" t="inlineStr"/>
      <c r="K2857" s="16" t="inlineStr">
        <is>
          <t>Not Run</t>
        </is>
      </c>
      <c r="L2857" s="16" t="inlineStr">
        <is>
          <t>High</t>
        </is>
      </c>
      <c r="M2857" s="16" t="inlineStr"/>
      <c r="N2857" s="16" t="inlineStr"/>
      <c r="O2857" s="16" t="inlineStr"/>
    </row>
    <row r="2858" ht="72" customHeight="1">
      <c r="A2858" s="16" t="inlineStr">
        <is>
          <t>TC-OI-0021</t>
        </is>
      </c>
      <c r="B2858" s="16" t="inlineStr">
        <is>
          <t>OAuth2 IdP Compatibility</t>
        </is>
      </c>
      <c r="C2858" s="16" t="inlineStr">
        <is>
          <t>Google Identity</t>
        </is>
      </c>
      <c r="D2858" s="16" t="inlineStr">
        <is>
          <t>Compatibility</t>
        </is>
      </c>
      <c r="E2858" s="16" t="inlineStr">
        <is>
          <t>OAuth2 against Google Identity using implicit</t>
        </is>
      </c>
      <c r="F2858" s="16" t="inlineStr">
        <is>
          <t>OAuth2 credentials for the IdP.</t>
        </is>
      </c>
      <c r="G2858" s="16" t="inlineStr">
        <is>
          <t>1. Configure OAuth2: authUrl/tokenUrl per Google Identity; clientId/secret/scope.
2. Initiate implicit.
3. Approve in IdP UI (or supply credentials for non-interactive grants).
4. Verify access_token + (optional refresh_token) stored.
5. Send a downstream protected request.</t>
        </is>
      </c>
      <c r="H2858" s="16" t="inlineStr">
        <is>
          <t>idp=Google Identity grant=implicit</t>
        </is>
      </c>
      <c r="I2858" s="16" t="inlineStr">
        <is>
          <t>Token acquired against Google Identity successfully; obtainedScope reflects granted scope; downstream request returns 200; refresh path (if returned) works on next expiry. (Note: many providers have deprecated implicit; if not supported, IdP returns clear error.)</t>
        </is>
      </c>
      <c r="J2858" s="16" t="inlineStr"/>
      <c r="K2858" s="16" t="inlineStr">
        <is>
          <t>Not Run</t>
        </is>
      </c>
      <c r="L2858" s="16" t="inlineStr">
        <is>
          <t>Low</t>
        </is>
      </c>
      <c r="M2858" s="16" t="inlineStr"/>
      <c r="N2858" s="16" t="inlineStr"/>
      <c r="O2858" s="16" t="inlineStr"/>
    </row>
    <row r="2859" ht="72" customHeight="1">
      <c r="A2859" s="16" t="inlineStr">
        <is>
          <t>TC-OI-0022</t>
        </is>
      </c>
      <c r="B2859" s="16" t="inlineStr">
        <is>
          <t>OAuth2 IdP Compatibility</t>
        </is>
      </c>
      <c r="C2859" s="16" t="inlineStr">
        <is>
          <t>GitHub</t>
        </is>
      </c>
      <c r="D2859" s="16" t="inlineStr">
        <is>
          <t>Compatibility</t>
        </is>
      </c>
      <c r="E2859" s="16" t="inlineStr">
        <is>
          <t>OAuth2 against GitHub using client_credentials</t>
        </is>
      </c>
      <c r="F2859" s="16" t="inlineStr">
        <is>
          <t>OAuth2 credentials for the IdP.</t>
        </is>
      </c>
      <c r="G2859" s="16" t="inlineStr">
        <is>
          <t>1. Configure OAuth2: authUrl/tokenUrl per GitHub; clientId/secret/scope.
2. Initiate client_credentials.
3. Approve in IdP UI (or supply credentials for non-interactive grants).
4. Verify access_token + (optional refresh_token) stored.
5. Send a downstream protected request.</t>
        </is>
      </c>
      <c r="H2859" s="16" t="inlineStr">
        <is>
          <t>idp=GitHub grant=client_credentials</t>
        </is>
      </c>
      <c r="I2859" s="16" t="inlineStr">
        <is>
          <t>Token acquired against GitHub successfully; obtainedScope reflects granted scope; downstream request returns 200; refresh path (if returned) works on next expiry.</t>
        </is>
      </c>
      <c r="J2859" s="16" t="inlineStr"/>
      <c r="K2859" s="16" t="inlineStr">
        <is>
          <t>Not Run</t>
        </is>
      </c>
      <c r="L2859" s="16" t="inlineStr">
        <is>
          <t>High</t>
        </is>
      </c>
      <c r="M2859" s="16" t="inlineStr"/>
      <c r="N2859" s="16" t="inlineStr"/>
      <c r="O2859" s="16" t="inlineStr"/>
    </row>
    <row r="2860" ht="72" customHeight="1">
      <c r="A2860" s="16" t="inlineStr">
        <is>
          <t>TC-OI-0023</t>
        </is>
      </c>
      <c r="B2860" s="16" t="inlineStr">
        <is>
          <t>OAuth2 IdP Compatibility</t>
        </is>
      </c>
      <c r="C2860" s="16" t="inlineStr">
        <is>
          <t>GitHub</t>
        </is>
      </c>
      <c r="D2860" s="16" t="inlineStr">
        <is>
          <t>Compatibility</t>
        </is>
      </c>
      <c r="E2860" s="16" t="inlineStr">
        <is>
          <t>OAuth2 against GitHub using authorization_code</t>
        </is>
      </c>
      <c r="F2860" s="16" t="inlineStr">
        <is>
          <t>OAuth2 credentials for the IdP.</t>
        </is>
      </c>
      <c r="G2860" s="16" t="inlineStr">
        <is>
          <t>1. Configure OAuth2: authUrl/tokenUrl per GitHub; clientId/secret/scope.
2. Initiate authorization_code.
3. Approve in IdP UI (or supply credentials for non-interactive grants).
4. Verify access_token + (optional refresh_token) stored.
5. Send a downstream protected request.</t>
        </is>
      </c>
      <c r="H2860" s="16" t="inlineStr">
        <is>
          <t>idp=GitHub grant=authorization_code</t>
        </is>
      </c>
      <c r="I2860" s="16" t="inlineStr">
        <is>
          <t>Token acquired against GitHub successfully; obtainedScope reflects granted scope; downstream request returns 200; refresh path (if returned) works on next expiry.</t>
        </is>
      </c>
      <c r="J2860" s="16" t="inlineStr"/>
      <c r="K2860" s="16" t="inlineStr">
        <is>
          <t>Not Run</t>
        </is>
      </c>
      <c r="L2860" s="16" t="inlineStr">
        <is>
          <t>High</t>
        </is>
      </c>
      <c r="M2860" s="16" t="inlineStr"/>
      <c r="N2860" s="16" t="inlineStr"/>
      <c r="O2860" s="16" t="inlineStr"/>
    </row>
    <row r="2861" ht="72" customHeight="1">
      <c r="A2861" s="16" t="inlineStr">
        <is>
          <t>TC-OI-0024</t>
        </is>
      </c>
      <c r="B2861" s="16" t="inlineStr">
        <is>
          <t>OAuth2 IdP Compatibility</t>
        </is>
      </c>
      <c r="C2861" s="16" t="inlineStr">
        <is>
          <t>GitHub</t>
        </is>
      </c>
      <c r="D2861" s="16" t="inlineStr">
        <is>
          <t>Compatibility</t>
        </is>
      </c>
      <c r="E2861" s="16" t="inlineStr">
        <is>
          <t>OAuth2 against GitHub using authorization_code+PKCE</t>
        </is>
      </c>
      <c r="F2861" s="16" t="inlineStr">
        <is>
          <t>OAuth2 credentials for the IdP.</t>
        </is>
      </c>
      <c r="G2861" s="16" t="inlineStr">
        <is>
          <t>1. Configure OAuth2: authUrl/tokenUrl per GitHub; clientId/secret/scope.
2. Initiate authorization_code+PKCE.
3. Approve in IdP UI (or supply credentials for non-interactive grants).
4. Verify access_token + (optional refresh_token) stored.
5. Send a downstream protected request.</t>
        </is>
      </c>
      <c r="H2861" s="16" t="inlineStr">
        <is>
          <t>idp=GitHub grant=authorization_code+PKCE</t>
        </is>
      </c>
      <c r="I2861" s="16" t="inlineStr">
        <is>
          <t>Token acquired against GitHub successfully; obtainedScope reflects granted scope; downstream request returns 200; refresh path (if returned) works on next expiry.</t>
        </is>
      </c>
      <c r="J2861" s="16" t="inlineStr"/>
      <c r="K2861" s="16" t="inlineStr">
        <is>
          <t>Not Run</t>
        </is>
      </c>
      <c r="L2861" s="16" t="inlineStr">
        <is>
          <t>High</t>
        </is>
      </c>
      <c r="M2861" s="16" t="inlineStr"/>
      <c r="N2861" s="16" t="inlineStr"/>
      <c r="O2861" s="16" t="inlineStr"/>
    </row>
    <row r="2862" ht="72" customHeight="1">
      <c r="A2862" s="16" t="inlineStr">
        <is>
          <t>TC-OI-0025</t>
        </is>
      </c>
      <c r="B2862" s="16" t="inlineStr">
        <is>
          <t>OAuth2 IdP Compatibility</t>
        </is>
      </c>
      <c r="C2862" s="16" t="inlineStr">
        <is>
          <t>GitHub</t>
        </is>
      </c>
      <c r="D2862" s="16" t="inlineStr">
        <is>
          <t>Compatibility</t>
        </is>
      </c>
      <c r="E2862" s="16" t="inlineStr">
        <is>
          <t>OAuth2 against GitHub using password</t>
        </is>
      </c>
      <c r="F2862" s="16" t="inlineStr">
        <is>
          <t>OAuth2 credentials for the IdP.</t>
        </is>
      </c>
      <c r="G2862" s="16" t="inlineStr">
        <is>
          <t>1. Configure OAuth2: authUrl/tokenUrl per GitHub; clientId/secret/scope.
2. Initiate password.
3. Approve in IdP UI (or supply credentials for non-interactive grants).
4. Verify access_token + (optional refresh_token) stored.
5. Send a downstream protected request.</t>
        </is>
      </c>
      <c r="H2862" s="16" t="inlineStr">
        <is>
          <t>idp=GitHub grant=password</t>
        </is>
      </c>
      <c r="I2862" s="16" t="inlineStr">
        <is>
          <t>Token acquired against GitHub successfully; obtainedScope reflects granted scope; downstream request returns 200; refresh path (if returned) works on next expiry.</t>
        </is>
      </c>
      <c r="J2862" s="16" t="inlineStr"/>
      <c r="K2862" s="16" t="inlineStr">
        <is>
          <t>Not Run</t>
        </is>
      </c>
      <c r="L2862" s="16" t="inlineStr">
        <is>
          <t>High</t>
        </is>
      </c>
      <c r="M2862" s="16" t="inlineStr"/>
      <c r="N2862" s="16" t="inlineStr"/>
      <c r="O2862" s="16" t="inlineStr"/>
    </row>
    <row r="2863" ht="72" customHeight="1">
      <c r="A2863" s="16" t="inlineStr">
        <is>
          <t>TC-OI-0026</t>
        </is>
      </c>
      <c r="B2863" s="16" t="inlineStr">
        <is>
          <t>OAuth2 IdP Compatibility</t>
        </is>
      </c>
      <c r="C2863" s="16" t="inlineStr">
        <is>
          <t>GitHub</t>
        </is>
      </c>
      <c r="D2863" s="16" t="inlineStr">
        <is>
          <t>Compatibility</t>
        </is>
      </c>
      <c r="E2863" s="16" t="inlineStr">
        <is>
          <t>OAuth2 against GitHub using device_code</t>
        </is>
      </c>
      <c r="F2863" s="16" t="inlineStr">
        <is>
          <t>OAuth2 credentials for the IdP.</t>
        </is>
      </c>
      <c r="G2863" s="16" t="inlineStr">
        <is>
          <t>1. Configure OAuth2: authUrl/tokenUrl per GitHub; clientId/secret/scope.
2. Initiate device_code.
3. Approve in IdP UI (or supply credentials for non-interactive grants).
4. Verify access_token + (optional refresh_token) stored.
5. Send a downstream protected request.</t>
        </is>
      </c>
      <c r="H2863" s="16" t="inlineStr">
        <is>
          <t>idp=GitHub grant=device_code</t>
        </is>
      </c>
      <c r="I2863" s="16" t="inlineStr">
        <is>
          <t>Token acquired against GitHub successfully; obtainedScope reflects granted scope; downstream request returns 200; refresh path (if returned) works on next expiry. Device flow user_code displayed; polling respected; activation works.</t>
        </is>
      </c>
      <c r="J2863" s="16" t="inlineStr"/>
      <c r="K2863" s="16" t="inlineStr">
        <is>
          <t>Not Run</t>
        </is>
      </c>
      <c r="L2863" s="16" t="inlineStr">
        <is>
          <t>Medium</t>
        </is>
      </c>
      <c r="M2863" s="16" t="inlineStr"/>
      <c r="N2863" s="16" t="inlineStr"/>
      <c r="O2863" s="16" t="inlineStr"/>
    </row>
    <row r="2864" ht="72" customHeight="1">
      <c r="A2864" s="16" t="inlineStr">
        <is>
          <t>TC-OI-0027</t>
        </is>
      </c>
      <c r="B2864" s="16" t="inlineStr">
        <is>
          <t>OAuth2 IdP Compatibility</t>
        </is>
      </c>
      <c r="C2864" s="16" t="inlineStr">
        <is>
          <t>GitHub</t>
        </is>
      </c>
      <c r="D2864" s="16" t="inlineStr">
        <is>
          <t>Compatibility</t>
        </is>
      </c>
      <c r="E2864" s="16" t="inlineStr">
        <is>
          <t>OAuth2 against GitHub using refresh_token</t>
        </is>
      </c>
      <c r="F2864" s="16" t="inlineStr">
        <is>
          <t>OAuth2 credentials for the IdP.</t>
        </is>
      </c>
      <c r="G2864" s="16" t="inlineStr">
        <is>
          <t>1. Configure OAuth2: authUrl/tokenUrl per GitHub; clientId/secret/scope.
2. Initiate refresh_token.
3. Approve in IdP UI (or supply credentials for non-interactive grants).
4. Verify access_token + (optional refresh_token) stored.
5. Send a downstream protected request.</t>
        </is>
      </c>
      <c r="H2864" s="16" t="inlineStr">
        <is>
          <t>idp=GitHub grant=refresh_token</t>
        </is>
      </c>
      <c r="I2864" s="16" t="inlineStr">
        <is>
          <t>Token acquired against GitHub successfully; obtainedScope reflects granted scope; downstream request returns 200; refresh path (if returned) works on next expiry.</t>
        </is>
      </c>
      <c r="J2864" s="16" t="inlineStr"/>
      <c r="K2864" s="16" t="inlineStr">
        <is>
          <t>Not Run</t>
        </is>
      </c>
      <c r="L2864" s="16" t="inlineStr">
        <is>
          <t>High</t>
        </is>
      </c>
      <c r="M2864" s="16" t="inlineStr"/>
      <c r="N2864" s="16" t="inlineStr"/>
      <c r="O2864" s="16" t="inlineStr"/>
    </row>
    <row r="2865" ht="72" customHeight="1">
      <c r="A2865" s="16" t="inlineStr">
        <is>
          <t>TC-OI-0028</t>
        </is>
      </c>
      <c r="B2865" s="16" t="inlineStr">
        <is>
          <t>OAuth2 IdP Compatibility</t>
        </is>
      </c>
      <c r="C2865" s="16" t="inlineStr">
        <is>
          <t>GitHub</t>
        </is>
      </c>
      <c r="D2865" s="16" t="inlineStr">
        <is>
          <t>Compatibility</t>
        </is>
      </c>
      <c r="E2865" s="16" t="inlineStr">
        <is>
          <t>OAuth2 against GitHub using implicit</t>
        </is>
      </c>
      <c r="F2865" s="16" t="inlineStr">
        <is>
          <t>OAuth2 credentials for the IdP.</t>
        </is>
      </c>
      <c r="G2865" s="16" t="inlineStr">
        <is>
          <t>1. Configure OAuth2: authUrl/tokenUrl per GitHub; clientId/secret/scope.
2. Initiate implicit.
3. Approve in IdP UI (or supply credentials for non-interactive grants).
4. Verify access_token + (optional refresh_token) stored.
5. Send a downstream protected request.</t>
        </is>
      </c>
      <c r="H2865" s="16" t="inlineStr">
        <is>
          <t>idp=GitHub grant=implicit</t>
        </is>
      </c>
      <c r="I2865" s="16" t="inlineStr">
        <is>
          <t>Token acquired against GitHub successfully; obtainedScope reflects granted scope; downstream request returns 200; refresh path (if returned) works on next expiry. (Note: many providers have deprecated implicit; if not supported, IdP returns clear error.)</t>
        </is>
      </c>
      <c r="J2865" s="16" t="inlineStr"/>
      <c r="K2865" s="16" t="inlineStr">
        <is>
          <t>Not Run</t>
        </is>
      </c>
      <c r="L2865" s="16" t="inlineStr">
        <is>
          <t>Low</t>
        </is>
      </c>
      <c r="M2865" s="16" t="inlineStr"/>
      <c r="N2865" s="16" t="inlineStr"/>
      <c r="O2865" s="16" t="inlineStr"/>
    </row>
    <row r="2866" ht="72" customHeight="1">
      <c r="A2866" s="16" t="inlineStr">
        <is>
          <t>TC-OI-0029</t>
        </is>
      </c>
      <c r="B2866" s="16" t="inlineStr">
        <is>
          <t>OAuth2 IdP Compatibility</t>
        </is>
      </c>
      <c r="C2866" s="16" t="inlineStr">
        <is>
          <t>Microsoft Identity (Entra)</t>
        </is>
      </c>
      <c r="D2866" s="16" t="inlineStr">
        <is>
          <t>Compatibility</t>
        </is>
      </c>
      <c r="E2866" s="16" t="inlineStr">
        <is>
          <t>OAuth2 against Microsoft Identity (Entra) using client_credentials</t>
        </is>
      </c>
      <c r="F2866" s="16" t="inlineStr">
        <is>
          <t>OAuth2 credentials for the IdP.</t>
        </is>
      </c>
      <c r="G2866" s="16" t="inlineStr">
        <is>
          <t>1. Configure OAuth2: authUrl/tokenUrl per Microsoft Identity (Entra); clientId/secret/scope.
2. Initiate client_credentials.
3. Approve in IdP UI (or supply credentials for non-interactive grants).
4. Verify access_token + (optional refresh_token) stored.
5. Send a downstream protected request.</t>
        </is>
      </c>
      <c r="H2866" s="16" t="inlineStr">
        <is>
          <t>idp=Microsoft Identity (Entra) grant=client_credentials</t>
        </is>
      </c>
      <c r="I2866" s="16" t="inlineStr">
        <is>
          <t>Token acquired against Microsoft Identity (Entra) successfully; obtainedScope reflects granted scope; downstream request returns 200; refresh path (if returned) works on next expiry.</t>
        </is>
      </c>
      <c r="J2866" s="16" t="inlineStr"/>
      <c r="K2866" s="16" t="inlineStr">
        <is>
          <t>Not Run</t>
        </is>
      </c>
      <c r="L2866" s="16" t="inlineStr">
        <is>
          <t>High</t>
        </is>
      </c>
      <c r="M2866" s="16" t="inlineStr"/>
      <c r="N2866" s="16" t="inlineStr"/>
      <c r="O2866" s="16" t="inlineStr"/>
    </row>
    <row r="2867" ht="72" customHeight="1">
      <c r="A2867" s="16" t="inlineStr">
        <is>
          <t>TC-OI-0030</t>
        </is>
      </c>
      <c r="B2867" s="16" t="inlineStr">
        <is>
          <t>OAuth2 IdP Compatibility</t>
        </is>
      </c>
      <c r="C2867" s="16" t="inlineStr">
        <is>
          <t>Microsoft Identity (Entra)</t>
        </is>
      </c>
      <c r="D2867" s="16" t="inlineStr">
        <is>
          <t>Compatibility</t>
        </is>
      </c>
      <c r="E2867" s="16" t="inlineStr">
        <is>
          <t>OAuth2 against Microsoft Identity (Entra) using authorization_code</t>
        </is>
      </c>
      <c r="F2867" s="16" t="inlineStr">
        <is>
          <t>OAuth2 credentials for the IdP.</t>
        </is>
      </c>
      <c r="G2867" s="16" t="inlineStr">
        <is>
          <t>1. Configure OAuth2: authUrl/tokenUrl per Microsoft Identity (Entra); clientId/secret/scope.
2. Initiate authorization_code.
3. Approve in IdP UI (or supply credentials for non-interactive grants).
4. Verify access_token + (optional refresh_token) stored.
5. Send a downstream protected request.</t>
        </is>
      </c>
      <c r="H2867" s="16" t="inlineStr">
        <is>
          <t>idp=Microsoft Identity (Entra) grant=authorization_code</t>
        </is>
      </c>
      <c r="I2867" s="16" t="inlineStr">
        <is>
          <t>Token acquired against Microsoft Identity (Entra) successfully; obtainedScope reflects granted scope; downstream request returns 200; refresh path (if returned) works on next expiry.</t>
        </is>
      </c>
      <c r="J2867" s="16" t="inlineStr"/>
      <c r="K2867" s="16" t="inlineStr">
        <is>
          <t>Not Run</t>
        </is>
      </c>
      <c r="L2867" s="16" t="inlineStr">
        <is>
          <t>High</t>
        </is>
      </c>
      <c r="M2867" s="16" t="inlineStr"/>
      <c r="N2867" s="16" t="inlineStr"/>
      <c r="O2867" s="16" t="inlineStr"/>
    </row>
    <row r="2868" ht="72" customHeight="1">
      <c r="A2868" s="16" t="inlineStr">
        <is>
          <t>TC-OI-0031</t>
        </is>
      </c>
      <c r="B2868" s="16" t="inlineStr">
        <is>
          <t>OAuth2 IdP Compatibility</t>
        </is>
      </c>
      <c r="C2868" s="16" t="inlineStr">
        <is>
          <t>Microsoft Identity (Entra)</t>
        </is>
      </c>
      <c r="D2868" s="16" t="inlineStr">
        <is>
          <t>Compatibility</t>
        </is>
      </c>
      <c r="E2868" s="16" t="inlineStr">
        <is>
          <t>OAuth2 against Microsoft Identity (Entra) using authorization_code+PKCE</t>
        </is>
      </c>
      <c r="F2868" s="16" t="inlineStr">
        <is>
          <t>OAuth2 credentials for the IdP.</t>
        </is>
      </c>
      <c r="G2868" s="16" t="inlineStr">
        <is>
          <t>1. Configure OAuth2: authUrl/tokenUrl per Microsoft Identity (Entra); clientId/secret/scope.
2. Initiate authorization_code+PKCE.
3. Approve in IdP UI (or supply credentials for non-interactive grants).
4. Verify access_token + (optional refresh_token) stored.
5. Send a downstream protected request.</t>
        </is>
      </c>
      <c r="H2868" s="16" t="inlineStr">
        <is>
          <t>idp=Microsoft Identity (Entra) grant=authorization_code+PKCE</t>
        </is>
      </c>
      <c r="I2868" s="16" t="inlineStr">
        <is>
          <t>Token acquired against Microsoft Identity (Entra) successfully; obtainedScope reflects granted scope; downstream request returns 200; refresh path (if returned) works on next expiry.</t>
        </is>
      </c>
      <c r="J2868" s="16" t="inlineStr"/>
      <c r="K2868" s="16" t="inlineStr">
        <is>
          <t>Not Run</t>
        </is>
      </c>
      <c r="L2868" s="16" t="inlineStr">
        <is>
          <t>High</t>
        </is>
      </c>
      <c r="M2868" s="16" t="inlineStr"/>
      <c r="N2868" s="16" t="inlineStr"/>
      <c r="O2868" s="16" t="inlineStr"/>
    </row>
    <row r="2869" ht="72" customHeight="1">
      <c r="A2869" s="16" t="inlineStr">
        <is>
          <t>TC-OI-0032</t>
        </is>
      </c>
      <c r="B2869" s="16" t="inlineStr">
        <is>
          <t>OAuth2 IdP Compatibility</t>
        </is>
      </c>
      <c r="C2869" s="16" t="inlineStr">
        <is>
          <t>Microsoft Identity (Entra)</t>
        </is>
      </c>
      <c r="D2869" s="16" t="inlineStr">
        <is>
          <t>Compatibility</t>
        </is>
      </c>
      <c r="E2869" s="16" t="inlineStr">
        <is>
          <t>OAuth2 against Microsoft Identity (Entra) using password</t>
        </is>
      </c>
      <c r="F2869" s="16" t="inlineStr">
        <is>
          <t>OAuth2 credentials for the IdP.</t>
        </is>
      </c>
      <c r="G2869" s="16" t="inlineStr">
        <is>
          <t>1. Configure OAuth2: authUrl/tokenUrl per Microsoft Identity (Entra); clientId/secret/scope.
2. Initiate password.
3. Approve in IdP UI (or supply credentials for non-interactive grants).
4. Verify access_token + (optional refresh_token) stored.
5. Send a downstream protected request.</t>
        </is>
      </c>
      <c r="H2869" s="16" t="inlineStr">
        <is>
          <t>idp=Microsoft Identity (Entra) grant=password</t>
        </is>
      </c>
      <c r="I2869" s="16" t="inlineStr">
        <is>
          <t>Token acquired against Microsoft Identity (Entra) successfully; obtainedScope reflects granted scope; downstream request returns 200; refresh path (if returned) works on next expiry.</t>
        </is>
      </c>
      <c r="J2869" s="16" t="inlineStr"/>
      <c r="K2869" s="16" t="inlineStr">
        <is>
          <t>Not Run</t>
        </is>
      </c>
      <c r="L2869" s="16" t="inlineStr">
        <is>
          <t>High</t>
        </is>
      </c>
      <c r="M2869" s="16" t="inlineStr"/>
      <c r="N2869" s="16" t="inlineStr"/>
      <c r="O2869" s="16" t="inlineStr"/>
    </row>
    <row r="2870" ht="72" customHeight="1">
      <c r="A2870" s="16" t="inlineStr">
        <is>
          <t>TC-OI-0033</t>
        </is>
      </c>
      <c r="B2870" s="16" t="inlineStr">
        <is>
          <t>OAuth2 IdP Compatibility</t>
        </is>
      </c>
      <c r="C2870" s="16" t="inlineStr">
        <is>
          <t>Microsoft Identity (Entra)</t>
        </is>
      </c>
      <c r="D2870" s="16" t="inlineStr">
        <is>
          <t>Compatibility</t>
        </is>
      </c>
      <c r="E2870" s="16" t="inlineStr">
        <is>
          <t>OAuth2 against Microsoft Identity (Entra) using device_code</t>
        </is>
      </c>
      <c r="F2870" s="16" t="inlineStr">
        <is>
          <t>OAuth2 credentials for the IdP.</t>
        </is>
      </c>
      <c r="G2870" s="16" t="inlineStr">
        <is>
          <t>1. Configure OAuth2: authUrl/tokenUrl per Microsoft Identity (Entra); clientId/secret/scope.
2. Initiate device_code.
3. Approve in IdP UI (or supply credentials for non-interactive grants).
4. Verify access_token + (optional refresh_token) stored.
5. Send a downstream protected request.</t>
        </is>
      </c>
      <c r="H2870" s="16" t="inlineStr">
        <is>
          <t>idp=Microsoft Identity (Entra) grant=device_code</t>
        </is>
      </c>
      <c r="I2870" s="16" t="inlineStr">
        <is>
          <t>Token acquired against Microsoft Identity (Entra) successfully; obtainedScope reflects granted scope; downstream request returns 200; refresh path (if returned) works on next expiry. Device flow user_code displayed; polling respected; activation works.</t>
        </is>
      </c>
      <c r="J2870" s="16" t="inlineStr"/>
      <c r="K2870" s="16" t="inlineStr">
        <is>
          <t>Not Run</t>
        </is>
      </c>
      <c r="L2870" s="16" t="inlineStr">
        <is>
          <t>Medium</t>
        </is>
      </c>
      <c r="M2870" s="16" t="inlineStr"/>
      <c r="N2870" s="16" t="inlineStr"/>
      <c r="O2870" s="16" t="inlineStr"/>
    </row>
    <row r="2871" ht="72" customHeight="1">
      <c r="A2871" s="16" t="inlineStr">
        <is>
          <t>TC-OI-0034</t>
        </is>
      </c>
      <c r="B2871" s="16" t="inlineStr">
        <is>
          <t>OAuth2 IdP Compatibility</t>
        </is>
      </c>
      <c r="C2871" s="16" t="inlineStr">
        <is>
          <t>Microsoft Identity (Entra)</t>
        </is>
      </c>
      <c r="D2871" s="16" t="inlineStr">
        <is>
          <t>Compatibility</t>
        </is>
      </c>
      <c r="E2871" s="16" t="inlineStr">
        <is>
          <t>OAuth2 against Microsoft Identity (Entra) using refresh_token</t>
        </is>
      </c>
      <c r="F2871" s="16" t="inlineStr">
        <is>
          <t>OAuth2 credentials for the IdP.</t>
        </is>
      </c>
      <c r="G2871" s="16" t="inlineStr">
        <is>
          <t>1. Configure OAuth2: authUrl/tokenUrl per Microsoft Identity (Entra); clientId/secret/scope.
2. Initiate refresh_token.
3. Approve in IdP UI (or supply credentials for non-interactive grants).
4. Verify access_token + (optional refresh_token) stored.
5. Send a downstream protected request.</t>
        </is>
      </c>
      <c r="H2871" s="16" t="inlineStr">
        <is>
          <t>idp=Microsoft Identity (Entra) grant=refresh_token</t>
        </is>
      </c>
      <c r="I2871" s="16" t="inlineStr">
        <is>
          <t>Token acquired against Microsoft Identity (Entra) successfully; obtainedScope reflects granted scope; downstream request returns 200; refresh path (if returned) works on next expiry.</t>
        </is>
      </c>
      <c r="J2871" s="16" t="inlineStr"/>
      <c r="K2871" s="16" t="inlineStr">
        <is>
          <t>Not Run</t>
        </is>
      </c>
      <c r="L2871" s="16" t="inlineStr">
        <is>
          <t>High</t>
        </is>
      </c>
      <c r="M2871" s="16" t="inlineStr"/>
      <c r="N2871" s="16" t="inlineStr"/>
      <c r="O2871" s="16" t="inlineStr"/>
    </row>
    <row r="2872" ht="72" customHeight="1">
      <c r="A2872" s="16" t="inlineStr">
        <is>
          <t>TC-OI-0035</t>
        </is>
      </c>
      <c r="B2872" s="16" t="inlineStr">
        <is>
          <t>OAuth2 IdP Compatibility</t>
        </is>
      </c>
      <c r="C2872" s="16" t="inlineStr">
        <is>
          <t>Microsoft Identity (Entra)</t>
        </is>
      </c>
      <c r="D2872" s="16" t="inlineStr">
        <is>
          <t>Compatibility</t>
        </is>
      </c>
      <c r="E2872" s="16" t="inlineStr">
        <is>
          <t>OAuth2 against Microsoft Identity (Entra) using implicit</t>
        </is>
      </c>
      <c r="F2872" s="16" t="inlineStr">
        <is>
          <t>OAuth2 credentials for the IdP.</t>
        </is>
      </c>
      <c r="G2872" s="16" t="inlineStr">
        <is>
          <t>1. Configure OAuth2: authUrl/tokenUrl per Microsoft Identity (Entra); clientId/secret/scope.
2. Initiate implicit.
3. Approve in IdP UI (or supply credentials for non-interactive grants).
4. Verify access_token + (optional refresh_token) stored.
5. Send a downstream protected request.</t>
        </is>
      </c>
      <c r="H2872" s="16" t="inlineStr">
        <is>
          <t>idp=Microsoft Identity (Entra) grant=implicit</t>
        </is>
      </c>
      <c r="I2872" s="16" t="inlineStr">
        <is>
          <t>Token acquired against Microsoft Identity (Entra) successfully; obtainedScope reflects granted scope; downstream request returns 200; refresh path (if returned) works on next expiry.</t>
        </is>
      </c>
      <c r="J2872" s="16" t="inlineStr"/>
      <c r="K2872" s="16" t="inlineStr">
        <is>
          <t>Not Run</t>
        </is>
      </c>
      <c r="L2872" s="16" t="inlineStr">
        <is>
          <t>High</t>
        </is>
      </c>
      <c r="M2872" s="16" t="inlineStr"/>
      <c r="N2872" s="16" t="inlineStr"/>
      <c r="O2872" s="16" t="inlineStr"/>
    </row>
    <row r="2873" ht="72" customHeight="1">
      <c r="A2873" s="16" t="inlineStr">
        <is>
          <t>TC-OI-0036</t>
        </is>
      </c>
      <c r="B2873" s="16" t="inlineStr">
        <is>
          <t>OAuth2 IdP Compatibility</t>
        </is>
      </c>
      <c r="C2873" s="16" t="inlineStr">
        <is>
          <t>AWS Cognito</t>
        </is>
      </c>
      <c r="D2873" s="16" t="inlineStr">
        <is>
          <t>Compatibility</t>
        </is>
      </c>
      <c r="E2873" s="16" t="inlineStr">
        <is>
          <t>OAuth2 against AWS Cognito using client_credentials</t>
        </is>
      </c>
      <c r="F2873" s="16" t="inlineStr">
        <is>
          <t>OAuth2 credentials for the IdP.</t>
        </is>
      </c>
      <c r="G2873" s="16" t="inlineStr">
        <is>
          <t>1. Configure OAuth2: authUrl/tokenUrl per AWS Cognito; clientId/secret/scope.
2. Initiate client_credentials.
3. Approve in IdP UI (or supply credentials for non-interactive grants).
4. Verify access_token + (optional refresh_token) stored.
5. Send a downstream protected request.</t>
        </is>
      </c>
      <c r="H2873" s="16" t="inlineStr">
        <is>
          <t>idp=AWS Cognito grant=client_credentials</t>
        </is>
      </c>
      <c r="I2873" s="16" t="inlineStr">
        <is>
          <t>Token acquired against AWS Cognito successfully; obtainedScope reflects granted scope; downstream request returns 200; refresh path (if returned) works on next expiry.</t>
        </is>
      </c>
      <c r="J2873" s="16" t="inlineStr"/>
      <c r="K2873" s="16" t="inlineStr">
        <is>
          <t>Not Run</t>
        </is>
      </c>
      <c r="L2873" s="16" t="inlineStr">
        <is>
          <t>Medium</t>
        </is>
      </c>
      <c r="M2873" s="16" t="inlineStr"/>
      <c r="N2873" s="16" t="inlineStr"/>
      <c r="O2873" s="16" t="inlineStr"/>
    </row>
    <row r="2874" ht="72" customHeight="1">
      <c r="A2874" s="16" t="inlineStr">
        <is>
          <t>TC-OI-0037</t>
        </is>
      </c>
      <c r="B2874" s="16" t="inlineStr">
        <is>
          <t>OAuth2 IdP Compatibility</t>
        </is>
      </c>
      <c r="C2874" s="16" t="inlineStr">
        <is>
          <t>AWS Cognito</t>
        </is>
      </c>
      <c r="D2874" s="16" t="inlineStr">
        <is>
          <t>Compatibility</t>
        </is>
      </c>
      <c r="E2874" s="16" t="inlineStr">
        <is>
          <t>OAuth2 against AWS Cognito using authorization_code</t>
        </is>
      </c>
      <c r="F2874" s="16" t="inlineStr">
        <is>
          <t>OAuth2 credentials for the IdP.</t>
        </is>
      </c>
      <c r="G2874" s="16" t="inlineStr">
        <is>
          <t>1. Configure OAuth2: authUrl/tokenUrl per AWS Cognito; clientId/secret/scope.
2. Initiate authorization_code.
3. Approve in IdP UI (or supply credentials for non-interactive grants).
4. Verify access_token + (optional refresh_token) stored.
5. Send a downstream protected request.</t>
        </is>
      </c>
      <c r="H2874" s="16" t="inlineStr">
        <is>
          <t>idp=AWS Cognito grant=authorization_code</t>
        </is>
      </c>
      <c r="I2874" s="16" t="inlineStr">
        <is>
          <t>Token acquired against AWS Cognito successfully; obtainedScope reflects granted scope; downstream request returns 200; refresh path (if returned) works on next expiry.</t>
        </is>
      </c>
      <c r="J2874" s="16" t="inlineStr"/>
      <c r="K2874" s="16" t="inlineStr">
        <is>
          <t>Not Run</t>
        </is>
      </c>
      <c r="L2874" s="16" t="inlineStr">
        <is>
          <t>Medium</t>
        </is>
      </c>
      <c r="M2874" s="16" t="inlineStr"/>
      <c r="N2874" s="16" t="inlineStr"/>
      <c r="O2874" s="16" t="inlineStr"/>
    </row>
    <row r="2875" ht="72" customHeight="1">
      <c r="A2875" s="16" t="inlineStr">
        <is>
          <t>TC-OI-0038</t>
        </is>
      </c>
      <c r="B2875" s="16" t="inlineStr">
        <is>
          <t>OAuth2 IdP Compatibility</t>
        </is>
      </c>
      <c r="C2875" s="16" t="inlineStr">
        <is>
          <t>AWS Cognito</t>
        </is>
      </c>
      <c r="D2875" s="16" t="inlineStr">
        <is>
          <t>Compatibility</t>
        </is>
      </c>
      <c r="E2875" s="16" t="inlineStr">
        <is>
          <t>OAuth2 against AWS Cognito using authorization_code+PKCE</t>
        </is>
      </c>
      <c r="F2875" s="16" t="inlineStr">
        <is>
          <t>OAuth2 credentials for the IdP.</t>
        </is>
      </c>
      <c r="G2875" s="16" t="inlineStr">
        <is>
          <t>1. Configure OAuth2: authUrl/tokenUrl per AWS Cognito; clientId/secret/scope.
2. Initiate authorization_code+PKCE.
3. Approve in IdP UI (or supply credentials for non-interactive grants).
4. Verify access_token + (optional refresh_token) stored.
5. Send a downstream protected request.</t>
        </is>
      </c>
      <c r="H2875" s="16" t="inlineStr">
        <is>
          <t>idp=AWS Cognito grant=authorization_code+PKCE</t>
        </is>
      </c>
      <c r="I2875" s="16" t="inlineStr">
        <is>
          <t>Token acquired against AWS Cognito successfully; obtainedScope reflects granted scope; downstream request returns 200; refresh path (if returned) works on next expiry.</t>
        </is>
      </c>
      <c r="J2875" s="16" t="inlineStr"/>
      <c r="K2875" s="16" t="inlineStr">
        <is>
          <t>Not Run</t>
        </is>
      </c>
      <c r="L2875" s="16" t="inlineStr">
        <is>
          <t>Medium</t>
        </is>
      </c>
      <c r="M2875" s="16" t="inlineStr"/>
      <c r="N2875" s="16" t="inlineStr"/>
      <c r="O2875" s="16" t="inlineStr"/>
    </row>
    <row r="2876" ht="72" customHeight="1">
      <c r="A2876" s="16" t="inlineStr">
        <is>
          <t>TC-OI-0039</t>
        </is>
      </c>
      <c r="B2876" s="16" t="inlineStr">
        <is>
          <t>OAuth2 IdP Compatibility</t>
        </is>
      </c>
      <c r="C2876" s="16" t="inlineStr">
        <is>
          <t>AWS Cognito</t>
        </is>
      </c>
      <c r="D2876" s="16" t="inlineStr">
        <is>
          <t>Compatibility</t>
        </is>
      </c>
      <c r="E2876" s="16" t="inlineStr">
        <is>
          <t>OAuth2 against AWS Cognito using password</t>
        </is>
      </c>
      <c r="F2876" s="16" t="inlineStr">
        <is>
          <t>OAuth2 credentials for the IdP.</t>
        </is>
      </c>
      <c r="G2876" s="16" t="inlineStr">
        <is>
          <t>1. Configure OAuth2: authUrl/tokenUrl per AWS Cognito; clientId/secret/scope.
2. Initiate password.
3. Approve in IdP UI (or supply credentials for non-interactive grants).
4. Verify access_token + (optional refresh_token) stored.
5. Send a downstream protected request.</t>
        </is>
      </c>
      <c r="H2876" s="16" t="inlineStr">
        <is>
          <t>idp=AWS Cognito grant=password</t>
        </is>
      </c>
      <c r="I2876" s="16" t="inlineStr">
        <is>
          <t>Token acquired against AWS Cognito successfully; obtainedScope reflects granted scope; downstream request returns 200; refresh path (if returned) works on next expiry.</t>
        </is>
      </c>
      <c r="J2876" s="16" t="inlineStr"/>
      <c r="K2876" s="16" t="inlineStr">
        <is>
          <t>Not Run</t>
        </is>
      </c>
      <c r="L2876" s="16" t="inlineStr">
        <is>
          <t>Medium</t>
        </is>
      </c>
      <c r="M2876" s="16" t="inlineStr"/>
      <c r="N2876" s="16" t="inlineStr"/>
      <c r="O2876" s="16" t="inlineStr"/>
    </row>
    <row r="2877" ht="72" customHeight="1">
      <c r="A2877" s="16" t="inlineStr">
        <is>
          <t>TC-OI-0040</t>
        </is>
      </c>
      <c r="B2877" s="16" t="inlineStr">
        <is>
          <t>OAuth2 IdP Compatibility</t>
        </is>
      </c>
      <c r="C2877" s="16" t="inlineStr">
        <is>
          <t>AWS Cognito</t>
        </is>
      </c>
      <c r="D2877" s="16" t="inlineStr">
        <is>
          <t>Compatibility</t>
        </is>
      </c>
      <c r="E2877" s="16" t="inlineStr">
        <is>
          <t>OAuth2 against AWS Cognito using device_code</t>
        </is>
      </c>
      <c r="F2877" s="16" t="inlineStr">
        <is>
          <t>OAuth2 credentials for the IdP.</t>
        </is>
      </c>
      <c r="G2877" s="16" t="inlineStr">
        <is>
          <t>1. Configure OAuth2: authUrl/tokenUrl per AWS Cognito; clientId/secret/scope.
2. Initiate device_code.
3. Approve in IdP UI (or supply credentials for non-interactive grants).
4. Verify access_token + (optional refresh_token) stored.
5. Send a downstream protected request.</t>
        </is>
      </c>
      <c r="H2877" s="16" t="inlineStr">
        <is>
          <t>idp=AWS Cognito grant=device_code</t>
        </is>
      </c>
      <c r="I2877" s="16" t="inlineStr">
        <is>
          <t>Token acquired against AWS Cognito successfully; obtainedScope reflects granted scope; downstream request returns 200; refresh path (if returned) works on next expiry. Device flow user_code displayed; polling respected; activation works.</t>
        </is>
      </c>
      <c r="J2877" s="16" t="inlineStr"/>
      <c r="K2877" s="16" t="inlineStr">
        <is>
          <t>Not Run</t>
        </is>
      </c>
      <c r="L2877" s="16" t="inlineStr">
        <is>
          <t>Medium</t>
        </is>
      </c>
      <c r="M2877" s="16" t="inlineStr"/>
      <c r="N2877" s="16" t="inlineStr"/>
      <c r="O2877" s="16" t="inlineStr"/>
    </row>
    <row r="2878" ht="72" customHeight="1">
      <c r="A2878" s="16" t="inlineStr">
        <is>
          <t>TC-OI-0041</t>
        </is>
      </c>
      <c r="B2878" s="16" t="inlineStr">
        <is>
          <t>OAuth2 IdP Compatibility</t>
        </is>
      </c>
      <c r="C2878" s="16" t="inlineStr">
        <is>
          <t>AWS Cognito</t>
        </is>
      </c>
      <c r="D2878" s="16" t="inlineStr">
        <is>
          <t>Compatibility</t>
        </is>
      </c>
      <c r="E2878" s="16" t="inlineStr">
        <is>
          <t>OAuth2 against AWS Cognito using refresh_token</t>
        </is>
      </c>
      <c r="F2878" s="16" t="inlineStr">
        <is>
          <t>OAuth2 credentials for the IdP.</t>
        </is>
      </c>
      <c r="G2878" s="16" t="inlineStr">
        <is>
          <t>1. Configure OAuth2: authUrl/tokenUrl per AWS Cognito; clientId/secret/scope.
2. Initiate refresh_token.
3. Approve in IdP UI (or supply credentials for non-interactive grants).
4. Verify access_token + (optional refresh_token) stored.
5. Send a downstream protected request.</t>
        </is>
      </c>
      <c r="H2878" s="16" t="inlineStr">
        <is>
          <t>idp=AWS Cognito grant=refresh_token</t>
        </is>
      </c>
      <c r="I2878" s="16" t="inlineStr">
        <is>
          <t>Token acquired against AWS Cognito successfully; obtainedScope reflects granted scope; downstream request returns 200; refresh path (if returned) works on next expiry.</t>
        </is>
      </c>
      <c r="J2878" s="16" t="inlineStr"/>
      <c r="K2878" s="16" t="inlineStr">
        <is>
          <t>Not Run</t>
        </is>
      </c>
      <c r="L2878" s="16" t="inlineStr">
        <is>
          <t>Medium</t>
        </is>
      </c>
      <c r="M2878" s="16" t="inlineStr"/>
      <c r="N2878" s="16" t="inlineStr"/>
      <c r="O2878" s="16" t="inlineStr"/>
    </row>
    <row r="2879" ht="72" customHeight="1">
      <c r="A2879" s="16" t="inlineStr">
        <is>
          <t>TC-OI-0042</t>
        </is>
      </c>
      <c r="B2879" s="16" t="inlineStr">
        <is>
          <t>OAuth2 IdP Compatibility</t>
        </is>
      </c>
      <c r="C2879" s="16" t="inlineStr">
        <is>
          <t>AWS Cognito</t>
        </is>
      </c>
      <c r="D2879" s="16" t="inlineStr">
        <is>
          <t>Compatibility</t>
        </is>
      </c>
      <c r="E2879" s="16" t="inlineStr">
        <is>
          <t>OAuth2 against AWS Cognito using implicit</t>
        </is>
      </c>
      <c r="F2879" s="16" t="inlineStr">
        <is>
          <t>OAuth2 credentials for the IdP.</t>
        </is>
      </c>
      <c r="G2879" s="16" t="inlineStr">
        <is>
          <t>1. Configure OAuth2: authUrl/tokenUrl per AWS Cognito; clientId/secret/scope.
2. Initiate implicit.
3. Approve in IdP UI (or supply credentials for non-interactive grants).
4. Verify access_token + (optional refresh_token) stored.
5. Send a downstream protected request.</t>
        </is>
      </c>
      <c r="H2879" s="16" t="inlineStr">
        <is>
          <t>idp=AWS Cognito grant=implicit</t>
        </is>
      </c>
      <c r="I2879" s="16" t="inlineStr">
        <is>
          <t>Token acquired against AWS Cognito successfully; obtainedScope reflects granted scope; downstream request returns 200; refresh path (if returned) works on next expiry.</t>
        </is>
      </c>
      <c r="J2879" s="16" t="inlineStr"/>
      <c r="K2879" s="16" t="inlineStr">
        <is>
          <t>Not Run</t>
        </is>
      </c>
      <c r="L2879" s="16" t="inlineStr">
        <is>
          <t>Medium</t>
        </is>
      </c>
      <c r="M2879" s="16" t="inlineStr"/>
      <c r="N2879" s="16" t="inlineStr"/>
      <c r="O2879" s="16" t="inlineStr"/>
    </row>
    <row r="2880" ht="72" customHeight="1">
      <c r="A2880" s="16" t="inlineStr">
        <is>
          <t>TC-OI-0043</t>
        </is>
      </c>
      <c r="B2880" s="16" t="inlineStr">
        <is>
          <t>OAuth2 IdP Compatibility</t>
        </is>
      </c>
      <c r="C2880" s="16" t="inlineStr">
        <is>
          <t>Keycloak</t>
        </is>
      </c>
      <c r="D2880" s="16" t="inlineStr">
        <is>
          <t>Compatibility</t>
        </is>
      </c>
      <c r="E2880" s="16" t="inlineStr">
        <is>
          <t>OAuth2 against Keycloak using client_credentials</t>
        </is>
      </c>
      <c r="F2880" s="16" t="inlineStr">
        <is>
          <t>OAuth2 credentials for the IdP.</t>
        </is>
      </c>
      <c r="G2880" s="16" t="inlineStr">
        <is>
          <t>1. Configure OAuth2: authUrl/tokenUrl per Keycloak; clientId/secret/scope.
2. Initiate client_credentials.
3. Approve in IdP UI (or supply credentials for non-interactive grants).
4. Verify access_token + (optional refresh_token) stored.
5. Send a downstream protected request.</t>
        </is>
      </c>
      <c r="H2880" s="16" t="inlineStr">
        <is>
          <t>idp=Keycloak grant=client_credentials</t>
        </is>
      </c>
      <c r="I2880" s="16" t="inlineStr">
        <is>
          <t>Token acquired against Keycloak successfully; obtainedScope reflects granted scope; downstream request returns 200; refresh path (if returned) works on next expiry.</t>
        </is>
      </c>
      <c r="J2880" s="16" t="inlineStr"/>
      <c r="K2880" s="16" t="inlineStr">
        <is>
          <t>Not Run</t>
        </is>
      </c>
      <c r="L2880" s="16" t="inlineStr">
        <is>
          <t>Medium</t>
        </is>
      </c>
      <c r="M2880" s="16" t="inlineStr"/>
      <c r="N2880" s="16" t="inlineStr"/>
      <c r="O2880" s="16" t="inlineStr"/>
    </row>
    <row r="2881" ht="72" customHeight="1">
      <c r="A2881" s="16" t="inlineStr">
        <is>
          <t>TC-OI-0044</t>
        </is>
      </c>
      <c r="B2881" s="16" t="inlineStr">
        <is>
          <t>OAuth2 IdP Compatibility</t>
        </is>
      </c>
      <c r="C2881" s="16" t="inlineStr">
        <is>
          <t>Keycloak</t>
        </is>
      </c>
      <c r="D2881" s="16" t="inlineStr">
        <is>
          <t>Compatibility</t>
        </is>
      </c>
      <c r="E2881" s="16" t="inlineStr">
        <is>
          <t>OAuth2 against Keycloak using authorization_code</t>
        </is>
      </c>
      <c r="F2881" s="16" t="inlineStr">
        <is>
          <t>OAuth2 credentials for the IdP.</t>
        </is>
      </c>
      <c r="G2881" s="16" t="inlineStr">
        <is>
          <t>1. Configure OAuth2: authUrl/tokenUrl per Keycloak; clientId/secret/scope.
2. Initiate authorization_code.
3. Approve in IdP UI (or supply credentials for non-interactive grants).
4. Verify access_token + (optional refresh_token) stored.
5. Send a downstream protected request.</t>
        </is>
      </c>
      <c r="H2881" s="16" t="inlineStr">
        <is>
          <t>idp=Keycloak grant=authorization_code</t>
        </is>
      </c>
      <c r="I2881" s="16" t="inlineStr">
        <is>
          <t>Token acquired against Keycloak successfully; obtainedScope reflects granted scope; downstream request returns 200; refresh path (if returned) works on next expiry.</t>
        </is>
      </c>
      <c r="J2881" s="16" t="inlineStr"/>
      <c r="K2881" s="16" t="inlineStr">
        <is>
          <t>Not Run</t>
        </is>
      </c>
      <c r="L2881" s="16" t="inlineStr">
        <is>
          <t>Medium</t>
        </is>
      </c>
      <c r="M2881" s="16" t="inlineStr"/>
      <c r="N2881" s="16" t="inlineStr"/>
      <c r="O2881" s="16" t="inlineStr"/>
    </row>
    <row r="2882" ht="72" customHeight="1">
      <c r="A2882" s="16" t="inlineStr">
        <is>
          <t>TC-OI-0045</t>
        </is>
      </c>
      <c r="B2882" s="16" t="inlineStr">
        <is>
          <t>OAuth2 IdP Compatibility</t>
        </is>
      </c>
      <c r="C2882" s="16" t="inlineStr">
        <is>
          <t>Keycloak</t>
        </is>
      </c>
      <c r="D2882" s="16" t="inlineStr">
        <is>
          <t>Compatibility</t>
        </is>
      </c>
      <c r="E2882" s="16" t="inlineStr">
        <is>
          <t>OAuth2 against Keycloak using authorization_code+PKCE</t>
        </is>
      </c>
      <c r="F2882" s="16" t="inlineStr">
        <is>
          <t>OAuth2 credentials for the IdP.</t>
        </is>
      </c>
      <c r="G2882" s="16" t="inlineStr">
        <is>
          <t>1. Configure OAuth2: authUrl/tokenUrl per Keycloak; clientId/secret/scope.
2. Initiate authorization_code+PKCE.
3. Approve in IdP UI (or supply credentials for non-interactive grants).
4. Verify access_token + (optional refresh_token) stored.
5. Send a downstream protected request.</t>
        </is>
      </c>
      <c r="H2882" s="16" t="inlineStr">
        <is>
          <t>idp=Keycloak grant=authorization_code+PKCE</t>
        </is>
      </c>
      <c r="I2882" s="16" t="inlineStr">
        <is>
          <t>Token acquired against Keycloak successfully; obtainedScope reflects granted scope; downstream request returns 200; refresh path (if returned) works on next expiry.</t>
        </is>
      </c>
      <c r="J2882" s="16" t="inlineStr"/>
      <c r="K2882" s="16" t="inlineStr">
        <is>
          <t>Not Run</t>
        </is>
      </c>
      <c r="L2882" s="16" t="inlineStr">
        <is>
          <t>Medium</t>
        </is>
      </c>
      <c r="M2882" s="16" t="inlineStr"/>
      <c r="N2882" s="16" t="inlineStr"/>
      <c r="O2882" s="16" t="inlineStr"/>
    </row>
    <row r="2883" ht="72" customHeight="1">
      <c r="A2883" s="16" t="inlineStr">
        <is>
          <t>TC-OI-0046</t>
        </is>
      </c>
      <c r="B2883" s="16" t="inlineStr">
        <is>
          <t>OAuth2 IdP Compatibility</t>
        </is>
      </c>
      <c r="C2883" s="16" t="inlineStr">
        <is>
          <t>Keycloak</t>
        </is>
      </c>
      <c r="D2883" s="16" t="inlineStr">
        <is>
          <t>Compatibility</t>
        </is>
      </c>
      <c r="E2883" s="16" t="inlineStr">
        <is>
          <t>OAuth2 against Keycloak using password</t>
        </is>
      </c>
      <c r="F2883" s="16" t="inlineStr">
        <is>
          <t>OAuth2 credentials for the IdP.</t>
        </is>
      </c>
      <c r="G2883" s="16" t="inlineStr">
        <is>
          <t>1. Configure OAuth2: authUrl/tokenUrl per Keycloak; clientId/secret/scope.
2. Initiate password.
3. Approve in IdP UI (or supply credentials for non-interactive grants).
4. Verify access_token + (optional refresh_token) stored.
5. Send a downstream protected request.</t>
        </is>
      </c>
      <c r="H2883" s="16" t="inlineStr">
        <is>
          <t>idp=Keycloak grant=password</t>
        </is>
      </c>
      <c r="I2883" s="16" t="inlineStr">
        <is>
          <t>Token acquired against Keycloak successfully; obtainedScope reflects granted scope; downstream request returns 200; refresh path (if returned) works on next expiry.</t>
        </is>
      </c>
      <c r="J2883" s="16" t="inlineStr"/>
      <c r="K2883" s="16" t="inlineStr">
        <is>
          <t>Not Run</t>
        </is>
      </c>
      <c r="L2883" s="16" t="inlineStr">
        <is>
          <t>Medium</t>
        </is>
      </c>
      <c r="M2883" s="16" t="inlineStr"/>
      <c r="N2883" s="16" t="inlineStr"/>
      <c r="O2883" s="16" t="inlineStr"/>
    </row>
    <row r="2884" ht="72" customHeight="1">
      <c r="A2884" s="16" t="inlineStr">
        <is>
          <t>TC-OI-0047</t>
        </is>
      </c>
      <c r="B2884" s="16" t="inlineStr">
        <is>
          <t>OAuth2 IdP Compatibility</t>
        </is>
      </c>
      <c r="C2884" s="16" t="inlineStr">
        <is>
          <t>Keycloak</t>
        </is>
      </c>
      <c r="D2884" s="16" t="inlineStr">
        <is>
          <t>Compatibility</t>
        </is>
      </c>
      <c r="E2884" s="16" t="inlineStr">
        <is>
          <t>OAuth2 against Keycloak using device_code</t>
        </is>
      </c>
      <c r="F2884" s="16" t="inlineStr">
        <is>
          <t>OAuth2 credentials for the IdP.</t>
        </is>
      </c>
      <c r="G2884" s="16" t="inlineStr">
        <is>
          <t>1. Configure OAuth2: authUrl/tokenUrl per Keycloak; clientId/secret/scope.
2. Initiate device_code.
3. Approve in IdP UI (or supply credentials for non-interactive grants).
4. Verify access_token + (optional refresh_token) stored.
5. Send a downstream protected request.</t>
        </is>
      </c>
      <c r="H2884" s="16" t="inlineStr">
        <is>
          <t>idp=Keycloak grant=device_code</t>
        </is>
      </c>
      <c r="I2884" s="16" t="inlineStr">
        <is>
          <t>Token acquired against Keycloak successfully; obtainedScope reflects granted scope; downstream request returns 200; refresh path (if returned) works on next expiry. Device flow user_code displayed; polling respected; activation works.</t>
        </is>
      </c>
      <c r="J2884" s="16" t="inlineStr"/>
      <c r="K2884" s="16" t="inlineStr">
        <is>
          <t>Not Run</t>
        </is>
      </c>
      <c r="L2884" s="16" t="inlineStr">
        <is>
          <t>Medium</t>
        </is>
      </c>
      <c r="M2884" s="16" t="inlineStr"/>
      <c r="N2884" s="16" t="inlineStr"/>
      <c r="O2884" s="16" t="inlineStr"/>
    </row>
    <row r="2885" ht="72" customHeight="1">
      <c r="A2885" s="16" t="inlineStr">
        <is>
          <t>TC-OI-0048</t>
        </is>
      </c>
      <c r="B2885" s="16" t="inlineStr">
        <is>
          <t>OAuth2 IdP Compatibility</t>
        </is>
      </c>
      <c r="C2885" s="16" t="inlineStr">
        <is>
          <t>Keycloak</t>
        </is>
      </c>
      <c r="D2885" s="16" t="inlineStr">
        <is>
          <t>Compatibility</t>
        </is>
      </c>
      <c r="E2885" s="16" t="inlineStr">
        <is>
          <t>OAuth2 against Keycloak using refresh_token</t>
        </is>
      </c>
      <c r="F2885" s="16" t="inlineStr">
        <is>
          <t>OAuth2 credentials for the IdP.</t>
        </is>
      </c>
      <c r="G2885" s="16" t="inlineStr">
        <is>
          <t>1. Configure OAuth2: authUrl/tokenUrl per Keycloak; clientId/secret/scope.
2. Initiate refresh_token.
3. Approve in IdP UI (or supply credentials for non-interactive grants).
4. Verify access_token + (optional refresh_token) stored.
5. Send a downstream protected request.</t>
        </is>
      </c>
      <c r="H2885" s="16" t="inlineStr">
        <is>
          <t>idp=Keycloak grant=refresh_token</t>
        </is>
      </c>
      <c r="I2885" s="16" t="inlineStr">
        <is>
          <t>Token acquired against Keycloak successfully; obtainedScope reflects granted scope; downstream request returns 200; refresh path (if returned) works on next expiry.</t>
        </is>
      </c>
      <c r="J2885" s="16" t="inlineStr"/>
      <c r="K2885" s="16" t="inlineStr">
        <is>
          <t>Not Run</t>
        </is>
      </c>
      <c r="L2885" s="16" t="inlineStr">
        <is>
          <t>Medium</t>
        </is>
      </c>
      <c r="M2885" s="16" t="inlineStr"/>
      <c r="N2885" s="16" t="inlineStr"/>
      <c r="O2885" s="16" t="inlineStr"/>
    </row>
    <row r="2886" ht="72" customHeight="1">
      <c r="A2886" s="16" t="inlineStr">
        <is>
          <t>TC-OI-0049</t>
        </is>
      </c>
      <c r="B2886" s="16" t="inlineStr">
        <is>
          <t>OAuth2 IdP Compatibility</t>
        </is>
      </c>
      <c r="C2886" s="16" t="inlineStr">
        <is>
          <t>Keycloak</t>
        </is>
      </c>
      <c r="D2886" s="16" t="inlineStr">
        <is>
          <t>Compatibility</t>
        </is>
      </c>
      <c r="E2886" s="16" t="inlineStr">
        <is>
          <t>OAuth2 against Keycloak using implicit</t>
        </is>
      </c>
      <c r="F2886" s="16" t="inlineStr">
        <is>
          <t>OAuth2 credentials for the IdP.</t>
        </is>
      </c>
      <c r="G2886" s="16" t="inlineStr">
        <is>
          <t>1. Configure OAuth2: authUrl/tokenUrl per Keycloak; clientId/secret/scope.
2. Initiate implicit.
3. Approve in IdP UI (or supply credentials for non-interactive grants).
4. Verify access_token + (optional refresh_token) stored.
5. Send a downstream protected request.</t>
        </is>
      </c>
      <c r="H2886" s="16" t="inlineStr">
        <is>
          <t>idp=Keycloak grant=implicit</t>
        </is>
      </c>
      <c r="I2886" s="16" t="inlineStr">
        <is>
          <t>Token acquired against Keycloak successfully; obtainedScope reflects granted scope; downstream request returns 200; refresh path (if returned) works on next expiry.</t>
        </is>
      </c>
      <c r="J2886" s="16" t="inlineStr"/>
      <c r="K2886" s="16" t="inlineStr">
        <is>
          <t>Not Run</t>
        </is>
      </c>
      <c r="L2886" s="16" t="inlineStr">
        <is>
          <t>Medium</t>
        </is>
      </c>
      <c r="M2886" s="16" t="inlineStr"/>
      <c r="N2886" s="16" t="inlineStr"/>
      <c r="O2886" s="16" t="inlineStr"/>
    </row>
    <row r="2887" ht="72" customHeight="1">
      <c r="A2887" s="16" t="inlineStr">
        <is>
          <t>TC-OI-0050</t>
        </is>
      </c>
      <c r="B2887" s="16" t="inlineStr">
        <is>
          <t>OAuth2 IdP Compatibility</t>
        </is>
      </c>
      <c r="C2887" s="16" t="inlineStr">
        <is>
          <t>Firebase Auth</t>
        </is>
      </c>
      <c r="D2887" s="16" t="inlineStr">
        <is>
          <t>Compatibility</t>
        </is>
      </c>
      <c r="E2887" s="16" t="inlineStr">
        <is>
          <t>OAuth2 against Firebase Auth using client_credentials</t>
        </is>
      </c>
      <c r="F2887" s="16" t="inlineStr">
        <is>
          <t>OAuth2 credentials for the IdP.</t>
        </is>
      </c>
      <c r="G2887" s="16" t="inlineStr">
        <is>
          <t>1. Configure OAuth2: authUrl/tokenUrl per Firebase Auth; clientId/secret/scope.
2. Initiate client_credentials.
3. Approve in IdP UI (or supply credentials for non-interactive grants).
4. Verify access_token + (optional refresh_token) stored.
5. Send a downstream protected request.</t>
        </is>
      </c>
      <c r="H2887" s="16" t="inlineStr">
        <is>
          <t>idp=Firebase Auth grant=client_credentials</t>
        </is>
      </c>
      <c r="I2887" s="16" t="inlineStr">
        <is>
          <t>Token acquired against Firebase Auth successfully; obtainedScope reflects granted scope; downstream request returns 200; refresh path (if returned) works on next expiry.</t>
        </is>
      </c>
      <c r="J2887" s="16" t="inlineStr"/>
      <c r="K2887" s="16" t="inlineStr">
        <is>
          <t>Not Run</t>
        </is>
      </c>
      <c r="L2887" s="16" t="inlineStr">
        <is>
          <t>Medium</t>
        </is>
      </c>
      <c r="M2887" s="16" t="inlineStr"/>
      <c r="N2887" s="16" t="inlineStr"/>
      <c r="O2887" s="16" t="inlineStr"/>
    </row>
    <row r="2888" ht="72" customHeight="1">
      <c r="A2888" s="16" t="inlineStr">
        <is>
          <t>TC-OI-0051</t>
        </is>
      </c>
      <c r="B2888" s="16" t="inlineStr">
        <is>
          <t>OAuth2 IdP Compatibility</t>
        </is>
      </c>
      <c r="C2888" s="16" t="inlineStr">
        <is>
          <t>Firebase Auth</t>
        </is>
      </c>
      <c r="D2888" s="16" t="inlineStr">
        <is>
          <t>Compatibility</t>
        </is>
      </c>
      <c r="E2888" s="16" t="inlineStr">
        <is>
          <t>OAuth2 against Firebase Auth using authorization_code</t>
        </is>
      </c>
      <c r="F2888" s="16" t="inlineStr">
        <is>
          <t>OAuth2 credentials for the IdP.</t>
        </is>
      </c>
      <c r="G2888" s="16" t="inlineStr">
        <is>
          <t>1. Configure OAuth2: authUrl/tokenUrl per Firebase Auth; clientId/secret/scope.
2. Initiate authorization_code.
3. Approve in IdP UI (or supply credentials for non-interactive grants).
4. Verify access_token + (optional refresh_token) stored.
5. Send a downstream protected request.</t>
        </is>
      </c>
      <c r="H2888" s="16" t="inlineStr">
        <is>
          <t>idp=Firebase Auth grant=authorization_code</t>
        </is>
      </c>
      <c r="I2888" s="16" t="inlineStr">
        <is>
          <t>Token acquired against Firebase Auth successfully; obtainedScope reflects granted scope; downstream request returns 200; refresh path (if returned) works on next expiry.</t>
        </is>
      </c>
      <c r="J2888" s="16" t="inlineStr"/>
      <c r="K2888" s="16" t="inlineStr">
        <is>
          <t>Not Run</t>
        </is>
      </c>
      <c r="L2888" s="16" t="inlineStr">
        <is>
          <t>Medium</t>
        </is>
      </c>
      <c r="M2888" s="16" t="inlineStr"/>
      <c r="N2888" s="16" t="inlineStr"/>
      <c r="O2888" s="16" t="inlineStr"/>
    </row>
    <row r="2889" ht="72" customHeight="1">
      <c r="A2889" s="16" t="inlineStr">
        <is>
          <t>TC-OI-0052</t>
        </is>
      </c>
      <c r="B2889" s="16" t="inlineStr">
        <is>
          <t>OAuth2 IdP Compatibility</t>
        </is>
      </c>
      <c r="C2889" s="16" t="inlineStr">
        <is>
          <t>Firebase Auth</t>
        </is>
      </c>
      <c r="D2889" s="16" t="inlineStr">
        <is>
          <t>Compatibility</t>
        </is>
      </c>
      <c r="E2889" s="16" t="inlineStr">
        <is>
          <t>OAuth2 against Firebase Auth using authorization_code+PKCE</t>
        </is>
      </c>
      <c r="F2889" s="16" t="inlineStr">
        <is>
          <t>OAuth2 credentials for the IdP.</t>
        </is>
      </c>
      <c r="G2889" s="16" t="inlineStr">
        <is>
          <t>1. Configure OAuth2: authUrl/tokenUrl per Firebase Auth; clientId/secret/scope.
2. Initiate authorization_code+PKCE.
3. Approve in IdP UI (or supply credentials for non-interactive grants).
4. Verify access_token + (optional refresh_token) stored.
5. Send a downstream protected request.</t>
        </is>
      </c>
      <c r="H2889" s="16" t="inlineStr">
        <is>
          <t>idp=Firebase Auth grant=authorization_code+PKCE</t>
        </is>
      </c>
      <c r="I2889" s="16" t="inlineStr">
        <is>
          <t>Token acquired against Firebase Auth successfully; obtainedScope reflects granted scope; downstream request returns 200; refresh path (if returned) works on next expiry.</t>
        </is>
      </c>
      <c r="J2889" s="16" t="inlineStr"/>
      <c r="K2889" s="16" t="inlineStr">
        <is>
          <t>Not Run</t>
        </is>
      </c>
      <c r="L2889" s="16" t="inlineStr">
        <is>
          <t>Medium</t>
        </is>
      </c>
      <c r="M2889" s="16" t="inlineStr"/>
      <c r="N2889" s="16" t="inlineStr"/>
      <c r="O2889" s="16" t="inlineStr"/>
    </row>
    <row r="2890" ht="72" customHeight="1">
      <c r="A2890" s="16" t="inlineStr">
        <is>
          <t>TC-OI-0053</t>
        </is>
      </c>
      <c r="B2890" s="16" t="inlineStr">
        <is>
          <t>OAuth2 IdP Compatibility</t>
        </is>
      </c>
      <c r="C2890" s="16" t="inlineStr">
        <is>
          <t>Firebase Auth</t>
        </is>
      </c>
      <c r="D2890" s="16" t="inlineStr">
        <is>
          <t>Compatibility</t>
        </is>
      </c>
      <c r="E2890" s="16" t="inlineStr">
        <is>
          <t>OAuth2 against Firebase Auth using password</t>
        </is>
      </c>
      <c r="F2890" s="16" t="inlineStr">
        <is>
          <t>OAuth2 credentials for the IdP.</t>
        </is>
      </c>
      <c r="G2890" s="16" t="inlineStr">
        <is>
          <t>1. Configure OAuth2: authUrl/tokenUrl per Firebase Auth; clientId/secret/scope.
2. Initiate password.
3. Approve in IdP UI (or supply credentials for non-interactive grants).
4. Verify access_token + (optional refresh_token) stored.
5. Send a downstream protected request.</t>
        </is>
      </c>
      <c r="H2890" s="16" t="inlineStr">
        <is>
          <t>idp=Firebase Auth grant=password</t>
        </is>
      </c>
      <c r="I2890" s="16" t="inlineStr">
        <is>
          <t>Token acquired against Firebase Auth successfully; obtainedScope reflects granted scope; downstream request returns 200; refresh path (if returned) works on next expiry.</t>
        </is>
      </c>
      <c r="J2890" s="16" t="inlineStr"/>
      <c r="K2890" s="16" t="inlineStr">
        <is>
          <t>Not Run</t>
        </is>
      </c>
      <c r="L2890" s="16" t="inlineStr">
        <is>
          <t>Medium</t>
        </is>
      </c>
      <c r="M2890" s="16" t="inlineStr"/>
      <c r="N2890" s="16" t="inlineStr"/>
      <c r="O2890" s="16" t="inlineStr"/>
    </row>
    <row r="2891" ht="72" customHeight="1">
      <c r="A2891" s="16" t="inlineStr">
        <is>
          <t>TC-OI-0054</t>
        </is>
      </c>
      <c r="B2891" s="16" t="inlineStr">
        <is>
          <t>OAuth2 IdP Compatibility</t>
        </is>
      </c>
      <c r="C2891" s="16" t="inlineStr">
        <is>
          <t>Firebase Auth</t>
        </is>
      </c>
      <c r="D2891" s="16" t="inlineStr">
        <is>
          <t>Compatibility</t>
        </is>
      </c>
      <c r="E2891" s="16" t="inlineStr">
        <is>
          <t>OAuth2 against Firebase Auth using device_code</t>
        </is>
      </c>
      <c r="F2891" s="16" t="inlineStr">
        <is>
          <t>OAuth2 credentials for the IdP.</t>
        </is>
      </c>
      <c r="G2891" s="16" t="inlineStr">
        <is>
          <t>1. Configure OAuth2: authUrl/tokenUrl per Firebase Auth; clientId/secret/scope.
2. Initiate device_code.
3. Approve in IdP UI (or supply credentials for non-interactive grants).
4. Verify access_token + (optional refresh_token) stored.
5. Send a downstream protected request.</t>
        </is>
      </c>
      <c r="H2891" s="16" t="inlineStr">
        <is>
          <t>idp=Firebase Auth grant=device_code</t>
        </is>
      </c>
      <c r="I2891" s="16" t="inlineStr">
        <is>
          <t>Token acquired against Firebase Auth successfully; obtainedScope reflects granted scope; downstream request returns 200; refresh path (if returned) works on next expiry. Device flow user_code displayed; polling respected; activation works.</t>
        </is>
      </c>
      <c r="J2891" s="16" t="inlineStr"/>
      <c r="K2891" s="16" t="inlineStr">
        <is>
          <t>Not Run</t>
        </is>
      </c>
      <c r="L2891" s="16" t="inlineStr">
        <is>
          <t>Medium</t>
        </is>
      </c>
      <c r="M2891" s="16" t="inlineStr"/>
      <c r="N2891" s="16" t="inlineStr"/>
      <c r="O2891" s="16" t="inlineStr"/>
    </row>
    <row r="2892" ht="72" customHeight="1">
      <c r="A2892" s="16" t="inlineStr">
        <is>
          <t>TC-OI-0055</t>
        </is>
      </c>
      <c r="B2892" s="16" t="inlineStr">
        <is>
          <t>OAuth2 IdP Compatibility</t>
        </is>
      </c>
      <c r="C2892" s="16" t="inlineStr">
        <is>
          <t>Firebase Auth</t>
        </is>
      </c>
      <c r="D2892" s="16" t="inlineStr">
        <is>
          <t>Compatibility</t>
        </is>
      </c>
      <c r="E2892" s="16" t="inlineStr">
        <is>
          <t>OAuth2 against Firebase Auth using refresh_token</t>
        </is>
      </c>
      <c r="F2892" s="16" t="inlineStr">
        <is>
          <t>OAuth2 credentials for the IdP.</t>
        </is>
      </c>
      <c r="G2892" s="16" t="inlineStr">
        <is>
          <t>1. Configure OAuth2: authUrl/tokenUrl per Firebase Auth; clientId/secret/scope.
2. Initiate refresh_token.
3. Approve in IdP UI (or supply credentials for non-interactive grants).
4. Verify access_token + (optional refresh_token) stored.
5. Send a downstream protected request.</t>
        </is>
      </c>
      <c r="H2892" s="16" t="inlineStr">
        <is>
          <t>idp=Firebase Auth grant=refresh_token</t>
        </is>
      </c>
      <c r="I2892" s="16" t="inlineStr">
        <is>
          <t>Token acquired against Firebase Auth successfully; obtainedScope reflects granted scope; downstream request returns 200; refresh path (if returned) works on next expiry.</t>
        </is>
      </c>
      <c r="J2892" s="16" t="inlineStr"/>
      <c r="K2892" s="16" t="inlineStr">
        <is>
          <t>Not Run</t>
        </is>
      </c>
      <c r="L2892" s="16" t="inlineStr">
        <is>
          <t>Medium</t>
        </is>
      </c>
      <c r="M2892" s="16" t="inlineStr"/>
      <c r="N2892" s="16" t="inlineStr"/>
      <c r="O2892" s="16" t="inlineStr"/>
    </row>
    <row r="2893" ht="72" customHeight="1">
      <c r="A2893" s="16" t="inlineStr">
        <is>
          <t>TC-OI-0056</t>
        </is>
      </c>
      <c r="B2893" s="16" t="inlineStr">
        <is>
          <t>OAuth2 IdP Compatibility</t>
        </is>
      </c>
      <c r="C2893" s="16" t="inlineStr">
        <is>
          <t>Firebase Auth</t>
        </is>
      </c>
      <c r="D2893" s="16" t="inlineStr">
        <is>
          <t>Compatibility</t>
        </is>
      </c>
      <c r="E2893" s="16" t="inlineStr">
        <is>
          <t>OAuth2 against Firebase Auth using implicit</t>
        </is>
      </c>
      <c r="F2893" s="16" t="inlineStr">
        <is>
          <t>OAuth2 credentials for the IdP.</t>
        </is>
      </c>
      <c r="G2893" s="16" t="inlineStr">
        <is>
          <t>1. Configure OAuth2: authUrl/tokenUrl per Firebase Auth; clientId/secret/scope.
2. Initiate implicit.
3. Approve in IdP UI (or supply credentials for non-interactive grants).
4. Verify access_token + (optional refresh_token) stored.
5. Send a downstream protected request.</t>
        </is>
      </c>
      <c r="H2893" s="16" t="inlineStr">
        <is>
          <t>idp=Firebase Auth grant=implicit</t>
        </is>
      </c>
      <c r="I2893" s="16" t="inlineStr">
        <is>
          <t>Token acquired against Firebase Auth successfully; obtainedScope reflects granted scope; downstream request returns 200; refresh path (if returned) works on next expiry.</t>
        </is>
      </c>
      <c r="J2893" s="16" t="inlineStr"/>
      <c r="K2893" s="16" t="inlineStr">
        <is>
          <t>Not Run</t>
        </is>
      </c>
      <c r="L2893" s="16" t="inlineStr">
        <is>
          <t>Medium</t>
        </is>
      </c>
      <c r="M2893" s="16" t="inlineStr"/>
      <c r="N2893" s="16" t="inlineStr"/>
      <c r="O2893" s="16" t="inlineStr"/>
    </row>
    <row r="2894" ht="72" customHeight="1">
      <c r="A2894" s="16" t="inlineStr">
        <is>
          <t>TC-OI-0057</t>
        </is>
      </c>
      <c r="B2894" s="16" t="inlineStr">
        <is>
          <t>OAuth2 IdP Compatibility</t>
        </is>
      </c>
      <c r="C2894" s="16" t="inlineStr">
        <is>
          <t>PingFederate</t>
        </is>
      </c>
      <c r="D2894" s="16" t="inlineStr">
        <is>
          <t>Compatibility</t>
        </is>
      </c>
      <c r="E2894" s="16" t="inlineStr">
        <is>
          <t>OAuth2 against PingFederate using client_credentials</t>
        </is>
      </c>
      <c r="F2894" s="16" t="inlineStr">
        <is>
          <t>OAuth2 credentials for the IdP.</t>
        </is>
      </c>
      <c r="G2894" s="16" t="inlineStr">
        <is>
          <t>1. Configure OAuth2: authUrl/tokenUrl per PingFederate; clientId/secret/scope.
2. Initiate client_credentials.
3. Approve in IdP UI (or supply credentials for non-interactive grants).
4. Verify access_token + (optional refresh_token) stored.
5. Send a downstream protected request.</t>
        </is>
      </c>
      <c r="H2894" s="16" t="inlineStr">
        <is>
          <t>idp=PingFederate grant=client_credentials</t>
        </is>
      </c>
      <c r="I2894" s="16" t="inlineStr">
        <is>
          <t>Token acquired against PingFederate successfully; obtainedScope reflects granted scope; downstream request returns 200; refresh path (if returned) works on next expiry.</t>
        </is>
      </c>
      <c r="J2894" s="16" t="inlineStr"/>
      <c r="K2894" s="16" t="inlineStr">
        <is>
          <t>Not Run</t>
        </is>
      </c>
      <c r="L2894" s="16" t="inlineStr">
        <is>
          <t>Low</t>
        </is>
      </c>
      <c r="M2894" s="16" t="inlineStr"/>
      <c r="N2894" s="16" t="inlineStr"/>
      <c r="O2894" s="16" t="inlineStr"/>
    </row>
    <row r="2895" ht="72" customHeight="1">
      <c r="A2895" s="16" t="inlineStr">
        <is>
          <t>TC-OI-0058</t>
        </is>
      </c>
      <c r="B2895" s="16" t="inlineStr">
        <is>
          <t>OAuth2 IdP Compatibility</t>
        </is>
      </c>
      <c r="C2895" s="16" t="inlineStr">
        <is>
          <t>PingFederate</t>
        </is>
      </c>
      <c r="D2895" s="16" t="inlineStr">
        <is>
          <t>Compatibility</t>
        </is>
      </c>
      <c r="E2895" s="16" t="inlineStr">
        <is>
          <t>OAuth2 against PingFederate using authorization_code</t>
        </is>
      </c>
      <c r="F2895" s="16" t="inlineStr">
        <is>
          <t>OAuth2 credentials for the IdP.</t>
        </is>
      </c>
      <c r="G2895" s="16" t="inlineStr">
        <is>
          <t>1. Configure OAuth2: authUrl/tokenUrl per PingFederate; clientId/secret/scope.
2. Initiate authorization_code.
3. Approve in IdP UI (or supply credentials for non-interactive grants).
4. Verify access_token + (optional refresh_token) stored.
5. Send a downstream protected request.</t>
        </is>
      </c>
      <c r="H2895" s="16" t="inlineStr">
        <is>
          <t>idp=PingFederate grant=authorization_code</t>
        </is>
      </c>
      <c r="I2895" s="16" t="inlineStr">
        <is>
          <t>Token acquired against PingFederate successfully; obtainedScope reflects granted scope; downstream request returns 200; refresh path (if returned) works on next expiry.</t>
        </is>
      </c>
      <c r="J2895" s="16" t="inlineStr"/>
      <c r="K2895" s="16" t="inlineStr">
        <is>
          <t>Not Run</t>
        </is>
      </c>
      <c r="L2895" s="16" t="inlineStr">
        <is>
          <t>Low</t>
        </is>
      </c>
      <c r="M2895" s="16" t="inlineStr"/>
      <c r="N2895" s="16" t="inlineStr"/>
      <c r="O2895" s="16" t="inlineStr"/>
    </row>
    <row r="2896" ht="72" customHeight="1">
      <c r="A2896" s="16" t="inlineStr">
        <is>
          <t>TC-OI-0059</t>
        </is>
      </c>
      <c r="B2896" s="16" t="inlineStr">
        <is>
          <t>OAuth2 IdP Compatibility</t>
        </is>
      </c>
      <c r="C2896" s="16" t="inlineStr">
        <is>
          <t>PingFederate</t>
        </is>
      </c>
      <c r="D2896" s="16" t="inlineStr">
        <is>
          <t>Compatibility</t>
        </is>
      </c>
      <c r="E2896" s="16" t="inlineStr">
        <is>
          <t>OAuth2 against PingFederate using authorization_code+PKCE</t>
        </is>
      </c>
      <c r="F2896" s="16" t="inlineStr">
        <is>
          <t>OAuth2 credentials for the IdP.</t>
        </is>
      </c>
      <c r="G2896" s="16" t="inlineStr">
        <is>
          <t>1. Configure OAuth2: authUrl/tokenUrl per PingFederate; clientId/secret/scope.
2. Initiate authorization_code+PKCE.
3. Approve in IdP UI (or supply credentials for non-interactive grants).
4. Verify access_token + (optional refresh_token) stored.
5. Send a downstream protected request.</t>
        </is>
      </c>
      <c r="H2896" s="16" t="inlineStr">
        <is>
          <t>idp=PingFederate grant=authorization_code+PKCE</t>
        </is>
      </c>
      <c r="I2896" s="16" t="inlineStr">
        <is>
          <t>Token acquired against PingFederate successfully; obtainedScope reflects granted scope; downstream request returns 200; refresh path (if returned) works on next expiry.</t>
        </is>
      </c>
      <c r="J2896" s="16" t="inlineStr"/>
      <c r="K2896" s="16" t="inlineStr">
        <is>
          <t>Not Run</t>
        </is>
      </c>
      <c r="L2896" s="16" t="inlineStr">
        <is>
          <t>Low</t>
        </is>
      </c>
      <c r="M2896" s="16" t="inlineStr"/>
      <c r="N2896" s="16" t="inlineStr"/>
      <c r="O2896" s="16" t="inlineStr"/>
    </row>
    <row r="2897" ht="72" customHeight="1">
      <c r="A2897" s="16" t="inlineStr">
        <is>
          <t>TC-OI-0060</t>
        </is>
      </c>
      <c r="B2897" s="16" t="inlineStr">
        <is>
          <t>OAuth2 IdP Compatibility</t>
        </is>
      </c>
      <c r="C2897" s="16" t="inlineStr">
        <is>
          <t>PingFederate</t>
        </is>
      </c>
      <c r="D2897" s="16" t="inlineStr">
        <is>
          <t>Compatibility</t>
        </is>
      </c>
      <c r="E2897" s="16" t="inlineStr">
        <is>
          <t>OAuth2 against PingFederate using password</t>
        </is>
      </c>
      <c r="F2897" s="16" t="inlineStr">
        <is>
          <t>OAuth2 credentials for the IdP.</t>
        </is>
      </c>
      <c r="G2897" s="16" t="inlineStr">
        <is>
          <t>1. Configure OAuth2: authUrl/tokenUrl per PingFederate; clientId/secret/scope.
2. Initiate password.
3. Approve in IdP UI (or supply credentials for non-interactive grants).
4. Verify access_token + (optional refresh_token) stored.
5. Send a downstream protected request.</t>
        </is>
      </c>
      <c r="H2897" s="16" t="inlineStr">
        <is>
          <t>idp=PingFederate grant=password</t>
        </is>
      </c>
      <c r="I2897" s="16" t="inlineStr">
        <is>
          <t>Token acquired against PingFederate successfully; obtainedScope reflects granted scope; downstream request returns 200; refresh path (if returned) works on next expiry.</t>
        </is>
      </c>
      <c r="J2897" s="16" t="inlineStr"/>
      <c r="K2897" s="16" t="inlineStr">
        <is>
          <t>Not Run</t>
        </is>
      </c>
      <c r="L2897" s="16" t="inlineStr">
        <is>
          <t>Low</t>
        </is>
      </c>
      <c r="M2897" s="16" t="inlineStr"/>
      <c r="N2897" s="16" t="inlineStr"/>
      <c r="O2897" s="16" t="inlineStr"/>
    </row>
    <row r="2898" ht="72" customHeight="1">
      <c r="A2898" s="16" t="inlineStr">
        <is>
          <t>TC-OI-0061</t>
        </is>
      </c>
      <c r="B2898" s="16" t="inlineStr">
        <is>
          <t>OAuth2 IdP Compatibility</t>
        </is>
      </c>
      <c r="C2898" s="16" t="inlineStr">
        <is>
          <t>PingFederate</t>
        </is>
      </c>
      <c r="D2898" s="16" t="inlineStr">
        <is>
          <t>Compatibility</t>
        </is>
      </c>
      <c r="E2898" s="16" t="inlineStr">
        <is>
          <t>OAuth2 against PingFederate using device_code</t>
        </is>
      </c>
      <c r="F2898" s="16" t="inlineStr">
        <is>
          <t>OAuth2 credentials for the IdP.</t>
        </is>
      </c>
      <c r="G2898" s="16" t="inlineStr">
        <is>
          <t>1. Configure OAuth2: authUrl/tokenUrl per PingFederate; clientId/secret/scope.
2. Initiate device_code.
3. Approve in IdP UI (or supply credentials for non-interactive grants).
4. Verify access_token + (optional refresh_token) stored.
5. Send a downstream protected request.</t>
        </is>
      </c>
      <c r="H2898" s="16" t="inlineStr">
        <is>
          <t>idp=PingFederate grant=device_code</t>
        </is>
      </c>
      <c r="I2898" s="16" t="inlineStr">
        <is>
          <t>Token acquired against PingFederate successfully; obtainedScope reflects granted scope; downstream request returns 200; refresh path (if returned) works on next expiry. Device flow user_code displayed; polling respected; activation works.</t>
        </is>
      </c>
      <c r="J2898" s="16" t="inlineStr"/>
      <c r="K2898" s="16" t="inlineStr">
        <is>
          <t>Not Run</t>
        </is>
      </c>
      <c r="L2898" s="16" t="inlineStr">
        <is>
          <t>Medium</t>
        </is>
      </c>
      <c r="M2898" s="16" t="inlineStr"/>
      <c r="N2898" s="16" t="inlineStr"/>
      <c r="O2898" s="16" t="inlineStr"/>
    </row>
    <row r="2899" ht="72" customHeight="1">
      <c r="A2899" s="16" t="inlineStr">
        <is>
          <t>TC-OI-0062</t>
        </is>
      </c>
      <c r="B2899" s="16" t="inlineStr">
        <is>
          <t>OAuth2 IdP Compatibility</t>
        </is>
      </c>
      <c r="C2899" s="16" t="inlineStr">
        <is>
          <t>PingFederate</t>
        </is>
      </c>
      <c r="D2899" s="16" t="inlineStr">
        <is>
          <t>Compatibility</t>
        </is>
      </c>
      <c r="E2899" s="16" t="inlineStr">
        <is>
          <t>OAuth2 against PingFederate using refresh_token</t>
        </is>
      </c>
      <c r="F2899" s="16" t="inlineStr">
        <is>
          <t>OAuth2 credentials for the IdP.</t>
        </is>
      </c>
      <c r="G2899" s="16" t="inlineStr">
        <is>
          <t>1. Configure OAuth2: authUrl/tokenUrl per PingFederate; clientId/secret/scope.
2. Initiate refresh_token.
3. Approve in IdP UI (or supply credentials for non-interactive grants).
4. Verify access_token + (optional refresh_token) stored.
5. Send a downstream protected request.</t>
        </is>
      </c>
      <c r="H2899" s="16" t="inlineStr">
        <is>
          <t>idp=PingFederate grant=refresh_token</t>
        </is>
      </c>
      <c r="I2899" s="16" t="inlineStr">
        <is>
          <t>Token acquired against PingFederate successfully; obtainedScope reflects granted scope; downstream request returns 200; refresh path (if returned) works on next expiry.</t>
        </is>
      </c>
      <c r="J2899" s="16" t="inlineStr"/>
      <c r="K2899" s="16" t="inlineStr">
        <is>
          <t>Not Run</t>
        </is>
      </c>
      <c r="L2899" s="16" t="inlineStr">
        <is>
          <t>Low</t>
        </is>
      </c>
      <c r="M2899" s="16" t="inlineStr"/>
      <c r="N2899" s="16" t="inlineStr"/>
      <c r="O2899" s="16" t="inlineStr"/>
    </row>
    <row r="2900" ht="72" customHeight="1">
      <c r="A2900" s="16" t="inlineStr">
        <is>
          <t>TC-OI-0063</t>
        </is>
      </c>
      <c r="B2900" s="16" t="inlineStr">
        <is>
          <t>OAuth2 IdP Compatibility</t>
        </is>
      </c>
      <c r="C2900" s="16" t="inlineStr">
        <is>
          <t>PingFederate</t>
        </is>
      </c>
      <c r="D2900" s="16" t="inlineStr">
        <is>
          <t>Compatibility</t>
        </is>
      </c>
      <c r="E2900" s="16" t="inlineStr">
        <is>
          <t>OAuth2 against PingFederate using implicit</t>
        </is>
      </c>
      <c r="F2900" s="16" t="inlineStr">
        <is>
          <t>OAuth2 credentials for the IdP.</t>
        </is>
      </c>
      <c r="G2900" s="16" t="inlineStr">
        <is>
          <t>1. Configure OAuth2: authUrl/tokenUrl per PingFederate; clientId/secret/scope.
2. Initiate implicit.
3. Approve in IdP UI (or supply credentials for non-interactive grants).
4. Verify access_token + (optional refresh_token) stored.
5. Send a downstream protected request.</t>
        </is>
      </c>
      <c r="H2900" s="16" t="inlineStr">
        <is>
          <t>idp=PingFederate grant=implicit</t>
        </is>
      </c>
      <c r="I2900" s="16" t="inlineStr">
        <is>
          <t>Token acquired against PingFederate successfully; obtainedScope reflects granted scope; downstream request returns 200; refresh path (if returned) works on next expiry.</t>
        </is>
      </c>
      <c r="J2900" s="16" t="inlineStr"/>
      <c r="K2900" s="16" t="inlineStr">
        <is>
          <t>Not Run</t>
        </is>
      </c>
      <c r="L2900" s="16" t="inlineStr">
        <is>
          <t>Low</t>
        </is>
      </c>
      <c r="M2900" s="16" t="inlineStr"/>
      <c r="N2900" s="16" t="inlineStr"/>
      <c r="O2900" s="16" t="inlineStr"/>
    </row>
    <row r="2901" ht="72" customHeight="1">
      <c r="A2901" s="16" t="inlineStr">
        <is>
          <t>TC-OI-0064</t>
        </is>
      </c>
      <c r="B2901" s="16" t="inlineStr">
        <is>
          <t>OAuth2 IdP Compatibility</t>
        </is>
      </c>
      <c r="C2901" s="16" t="inlineStr">
        <is>
          <t>Generic OIDC</t>
        </is>
      </c>
      <c r="D2901" s="16" t="inlineStr">
        <is>
          <t>Compatibility</t>
        </is>
      </c>
      <c r="E2901" s="16" t="inlineStr">
        <is>
          <t>OAuth2 against Generic OIDC using client_credentials</t>
        </is>
      </c>
      <c r="F2901" s="16" t="inlineStr">
        <is>
          <t>OAuth2 credentials for the IdP.</t>
        </is>
      </c>
      <c r="G2901" s="16" t="inlineStr">
        <is>
          <t>1. Configure OAuth2: authUrl/tokenUrl per Generic OIDC; clientId/secret/scope.
2. Initiate client_credentials.
3. Approve in IdP UI (or supply credentials for non-interactive grants).
4. Verify access_token + (optional refresh_token) stored.
5. Send a downstream protected request.</t>
        </is>
      </c>
      <c r="H2901" s="16" t="inlineStr">
        <is>
          <t>idp=Generic OIDC grant=client_credentials</t>
        </is>
      </c>
      <c r="I2901" s="16" t="inlineStr">
        <is>
          <t>Token acquired against Generic OIDC successfully; obtainedScope reflects granted scope; downstream request returns 200; refresh path (if returned) works on next expiry.</t>
        </is>
      </c>
      <c r="J2901" s="16" t="inlineStr"/>
      <c r="K2901" s="16" t="inlineStr">
        <is>
          <t>Not Run</t>
        </is>
      </c>
      <c r="L2901" s="16" t="inlineStr">
        <is>
          <t>Medium</t>
        </is>
      </c>
      <c r="M2901" s="16" t="inlineStr"/>
      <c r="N2901" s="16" t="inlineStr"/>
      <c r="O2901" s="16" t="inlineStr"/>
    </row>
    <row r="2902" ht="72" customHeight="1">
      <c r="A2902" s="16" t="inlineStr">
        <is>
          <t>TC-OI-0065</t>
        </is>
      </c>
      <c r="B2902" s="16" t="inlineStr">
        <is>
          <t>OAuth2 IdP Compatibility</t>
        </is>
      </c>
      <c r="C2902" s="16" t="inlineStr">
        <is>
          <t>Generic OIDC</t>
        </is>
      </c>
      <c r="D2902" s="16" t="inlineStr">
        <is>
          <t>Compatibility</t>
        </is>
      </c>
      <c r="E2902" s="16" t="inlineStr">
        <is>
          <t>OAuth2 against Generic OIDC using authorization_code</t>
        </is>
      </c>
      <c r="F2902" s="16" t="inlineStr">
        <is>
          <t>OAuth2 credentials for the IdP.</t>
        </is>
      </c>
      <c r="G2902" s="16" t="inlineStr">
        <is>
          <t>1. Configure OAuth2: authUrl/tokenUrl per Generic OIDC; clientId/secret/scope.
2. Initiate authorization_code.
3. Approve in IdP UI (or supply credentials for non-interactive grants).
4. Verify access_token + (optional refresh_token) stored.
5. Send a downstream protected request.</t>
        </is>
      </c>
      <c r="H2902" s="16" t="inlineStr">
        <is>
          <t>idp=Generic OIDC grant=authorization_code</t>
        </is>
      </c>
      <c r="I2902" s="16" t="inlineStr">
        <is>
          <t>Token acquired against Generic OIDC successfully; obtainedScope reflects granted scope; downstream request returns 200; refresh path (if returned) works on next expiry.</t>
        </is>
      </c>
      <c r="J2902" s="16" t="inlineStr"/>
      <c r="K2902" s="16" t="inlineStr">
        <is>
          <t>Not Run</t>
        </is>
      </c>
      <c r="L2902" s="16" t="inlineStr">
        <is>
          <t>Medium</t>
        </is>
      </c>
      <c r="M2902" s="16" t="inlineStr"/>
      <c r="N2902" s="16" t="inlineStr"/>
      <c r="O2902" s="16" t="inlineStr"/>
    </row>
    <row r="2903" ht="72" customHeight="1">
      <c r="A2903" s="16" t="inlineStr">
        <is>
          <t>TC-OI-0066</t>
        </is>
      </c>
      <c r="B2903" s="16" t="inlineStr">
        <is>
          <t>OAuth2 IdP Compatibility</t>
        </is>
      </c>
      <c r="C2903" s="16" t="inlineStr">
        <is>
          <t>Generic OIDC</t>
        </is>
      </c>
      <c r="D2903" s="16" t="inlineStr">
        <is>
          <t>Compatibility</t>
        </is>
      </c>
      <c r="E2903" s="16" t="inlineStr">
        <is>
          <t>OAuth2 against Generic OIDC using authorization_code+PKCE</t>
        </is>
      </c>
      <c r="F2903" s="16" t="inlineStr">
        <is>
          <t>OAuth2 credentials for the IdP.</t>
        </is>
      </c>
      <c r="G2903" s="16" t="inlineStr">
        <is>
          <t>1. Configure OAuth2: authUrl/tokenUrl per Generic OIDC; clientId/secret/scope.
2. Initiate authorization_code+PKCE.
3. Approve in IdP UI (or supply credentials for non-interactive grants).
4. Verify access_token + (optional refresh_token) stored.
5. Send a downstream protected request.</t>
        </is>
      </c>
      <c r="H2903" s="16" t="inlineStr">
        <is>
          <t>idp=Generic OIDC grant=authorization_code+PKCE</t>
        </is>
      </c>
      <c r="I2903" s="16" t="inlineStr">
        <is>
          <t>Token acquired against Generic OIDC successfully; obtainedScope reflects granted scope; downstream request returns 200; refresh path (if returned) works on next expiry.</t>
        </is>
      </c>
      <c r="J2903" s="16" t="inlineStr"/>
      <c r="K2903" s="16" t="inlineStr">
        <is>
          <t>Not Run</t>
        </is>
      </c>
      <c r="L2903" s="16" t="inlineStr">
        <is>
          <t>Medium</t>
        </is>
      </c>
      <c r="M2903" s="16" t="inlineStr"/>
      <c r="N2903" s="16" t="inlineStr"/>
      <c r="O2903" s="16" t="inlineStr"/>
    </row>
    <row r="2904" ht="72" customHeight="1">
      <c r="A2904" s="16" t="inlineStr">
        <is>
          <t>TC-OI-0067</t>
        </is>
      </c>
      <c r="B2904" s="16" t="inlineStr">
        <is>
          <t>OAuth2 IdP Compatibility</t>
        </is>
      </c>
      <c r="C2904" s="16" t="inlineStr">
        <is>
          <t>Generic OIDC</t>
        </is>
      </c>
      <c r="D2904" s="16" t="inlineStr">
        <is>
          <t>Compatibility</t>
        </is>
      </c>
      <c r="E2904" s="16" t="inlineStr">
        <is>
          <t>OAuth2 against Generic OIDC using password</t>
        </is>
      </c>
      <c r="F2904" s="16" t="inlineStr">
        <is>
          <t>OAuth2 credentials for the IdP.</t>
        </is>
      </c>
      <c r="G2904" s="16" t="inlineStr">
        <is>
          <t>1. Configure OAuth2: authUrl/tokenUrl per Generic OIDC; clientId/secret/scope.
2. Initiate password.
3. Approve in IdP UI (or supply credentials for non-interactive grants).
4. Verify access_token + (optional refresh_token) stored.
5. Send a downstream protected request.</t>
        </is>
      </c>
      <c r="H2904" s="16" t="inlineStr">
        <is>
          <t>idp=Generic OIDC grant=password</t>
        </is>
      </c>
      <c r="I2904" s="16" t="inlineStr">
        <is>
          <t>Token acquired against Generic OIDC successfully; obtainedScope reflects granted scope; downstream request returns 200; refresh path (if returned) works on next expiry.</t>
        </is>
      </c>
      <c r="J2904" s="16" t="inlineStr"/>
      <c r="K2904" s="16" t="inlineStr">
        <is>
          <t>Not Run</t>
        </is>
      </c>
      <c r="L2904" s="16" t="inlineStr">
        <is>
          <t>Medium</t>
        </is>
      </c>
      <c r="M2904" s="16" t="inlineStr"/>
      <c r="N2904" s="16" t="inlineStr"/>
      <c r="O2904" s="16" t="inlineStr"/>
    </row>
    <row r="2905" ht="72" customHeight="1">
      <c r="A2905" s="16" t="inlineStr">
        <is>
          <t>TC-OI-0068</t>
        </is>
      </c>
      <c r="B2905" s="16" t="inlineStr">
        <is>
          <t>OAuth2 IdP Compatibility</t>
        </is>
      </c>
      <c r="C2905" s="16" t="inlineStr">
        <is>
          <t>Generic OIDC</t>
        </is>
      </c>
      <c r="D2905" s="16" t="inlineStr">
        <is>
          <t>Compatibility</t>
        </is>
      </c>
      <c r="E2905" s="16" t="inlineStr">
        <is>
          <t>OAuth2 against Generic OIDC using device_code</t>
        </is>
      </c>
      <c r="F2905" s="16" t="inlineStr">
        <is>
          <t>OAuth2 credentials for the IdP.</t>
        </is>
      </c>
      <c r="G2905" s="16" t="inlineStr">
        <is>
          <t>1. Configure OAuth2: authUrl/tokenUrl per Generic OIDC; clientId/secret/scope.
2. Initiate device_code.
3. Approve in IdP UI (or supply credentials for non-interactive grants).
4. Verify access_token + (optional refresh_token) stored.
5. Send a downstream protected request.</t>
        </is>
      </c>
      <c r="H2905" s="16" t="inlineStr">
        <is>
          <t>idp=Generic OIDC grant=device_code</t>
        </is>
      </c>
      <c r="I2905" s="16" t="inlineStr">
        <is>
          <t>Token acquired against Generic OIDC successfully; obtainedScope reflects granted scope; downstream request returns 200; refresh path (if returned) works on next expiry. Device flow user_code displayed; polling respected; activation works.</t>
        </is>
      </c>
      <c r="J2905" s="16" t="inlineStr"/>
      <c r="K2905" s="16" t="inlineStr">
        <is>
          <t>Not Run</t>
        </is>
      </c>
      <c r="L2905" s="16" t="inlineStr">
        <is>
          <t>Medium</t>
        </is>
      </c>
      <c r="M2905" s="16" t="inlineStr"/>
      <c r="N2905" s="16" t="inlineStr"/>
      <c r="O2905" s="16" t="inlineStr"/>
    </row>
    <row r="2906" ht="72" customHeight="1">
      <c r="A2906" s="16" t="inlineStr">
        <is>
          <t>TC-OI-0069</t>
        </is>
      </c>
      <c r="B2906" s="16" t="inlineStr">
        <is>
          <t>OAuth2 IdP Compatibility</t>
        </is>
      </c>
      <c r="C2906" s="16" t="inlineStr">
        <is>
          <t>Generic OIDC</t>
        </is>
      </c>
      <c r="D2906" s="16" t="inlineStr">
        <is>
          <t>Compatibility</t>
        </is>
      </c>
      <c r="E2906" s="16" t="inlineStr">
        <is>
          <t>OAuth2 against Generic OIDC using refresh_token</t>
        </is>
      </c>
      <c r="F2906" s="16" t="inlineStr">
        <is>
          <t>OAuth2 credentials for the IdP.</t>
        </is>
      </c>
      <c r="G2906" s="16" t="inlineStr">
        <is>
          <t>1. Configure OAuth2: authUrl/tokenUrl per Generic OIDC; clientId/secret/scope.
2. Initiate refresh_token.
3. Approve in IdP UI (or supply credentials for non-interactive grants).
4. Verify access_token + (optional refresh_token) stored.
5. Send a downstream protected request.</t>
        </is>
      </c>
      <c r="H2906" s="16" t="inlineStr">
        <is>
          <t>idp=Generic OIDC grant=refresh_token</t>
        </is>
      </c>
      <c r="I2906" s="16" t="inlineStr">
        <is>
          <t>Token acquired against Generic OIDC successfully; obtainedScope reflects granted scope; downstream request returns 200; refresh path (if returned) works on next expiry.</t>
        </is>
      </c>
      <c r="J2906" s="16" t="inlineStr"/>
      <c r="K2906" s="16" t="inlineStr">
        <is>
          <t>Not Run</t>
        </is>
      </c>
      <c r="L2906" s="16" t="inlineStr">
        <is>
          <t>Medium</t>
        </is>
      </c>
      <c r="M2906" s="16" t="inlineStr"/>
      <c r="N2906" s="16" t="inlineStr"/>
      <c r="O2906" s="16" t="inlineStr"/>
    </row>
    <row r="2907" ht="72" customHeight="1">
      <c r="A2907" s="16" t="inlineStr">
        <is>
          <t>TC-OI-0070</t>
        </is>
      </c>
      <c r="B2907" s="16" t="inlineStr">
        <is>
          <t>OAuth2 IdP Compatibility</t>
        </is>
      </c>
      <c r="C2907" s="16" t="inlineStr">
        <is>
          <t>Generic OIDC</t>
        </is>
      </c>
      <c r="D2907" s="16" t="inlineStr">
        <is>
          <t>Compatibility</t>
        </is>
      </c>
      <c r="E2907" s="16" t="inlineStr">
        <is>
          <t>OAuth2 against Generic OIDC using implicit</t>
        </is>
      </c>
      <c r="F2907" s="16" t="inlineStr">
        <is>
          <t>OAuth2 credentials for the IdP.</t>
        </is>
      </c>
      <c r="G2907" s="16" t="inlineStr">
        <is>
          <t>1. Configure OAuth2: authUrl/tokenUrl per Generic OIDC; clientId/secret/scope.
2. Initiate implicit.
3. Approve in IdP UI (or supply credentials for non-interactive grants).
4. Verify access_token + (optional refresh_token) stored.
5. Send a downstream protected request.</t>
        </is>
      </c>
      <c r="H2907" s="16" t="inlineStr">
        <is>
          <t>idp=Generic OIDC grant=implicit</t>
        </is>
      </c>
      <c r="I2907" s="16" t="inlineStr">
        <is>
          <t>Token acquired against Generic OIDC successfully; obtainedScope reflects granted scope; downstream request returns 200; refresh path (if returned) works on next expiry.</t>
        </is>
      </c>
      <c r="J2907" s="16" t="inlineStr"/>
      <c r="K2907" s="16" t="inlineStr">
        <is>
          <t>Not Run</t>
        </is>
      </c>
      <c r="L2907" s="16" t="inlineStr">
        <is>
          <t>Medium</t>
        </is>
      </c>
      <c r="M2907" s="16" t="inlineStr"/>
      <c r="N2907" s="16" t="inlineStr"/>
      <c r="O2907" s="16" t="inlineStr"/>
    </row>
    <row r="2908" ht="72" customHeight="1">
      <c r="A2908" s="16" t="inlineStr">
        <is>
          <t>TC-NS-0001</t>
        </is>
      </c>
      <c r="B2908" s="16" t="inlineStr">
        <is>
          <t>Network Security / TLS</t>
        </is>
      </c>
      <c r="C2908" s="16" t="inlineStr">
        <is>
          <t>TLS</t>
        </is>
      </c>
      <c r="D2908" s="16" t="inlineStr">
        <is>
          <t>Functional</t>
        </is>
      </c>
      <c r="E2908" s="16" t="inlineStr">
        <is>
          <t>TLS: Valid HTTPS cert</t>
        </is>
      </c>
      <c r="F2908" s="16" t="inlineStr">
        <is>
          <t>-</t>
        </is>
      </c>
      <c r="G2908" s="16" t="inlineStr">
        <is>
          <t>1. Send to https endpoint with valid cert.</t>
        </is>
      </c>
      <c r="H2908" s="16" t="inlineStr">
        <is>
          <t>Valid HTTPS cert</t>
        </is>
      </c>
      <c r="I2908" s="16" t="inlineStr">
        <is>
          <t>200; lock badge shown if any.</t>
        </is>
      </c>
      <c r="J2908" s="16" t="inlineStr"/>
      <c r="K2908" s="16" t="inlineStr">
        <is>
          <t>Not Run</t>
        </is>
      </c>
      <c r="L2908" s="16" t="inlineStr">
        <is>
          <t>High</t>
        </is>
      </c>
      <c r="M2908" s="16" t="inlineStr"/>
      <c r="N2908" s="16" t="inlineStr"/>
      <c r="O2908" s="16" t="inlineStr"/>
    </row>
    <row r="2909" ht="72" customHeight="1">
      <c r="A2909" s="16" t="inlineStr">
        <is>
          <t>TC-NS-0002</t>
        </is>
      </c>
      <c r="B2909" s="16" t="inlineStr">
        <is>
          <t>Network Security / TLS</t>
        </is>
      </c>
      <c r="C2909" s="16" t="inlineStr">
        <is>
          <t>TLS</t>
        </is>
      </c>
      <c r="D2909" s="16" t="inlineStr">
        <is>
          <t>Negative</t>
        </is>
      </c>
      <c r="E2909" s="16" t="inlineStr">
        <is>
          <t>TLS: Self-signed cert</t>
        </is>
      </c>
      <c r="F2909" s="16" t="inlineStr">
        <is>
          <t>-</t>
        </is>
      </c>
      <c r="G2909" s="16" t="inlineStr">
        <is>
          <t>1. Send to self-signed.</t>
        </is>
      </c>
      <c r="H2909" s="16" t="inlineStr">
        <is>
          <t>Self-signed cert</t>
        </is>
      </c>
      <c r="I2909" s="16" t="inlineStr">
        <is>
          <t>Error with cert details; allow-once option (if implemented).</t>
        </is>
      </c>
      <c r="J2909" s="16" t="inlineStr"/>
      <c r="K2909" s="16" t="inlineStr">
        <is>
          <t>Not Run</t>
        </is>
      </c>
      <c r="L2909" s="16" t="inlineStr">
        <is>
          <t>High</t>
        </is>
      </c>
      <c r="M2909" s="16" t="inlineStr"/>
      <c r="N2909" s="16" t="inlineStr"/>
      <c r="O2909" s="16" t="inlineStr"/>
    </row>
    <row r="2910" ht="72" customHeight="1">
      <c r="A2910" s="16" t="inlineStr">
        <is>
          <t>TC-NS-0003</t>
        </is>
      </c>
      <c r="B2910" s="16" t="inlineStr">
        <is>
          <t>Network Security / TLS</t>
        </is>
      </c>
      <c r="C2910" s="16" t="inlineStr">
        <is>
          <t>TLS</t>
        </is>
      </c>
      <c r="D2910" s="16" t="inlineStr">
        <is>
          <t>Negative</t>
        </is>
      </c>
      <c r="E2910" s="16" t="inlineStr">
        <is>
          <t>TLS: Expired cert</t>
        </is>
      </c>
      <c r="F2910" s="16" t="inlineStr">
        <is>
          <t>-</t>
        </is>
      </c>
      <c r="G2910" s="16" t="inlineStr">
        <is>
          <t>1. Send.</t>
        </is>
      </c>
      <c r="H2910" s="16" t="inlineStr">
        <is>
          <t>Expired cert</t>
        </is>
      </c>
      <c r="I2910" s="16" t="inlineStr">
        <is>
          <t>Clear error 'certificate expired'.</t>
        </is>
      </c>
      <c r="J2910" s="16" t="inlineStr"/>
      <c r="K2910" s="16" t="inlineStr">
        <is>
          <t>Not Run</t>
        </is>
      </c>
      <c r="L2910" s="16" t="inlineStr">
        <is>
          <t>High</t>
        </is>
      </c>
      <c r="M2910" s="16" t="inlineStr"/>
      <c r="N2910" s="16" t="inlineStr"/>
      <c r="O2910" s="16" t="inlineStr"/>
    </row>
    <row r="2911" ht="72" customHeight="1">
      <c r="A2911" s="16" t="inlineStr">
        <is>
          <t>TC-NS-0004</t>
        </is>
      </c>
      <c r="B2911" s="16" t="inlineStr">
        <is>
          <t>Network Security / TLS</t>
        </is>
      </c>
      <c r="C2911" s="16" t="inlineStr">
        <is>
          <t>TLS</t>
        </is>
      </c>
      <c r="D2911" s="16" t="inlineStr">
        <is>
          <t>Negative</t>
        </is>
      </c>
      <c r="E2911" s="16" t="inlineStr">
        <is>
          <t>TLS: Hostname mismatch (SNI)</t>
        </is>
      </c>
      <c r="F2911" s="16" t="inlineStr">
        <is>
          <t>-</t>
        </is>
      </c>
      <c r="G2911" s="16" t="inlineStr">
        <is>
          <t>1. Send to cert valid for other host.</t>
        </is>
      </c>
      <c r="H2911" s="16" t="inlineStr">
        <is>
          <t>Hostname mismatch (SNI)</t>
        </is>
      </c>
      <c r="I2911" s="16" t="inlineStr">
        <is>
          <t>Error 'hostname mismatch'.</t>
        </is>
      </c>
      <c r="J2911" s="16" t="inlineStr"/>
      <c r="K2911" s="16" t="inlineStr">
        <is>
          <t>Not Run</t>
        </is>
      </c>
      <c r="L2911" s="16" t="inlineStr">
        <is>
          <t>High</t>
        </is>
      </c>
      <c r="M2911" s="16" t="inlineStr"/>
      <c r="N2911" s="16" t="inlineStr"/>
      <c r="O2911" s="16" t="inlineStr"/>
    </row>
    <row r="2912" ht="72" customHeight="1">
      <c r="A2912" s="16" t="inlineStr">
        <is>
          <t>TC-NS-0005</t>
        </is>
      </c>
      <c r="B2912" s="16" t="inlineStr">
        <is>
          <t>Network Security / TLS</t>
        </is>
      </c>
      <c r="C2912" s="16" t="inlineStr">
        <is>
          <t>TLS</t>
        </is>
      </c>
      <c r="D2912" s="16" t="inlineStr">
        <is>
          <t>Edge Case</t>
        </is>
      </c>
      <c r="E2912" s="16" t="inlineStr">
        <is>
          <t>TLS: Revoked cert (OCSP/CRL)</t>
        </is>
      </c>
      <c r="F2912" s="16" t="inlineStr">
        <is>
          <t>-</t>
        </is>
      </c>
      <c r="G2912" s="16" t="inlineStr">
        <is>
          <t>1. Send.</t>
        </is>
      </c>
      <c r="H2912" s="16" t="inlineStr">
        <is>
          <t>Revoked cert (OCSP/CRL)</t>
        </is>
      </c>
      <c r="I2912" s="16" t="inlineStr">
        <is>
          <t>If revocation checked, error; otherwise documented behavior.</t>
        </is>
      </c>
      <c r="J2912" s="16" t="inlineStr"/>
      <c r="K2912" s="16" t="inlineStr">
        <is>
          <t>Not Run</t>
        </is>
      </c>
      <c r="L2912" s="16" t="inlineStr">
        <is>
          <t>Medium</t>
        </is>
      </c>
      <c r="M2912" s="16" t="inlineStr"/>
      <c r="N2912" s="16" t="inlineStr"/>
      <c r="O2912" s="16" t="inlineStr"/>
    </row>
    <row r="2913" ht="72" customHeight="1">
      <c r="A2913" s="16" t="inlineStr">
        <is>
          <t>TC-NS-0006</t>
        </is>
      </c>
      <c r="B2913" s="16" t="inlineStr">
        <is>
          <t>Network Security / TLS</t>
        </is>
      </c>
      <c r="C2913" s="16" t="inlineStr">
        <is>
          <t>TLS</t>
        </is>
      </c>
      <c r="D2913" s="16" t="inlineStr">
        <is>
          <t>Negative</t>
        </is>
      </c>
      <c r="E2913" s="16" t="inlineStr">
        <is>
          <t>TLS: TLS 1.0 endpoint (deprecated)</t>
        </is>
      </c>
      <c r="F2913" s="16" t="inlineStr">
        <is>
          <t>-</t>
        </is>
      </c>
      <c r="G2913" s="16" t="inlineStr">
        <is>
          <t>1. Send.</t>
        </is>
      </c>
      <c r="H2913" s="16" t="inlineStr">
        <is>
          <t>TLS 1.0 endpoint (deprecated)</t>
        </is>
      </c>
      <c r="I2913" s="16" t="inlineStr">
        <is>
          <t>Either upgraded to 1.2+ or refused; clear message.</t>
        </is>
      </c>
      <c r="J2913" s="16" t="inlineStr"/>
      <c r="K2913" s="16" t="inlineStr">
        <is>
          <t>Not Run</t>
        </is>
      </c>
      <c r="L2913" s="16" t="inlineStr">
        <is>
          <t>Medium</t>
        </is>
      </c>
      <c r="M2913" s="16" t="inlineStr"/>
      <c r="N2913" s="16" t="inlineStr"/>
      <c r="O2913" s="16" t="inlineStr"/>
    </row>
    <row r="2914" ht="72" customHeight="1">
      <c r="A2914" s="16" t="inlineStr">
        <is>
          <t>TC-NS-0007</t>
        </is>
      </c>
      <c r="B2914" s="16" t="inlineStr">
        <is>
          <t>Network Security / TLS</t>
        </is>
      </c>
      <c r="C2914" s="16" t="inlineStr">
        <is>
          <t>TLS</t>
        </is>
      </c>
      <c r="D2914" s="16" t="inlineStr">
        <is>
          <t>Functional</t>
        </is>
      </c>
      <c r="E2914" s="16" t="inlineStr">
        <is>
          <t>TLS: TLS 1.2 endpoint</t>
        </is>
      </c>
      <c r="F2914" s="16" t="inlineStr">
        <is>
          <t>-</t>
        </is>
      </c>
      <c r="G2914" s="16" t="inlineStr">
        <is>
          <t>1. Send.</t>
        </is>
      </c>
      <c r="H2914" s="16" t="inlineStr">
        <is>
          <t>TLS 1.2 endpoint</t>
        </is>
      </c>
      <c r="I2914" s="16" t="inlineStr">
        <is>
          <t>200.</t>
        </is>
      </c>
      <c r="J2914" s="16" t="inlineStr"/>
      <c r="K2914" s="16" t="inlineStr">
        <is>
          <t>Not Run</t>
        </is>
      </c>
      <c r="L2914" s="16" t="inlineStr">
        <is>
          <t>High</t>
        </is>
      </c>
      <c r="M2914" s="16" t="inlineStr"/>
      <c r="N2914" s="16" t="inlineStr"/>
      <c r="O2914" s="16" t="inlineStr"/>
    </row>
    <row r="2915" ht="72" customHeight="1">
      <c r="A2915" s="16" t="inlineStr">
        <is>
          <t>TC-NS-0008</t>
        </is>
      </c>
      <c r="B2915" s="16" t="inlineStr">
        <is>
          <t>Network Security / TLS</t>
        </is>
      </c>
      <c r="C2915" s="16" t="inlineStr">
        <is>
          <t>TLS</t>
        </is>
      </c>
      <c r="D2915" s="16" t="inlineStr">
        <is>
          <t>Functional</t>
        </is>
      </c>
      <c r="E2915" s="16" t="inlineStr">
        <is>
          <t>TLS: TLS 1.3 endpoint</t>
        </is>
      </c>
      <c r="F2915" s="16" t="inlineStr">
        <is>
          <t>-</t>
        </is>
      </c>
      <c r="G2915" s="16" t="inlineStr">
        <is>
          <t>1. Send.</t>
        </is>
      </c>
      <c r="H2915" s="16" t="inlineStr">
        <is>
          <t>TLS 1.3 endpoint</t>
        </is>
      </c>
      <c r="I2915" s="16" t="inlineStr">
        <is>
          <t>200.</t>
        </is>
      </c>
      <c r="J2915" s="16" t="inlineStr"/>
      <c r="K2915" s="16" t="inlineStr">
        <is>
          <t>Not Run</t>
        </is>
      </c>
      <c r="L2915" s="16" t="inlineStr">
        <is>
          <t>High</t>
        </is>
      </c>
      <c r="M2915" s="16" t="inlineStr"/>
      <c r="N2915" s="16" t="inlineStr"/>
      <c r="O2915" s="16" t="inlineStr"/>
    </row>
    <row r="2916" ht="72" customHeight="1">
      <c r="A2916" s="16" t="inlineStr">
        <is>
          <t>TC-NS-0009</t>
        </is>
      </c>
      <c r="B2916" s="16" t="inlineStr">
        <is>
          <t>Network Security / TLS</t>
        </is>
      </c>
      <c r="C2916" s="16" t="inlineStr">
        <is>
          <t>TLS</t>
        </is>
      </c>
      <c r="D2916" s="16" t="inlineStr">
        <is>
          <t>Functional</t>
        </is>
      </c>
      <c r="E2916" s="16" t="inlineStr">
        <is>
          <t>TLS: Custom CA cert uploaded</t>
        </is>
      </c>
      <c r="F2916" s="16" t="inlineStr">
        <is>
          <t>-</t>
        </is>
      </c>
      <c r="G2916" s="16" t="inlineStr">
        <is>
          <t>1. Upload custom CA; send to internal endpoint.</t>
        </is>
      </c>
      <c r="H2916" s="16" t="inlineStr">
        <is>
          <t>Custom CA cert uploaded</t>
        </is>
      </c>
      <c r="I2916" s="16" t="inlineStr">
        <is>
          <t>Cert chain validates against uploaded CA; 200.</t>
        </is>
      </c>
      <c r="J2916" s="16" t="inlineStr"/>
      <c r="K2916" s="16" t="inlineStr">
        <is>
          <t>Not Run</t>
        </is>
      </c>
      <c r="L2916" s="16" t="inlineStr">
        <is>
          <t>Medium</t>
        </is>
      </c>
      <c r="M2916" s="16" t="inlineStr"/>
      <c r="N2916" s="16" t="inlineStr"/>
      <c r="O2916" s="16" t="inlineStr"/>
    </row>
    <row r="2917" ht="72" customHeight="1">
      <c r="A2917" s="16" t="inlineStr">
        <is>
          <t>TC-NS-0010</t>
        </is>
      </c>
      <c r="B2917" s="16" t="inlineStr">
        <is>
          <t>Network Security / TLS</t>
        </is>
      </c>
      <c r="C2917" s="16" t="inlineStr">
        <is>
          <t>TLS</t>
        </is>
      </c>
      <c r="D2917" s="16" t="inlineStr">
        <is>
          <t>Edge Case</t>
        </is>
      </c>
      <c r="E2917" s="16" t="inlineStr">
        <is>
          <t>TLS: Per-request 'allow insecure'</t>
        </is>
      </c>
      <c r="F2917" s="16" t="inlineStr">
        <is>
          <t>-</t>
        </is>
      </c>
      <c r="G2917" s="16" t="inlineStr">
        <is>
          <t>1. Enable insecure flag; send to self-signed.</t>
        </is>
      </c>
      <c r="H2917" s="16" t="inlineStr">
        <is>
          <t>Per-request 'allow insecure'</t>
        </is>
      </c>
      <c r="I2917" s="16" t="inlineStr">
        <is>
          <t>Bypass with explicit user opt-in; visual warning shown.</t>
        </is>
      </c>
      <c r="J2917" s="16" t="inlineStr"/>
      <c r="K2917" s="16" t="inlineStr">
        <is>
          <t>Not Run</t>
        </is>
      </c>
      <c r="L2917" s="16" t="inlineStr">
        <is>
          <t>Medium</t>
        </is>
      </c>
      <c r="M2917" s="16" t="inlineStr"/>
      <c r="N2917" s="16" t="inlineStr"/>
      <c r="O2917" s="16" t="inlineStr"/>
    </row>
    <row r="2918" ht="72" customHeight="1">
      <c r="A2918" s="16" t="inlineStr">
        <is>
          <t>TC-NS-0011</t>
        </is>
      </c>
      <c r="B2918" s="16" t="inlineStr">
        <is>
          <t>Network Security / TLS</t>
        </is>
      </c>
      <c r="C2918" s="16" t="inlineStr">
        <is>
          <t>TLS</t>
        </is>
      </c>
      <c r="D2918" s="16" t="inlineStr">
        <is>
          <t>Functional</t>
        </is>
      </c>
      <c r="E2918" s="16" t="inlineStr">
        <is>
          <t>TLS: mTLS with client cert</t>
        </is>
      </c>
      <c r="F2918" s="16" t="inlineStr">
        <is>
          <t>-</t>
        </is>
      </c>
      <c r="G2918" s="16" t="inlineStr">
        <is>
          <t>1. Configure mTLS cert; send to mTLS endpoint.</t>
        </is>
      </c>
      <c r="H2918" s="16" t="inlineStr">
        <is>
          <t>mTLS with client cert</t>
        </is>
      </c>
      <c r="I2918" s="16" t="inlineStr">
        <is>
          <t>Client cert presented; 200.</t>
        </is>
      </c>
      <c r="J2918" s="16" t="inlineStr"/>
      <c r="K2918" s="16" t="inlineStr">
        <is>
          <t>Not Run</t>
        </is>
      </c>
      <c r="L2918" s="16" t="inlineStr">
        <is>
          <t>Medium</t>
        </is>
      </c>
      <c r="M2918" s="16" t="inlineStr"/>
      <c r="N2918" s="16" t="inlineStr"/>
      <c r="O2918" s="16" t="inlineStr"/>
    </row>
    <row r="2919" ht="72" customHeight="1">
      <c r="A2919" s="16" t="inlineStr">
        <is>
          <t>TC-NS-0012</t>
        </is>
      </c>
      <c r="B2919" s="16" t="inlineStr">
        <is>
          <t>Network Security / TLS</t>
        </is>
      </c>
      <c r="C2919" s="16" t="inlineStr">
        <is>
          <t>TLS</t>
        </is>
      </c>
      <c r="D2919" s="16" t="inlineStr">
        <is>
          <t>Negative</t>
        </is>
      </c>
      <c r="E2919" s="16" t="inlineStr">
        <is>
          <t>TLS: mTLS missing client cert</t>
        </is>
      </c>
      <c r="F2919" s="16" t="inlineStr">
        <is>
          <t>-</t>
        </is>
      </c>
      <c r="G2919" s="16" t="inlineStr">
        <is>
          <t>1. mTLS required; no cert.</t>
        </is>
      </c>
      <c r="H2919" s="16" t="inlineStr">
        <is>
          <t>mTLS missing client cert</t>
        </is>
      </c>
      <c r="I2919" s="16" t="inlineStr">
        <is>
          <t>Server returns 400/403; clear error.</t>
        </is>
      </c>
      <c r="J2919" s="16" t="inlineStr"/>
      <c r="K2919" s="16" t="inlineStr">
        <is>
          <t>Not Run</t>
        </is>
      </c>
      <c r="L2919" s="16" t="inlineStr">
        <is>
          <t>Medium</t>
        </is>
      </c>
      <c r="M2919" s="16" t="inlineStr"/>
      <c r="N2919" s="16" t="inlineStr"/>
      <c r="O2919" s="16" t="inlineStr"/>
    </row>
    <row r="2920" ht="72" customHeight="1">
      <c r="A2920" s="16" t="inlineStr">
        <is>
          <t>TC-NS-0013</t>
        </is>
      </c>
      <c r="B2920" s="16" t="inlineStr">
        <is>
          <t>Network Security / TLS</t>
        </is>
      </c>
      <c r="C2920" s="16" t="inlineStr">
        <is>
          <t>TLS</t>
        </is>
      </c>
      <c r="D2920" s="16" t="inlineStr">
        <is>
          <t>Edge Case</t>
        </is>
      </c>
      <c r="E2920" s="16" t="inlineStr">
        <is>
          <t>TLS: Cipher suite restrictions</t>
        </is>
      </c>
      <c r="F2920" s="16" t="inlineStr">
        <is>
          <t>-</t>
        </is>
      </c>
      <c r="G2920" s="16" t="inlineStr">
        <is>
          <t>1. Server only supports older ciphers.</t>
        </is>
      </c>
      <c r="H2920" s="16" t="inlineStr">
        <is>
          <t>Cipher suite restrictions</t>
        </is>
      </c>
      <c r="I2920" s="16" t="inlineStr">
        <is>
          <t>App connects or refuses per OpenSSL defaults; documented.</t>
        </is>
      </c>
      <c r="J2920" s="16" t="inlineStr"/>
      <c r="K2920" s="16" t="inlineStr">
        <is>
          <t>Not Run</t>
        </is>
      </c>
      <c r="L2920" s="16" t="inlineStr">
        <is>
          <t>Low</t>
        </is>
      </c>
      <c r="M2920" s="16" t="inlineStr"/>
      <c r="N2920" s="16" t="inlineStr"/>
      <c r="O2920" s="16" t="inlineStr"/>
    </row>
    <row r="2921" ht="72" customHeight="1">
      <c r="A2921" s="16" t="inlineStr">
        <is>
          <t>TC-NS-0014</t>
        </is>
      </c>
      <c r="B2921" s="16" t="inlineStr">
        <is>
          <t>Network Security / TLS</t>
        </is>
      </c>
      <c r="C2921" s="16" t="inlineStr">
        <is>
          <t>TLS</t>
        </is>
      </c>
      <c r="D2921" s="16" t="inlineStr">
        <is>
          <t>Compatibility</t>
        </is>
      </c>
      <c r="E2921" s="16" t="inlineStr">
        <is>
          <t>TLS: Certificate transparency logs (CT)</t>
        </is>
      </c>
      <c r="F2921" s="16" t="inlineStr">
        <is>
          <t>-</t>
        </is>
      </c>
      <c r="G2921" s="16" t="inlineStr">
        <is>
          <t>1. Send to CT-mandated endpoint.</t>
        </is>
      </c>
      <c r="H2921" s="16" t="inlineStr">
        <is>
          <t>Certificate transparency logs (CT)</t>
        </is>
      </c>
      <c r="I2921" s="16" t="inlineStr">
        <is>
          <t>Connection works if CT honored.</t>
        </is>
      </c>
      <c r="J2921" s="16" t="inlineStr"/>
      <c r="K2921" s="16" t="inlineStr">
        <is>
          <t>Not Run</t>
        </is>
      </c>
      <c r="L2921" s="16" t="inlineStr">
        <is>
          <t>Low</t>
        </is>
      </c>
      <c r="M2921" s="16" t="inlineStr"/>
      <c r="N2921" s="16" t="inlineStr"/>
      <c r="O2921" s="16" t="inlineStr"/>
    </row>
    <row r="2922" ht="72" customHeight="1">
      <c r="A2922" s="16" t="inlineStr">
        <is>
          <t>TC-NS-0015</t>
        </is>
      </c>
      <c r="B2922" s="16" t="inlineStr">
        <is>
          <t>Network Security / TLS</t>
        </is>
      </c>
      <c r="C2922" s="16" t="inlineStr">
        <is>
          <t>TLS</t>
        </is>
      </c>
      <c r="D2922" s="16" t="inlineStr">
        <is>
          <t>Compatibility</t>
        </is>
      </c>
      <c r="E2922" s="16" t="inlineStr">
        <is>
          <t>TLS: DNS-over-HTTPS (DoH)</t>
        </is>
      </c>
      <c r="F2922" s="16" t="inlineStr">
        <is>
          <t>-</t>
        </is>
      </c>
      <c r="G2922" s="16" t="inlineStr">
        <is>
          <t>1. If app supports DoH.</t>
        </is>
      </c>
      <c r="H2922" s="16" t="inlineStr">
        <is>
          <t>DNS-over-HTTPS (DoH)</t>
        </is>
      </c>
      <c r="I2922" s="16" t="inlineStr">
        <is>
          <t>Resolves; otherwise OS DNS.</t>
        </is>
      </c>
      <c r="J2922" s="16" t="inlineStr"/>
      <c r="K2922" s="16" t="inlineStr">
        <is>
          <t>Not Run</t>
        </is>
      </c>
      <c r="L2922" s="16" t="inlineStr">
        <is>
          <t>Low</t>
        </is>
      </c>
      <c r="M2922" s="16" t="inlineStr"/>
      <c r="N2922" s="16" t="inlineStr"/>
      <c r="O2922" s="16" t="inlineStr"/>
    </row>
    <row r="2923" ht="72" customHeight="1">
      <c r="A2923" s="16" t="inlineStr">
        <is>
          <t>TC-NS-0016</t>
        </is>
      </c>
      <c r="B2923" s="16" t="inlineStr">
        <is>
          <t>Network Security / TLS</t>
        </is>
      </c>
      <c r="C2923" s="16" t="inlineStr">
        <is>
          <t>TLS</t>
        </is>
      </c>
      <c r="D2923" s="16" t="inlineStr">
        <is>
          <t>Compatibility</t>
        </is>
      </c>
      <c r="E2923" s="16" t="inlineStr">
        <is>
          <t>TLS: IPv6 endpoint</t>
        </is>
      </c>
      <c r="F2923" s="16" t="inlineStr">
        <is>
          <t>-</t>
        </is>
      </c>
      <c r="G2923" s="16" t="inlineStr">
        <is>
          <t>1. Send to https://[::1]:8443/.</t>
        </is>
      </c>
      <c r="H2923" s="16" t="inlineStr">
        <is>
          <t>IPv6 endpoint</t>
        </is>
      </c>
      <c r="I2923" s="16" t="inlineStr">
        <is>
          <t>Works.</t>
        </is>
      </c>
      <c r="J2923" s="16" t="inlineStr"/>
      <c r="K2923" s="16" t="inlineStr">
        <is>
          <t>Not Run</t>
        </is>
      </c>
      <c r="L2923" s="16" t="inlineStr">
        <is>
          <t>Medium</t>
        </is>
      </c>
      <c r="M2923" s="16" t="inlineStr"/>
      <c r="N2923" s="16" t="inlineStr"/>
      <c r="O2923" s="16" t="inlineStr"/>
    </row>
    <row r="2924" ht="72" customHeight="1">
      <c r="A2924" s="16" t="inlineStr">
        <is>
          <t>TC-NS-0017</t>
        </is>
      </c>
      <c r="B2924" s="16" t="inlineStr">
        <is>
          <t>Network Security / TLS</t>
        </is>
      </c>
      <c r="C2924" s="16" t="inlineStr">
        <is>
          <t>TLS</t>
        </is>
      </c>
      <c r="D2924" s="16" t="inlineStr">
        <is>
          <t>Functional</t>
        </is>
      </c>
      <c r="E2924" s="16" t="inlineStr">
        <is>
          <t>TLS: Endpoint behind Cloudflare / WAF</t>
        </is>
      </c>
      <c r="F2924" s="16" t="inlineStr">
        <is>
          <t>-</t>
        </is>
      </c>
      <c r="G2924" s="16" t="inlineStr">
        <is>
          <t>1. Send.</t>
        </is>
      </c>
      <c r="H2924" s="16" t="inlineStr">
        <is>
          <t>Endpoint behind Cloudflare / WAF</t>
        </is>
      </c>
      <c r="I2924" s="16" t="inlineStr">
        <is>
          <t>Works; potential 403 if WAF triggers - clear feedback.</t>
        </is>
      </c>
      <c r="J2924" s="16" t="inlineStr"/>
      <c r="K2924" s="16" t="inlineStr">
        <is>
          <t>Not Run</t>
        </is>
      </c>
      <c r="L2924" s="16" t="inlineStr">
        <is>
          <t>Medium</t>
        </is>
      </c>
      <c r="M2924" s="16" t="inlineStr"/>
      <c r="N2924" s="16" t="inlineStr"/>
      <c r="O2924" s="16" t="inlineStr"/>
    </row>
    <row r="2925" ht="72" customHeight="1">
      <c r="A2925" s="16" t="inlineStr">
        <is>
          <t>TC-NS-0018</t>
        </is>
      </c>
      <c r="B2925" s="16" t="inlineStr">
        <is>
          <t>Network Security / TLS</t>
        </is>
      </c>
      <c r="C2925" s="16" t="inlineStr">
        <is>
          <t>TLS</t>
        </is>
      </c>
      <c r="D2925" s="16" t="inlineStr">
        <is>
          <t>Functional</t>
        </is>
      </c>
      <c r="E2925" s="16" t="inlineStr">
        <is>
          <t>TLS: Endpoint with HSTS</t>
        </is>
      </c>
      <c r="F2925" s="16" t="inlineStr">
        <is>
          <t>-</t>
        </is>
      </c>
      <c r="G2925" s="16" t="inlineStr">
        <is>
          <t>1. Send http after HSTS pin.</t>
        </is>
      </c>
      <c r="H2925" s="16" t="inlineStr">
        <is>
          <t>Endpoint with HSTS</t>
        </is>
      </c>
      <c r="I2925" s="16" t="inlineStr">
        <is>
          <t>Upgraded to https or honors HSTS per browser/desktop semantics.</t>
        </is>
      </c>
      <c r="J2925" s="16" t="inlineStr"/>
      <c r="K2925" s="16" t="inlineStr">
        <is>
          <t>Not Run</t>
        </is>
      </c>
      <c r="L2925" s="16" t="inlineStr">
        <is>
          <t>Low</t>
        </is>
      </c>
      <c r="M2925" s="16" t="inlineStr"/>
      <c r="N2925" s="16" t="inlineStr"/>
      <c r="O2925" s="16" t="inlineStr"/>
    </row>
    <row r="2926" ht="72" customHeight="1">
      <c r="A2926" s="16" t="inlineStr">
        <is>
          <t>TC-PR-0001</t>
        </is>
      </c>
      <c r="B2926" s="16" t="inlineStr">
        <is>
          <t>Proxy Configuration</t>
        </is>
      </c>
      <c r="C2926" s="16" t="inlineStr">
        <is>
          <t>Proxy</t>
        </is>
      </c>
      <c r="D2926" s="16" t="inlineStr">
        <is>
          <t>Functional</t>
        </is>
      </c>
      <c r="E2926" s="16" t="inlineStr">
        <is>
          <t>Proxy: System proxy (OS-level)</t>
        </is>
      </c>
      <c r="F2926" s="16" t="inlineStr">
        <is>
          <t>-</t>
        </is>
      </c>
      <c r="G2926" s="16" t="inlineStr">
        <is>
          <t>1. Set OS proxy; send.</t>
        </is>
      </c>
      <c r="H2926" s="16" t="inlineStr">
        <is>
          <t>System proxy (OS-level)</t>
        </is>
      </c>
      <c r="I2926" s="16" t="inlineStr">
        <is>
          <t>Honored.</t>
        </is>
      </c>
      <c r="J2926" s="16" t="inlineStr"/>
      <c r="K2926" s="16" t="inlineStr">
        <is>
          <t>Not Run</t>
        </is>
      </c>
      <c r="L2926" s="16" t="inlineStr">
        <is>
          <t>Medium</t>
        </is>
      </c>
      <c r="M2926" s="16" t="inlineStr"/>
      <c r="N2926" s="16" t="inlineStr"/>
      <c r="O2926" s="16" t="inlineStr"/>
    </row>
    <row r="2927" ht="72" customHeight="1">
      <c r="A2927" s="16" t="inlineStr">
        <is>
          <t>TC-PR-0002</t>
        </is>
      </c>
      <c r="B2927" s="16" t="inlineStr">
        <is>
          <t>Proxy Configuration</t>
        </is>
      </c>
      <c r="C2927" s="16" t="inlineStr">
        <is>
          <t>Proxy</t>
        </is>
      </c>
      <c r="D2927" s="16" t="inlineStr">
        <is>
          <t>Functional</t>
        </is>
      </c>
      <c r="E2927" s="16" t="inlineStr">
        <is>
          <t>Proxy: Manual HTTP proxy</t>
        </is>
      </c>
      <c r="F2927" s="16" t="inlineStr">
        <is>
          <t>-</t>
        </is>
      </c>
      <c r="G2927" s="16" t="inlineStr">
        <is>
          <t>1. Configure proxy URL.
2. Send.</t>
        </is>
      </c>
      <c r="H2927" s="16" t="inlineStr">
        <is>
          <t>Manual HTTP proxy</t>
        </is>
      </c>
      <c r="I2927" s="16" t="inlineStr">
        <is>
          <t>Outgoing via proxy.</t>
        </is>
      </c>
      <c r="J2927" s="16" t="inlineStr"/>
      <c r="K2927" s="16" t="inlineStr">
        <is>
          <t>Not Run</t>
        </is>
      </c>
      <c r="L2927" s="16" t="inlineStr">
        <is>
          <t>Medium</t>
        </is>
      </c>
      <c r="M2927" s="16" t="inlineStr"/>
      <c r="N2927" s="16" t="inlineStr"/>
      <c r="O2927" s="16" t="inlineStr"/>
    </row>
    <row r="2928" ht="72" customHeight="1">
      <c r="A2928" s="16" t="inlineStr">
        <is>
          <t>TC-PR-0003</t>
        </is>
      </c>
      <c r="B2928" s="16" t="inlineStr">
        <is>
          <t>Proxy Configuration</t>
        </is>
      </c>
      <c r="C2928" s="16" t="inlineStr">
        <is>
          <t>Proxy</t>
        </is>
      </c>
      <c r="D2928" s="16" t="inlineStr">
        <is>
          <t>Functional</t>
        </is>
      </c>
      <c r="E2928" s="16" t="inlineStr">
        <is>
          <t>Proxy: Manual SOCKS5 proxy</t>
        </is>
      </c>
      <c r="F2928" s="16" t="inlineStr">
        <is>
          <t>-</t>
        </is>
      </c>
      <c r="G2928" s="16" t="inlineStr">
        <is>
          <t>1. SOCKS5 URL.
2. Send.</t>
        </is>
      </c>
      <c r="H2928" s="16" t="inlineStr">
        <is>
          <t>Manual SOCKS5 proxy</t>
        </is>
      </c>
      <c r="I2928" s="16" t="inlineStr">
        <is>
          <t>Works (desktop typically; browser limits).</t>
        </is>
      </c>
      <c r="J2928" s="16" t="inlineStr"/>
      <c r="K2928" s="16" t="inlineStr">
        <is>
          <t>Not Run</t>
        </is>
      </c>
      <c r="L2928" s="16" t="inlineStr">
        <is>
          <t>Medium</t>
        </is>
      </c>
      <c r="M2928" s="16" t="inlineStr"/>
      <c r="N2928" s="16" t="inlineStr"/>
      <c r="O2928" s="16" t="inlineStr"/>
    </row>
    <row r="2929" ht="72" customHeight="1">
      <c r="A2929" s="16" t="inlineStr">
        <is>
          <t>TC-PR-0004</t>
        </is>
      </c>
      <c r="B2929" s="16" t="inlineStr">
        <is>
          <t>Proxy Configuration</t>
        </is>
      </c>
      <c r="C2929" s="16" t="inlineStr">
        <is>
          <t>Proxy</t>
        </is>
      </c>
      <c r="D2929" s="16" t="inlineStr">
        <is>
          <t>Functional</t>
        </is>
      </c>
      <c r="E2929" s="16" t="inlineStr">
        <is>
          <t>Proxy: HTTPS proxy</t>
        </is>
      </c>
      <c r="F2929" s="16" t="inlineStr">
        <is>
          <t>-</t>
        </is>
      </c>
      <c r="G2929" s="16" t="inlineStr">
        <is>
          <t>1. Proxy URL https://.
2. Send.</t>
        </is>
      </c>
      <c r="H2929" s="16" t="inlineStr">
        <is>
          <t>HTTPS proxy</t>
        </is>
      </c>
      <c r="I2929" s="16" t="inlineStr">
        <is>
          <t>CONNECT tunneling; works.</t>
        </is>
      </c>
      <c r="J2929" s="16" t="inlineStr"/>
      <c r="K2929" s="16" t="inlineStr">
        <is>
          <t>Not Run</t>
        </is>
      </c>
      <c r="L2929" s="16" t="inlineStr">
        <is>
          <t>Medium</t>
        </is>
      </c>
      <c r="M2929" s="16" t="inlineStr"/>
      <c r="N2929" s="16" t="inlineStr"/>
      <c r="O2929" s="16" t="inlineStr"/>
    </row>
    <row r="2930" ht="72" customHeight="1">
      <c r="A2930" s="16" t="inlineStr">
        <is>
          <t>TC-PR-0005</t>
        </is>
      </c>
      <c r="B2930" s="16" t="inlineStr">
        <is>
          <t>Proxy Configuration</t>
        </is>
      </c>
      <c r="C2930" s="16" t="inlineStr">
        <is>
          <t>Proxy</t>
        </is>
      </c>
      <c r="D2930" s="16" t="inlineStr">
        <is>
          <t>Functional</t>
        </is>
      </c>
      <c r="E2930" s="16" t="inlineStr">
        <is>
          <t>Proxy: Proxy with Basic auth</t>
        </is>
      </c>
      <c r="F2930" s="16" t="inlineStr">
        <is>
          <t>-</t>
        </is>
      </c>
      <c r="G2930" s="16" t="inlineStr">
        <is>
          <t>1. user:pass@proxy.
2. Send.</t>
        </is>
      </c>
      <c r="H2930" s="16" t="inlineStr">
        <is>
          <t>Proxy with Basic auth</t>
        </is>
      </c>
      <c r="I2930" s="16" t="inlineStr">
        <is>
          <t>407 challenge handled.</t>
        </is>
      </c>
      <c r="J2930" s="16" t="inlineStr"/>
      <c r="K2930" s="16" t="inlineStr">
        <is>
          <t>Not Run</t>
        </is>
      </c>
      <c r="L2930" s="16" t="inlineStr">
        <is>
          <t>Medium</t>
        </is>
      </c>
      <c r="M2930" s="16" t="inlineStr"/>
      <c r="N2930" s="16" t="inlineStr"/>
      <c r="O2930" s="16" t="inlineStr"/>
    </row>
    <row r="2931" ht="72" customHeight="1">
      <c r="A2931" s="16" t="inlineStr">
        <is>
          <t>TC-PR-0006</t>
        </is>
      </c>
      <c r="B2931" s="16" t="inlineStr">
        <is>
          <t>Proxy Configuration</t>
        </is>
      </c>
      <c r="C2931" s="16" t="inlineStr">
        <is>
          <t>Proxy</t>
        </is>
      </c>
      <c r="D2931" s="16" t="inlineStr">
        <is>
          <t>Functional</t>
        </is>
      </c>
      <c r="E2931" s="16" t="inlineStr">
        <is>
          <t>Proxy: Proxy with NTLM auth</t>
        </is>
      </c>
      <c r="F2931" s="16" t="inlineStr">
        <is>
          <t>-</t>
        </is>
      </c>
      <c r="G2931" s="16" t="inlineStr">
        <is>
          <t>1. NTLM proxy.
2. Send.</t>
        </is>
      </c>
      <c r="H2931" s="16" t="inlineStr">
        <is>
          <t>Proxy with NTLM auth</t>
        </is>
      </c>
      <c r="I2931" s="16" t="inlineStr">
        <is>
          <t>Handshake completes (desktop).</t>
        </is>
      </c>
      <c r="J2931" s="16" t="inlineStr"/>
      <c r="K2931" s="16" t="inlineStr">
        <is>
          <t>Not Run</t>
        </is>
      </c>
      <c r="L2931" s="16" t="inlineStr">
        <is>
          <t>Low</t>
        </is>
      </c>
      <c r="M2931" s="16" t="inlineStr"/>
      <c r="N2931" s="16" t="inlineStr"/>
      <c r="O2931" s="16" t="inlineStr"/>
    </row>
    <row r="2932" ht="72" customHeight="1">
      <c r="A2932" s="16" t="inlineStr">
        <is>
          <t>TC-PR-0007</t>
        </is>
      </c>
      <c r="B2932" s="16" t="inlineStr">
        <is>
          <t>Proxy Configuration</t>
        </is>
      </c>
      <c r="C2932" s="16" t="inlineStr">
        <is>
          <t>Proxy</t>
        </is>
      </c>
      <c r="D2932" s="16" t="inlineStr">
        <is>
          <t>Compatibility</t>
        </is>
      </c>
      <c r="E2932" s="16" t="inlineStr">
        <is>
          <t>Proxy: PAC file URL</t>
        </is>
      </c>
      <c r="F2932" s="16" t="inlineStr">
        <is>
          <t>-</t>
        </is>
      </c>
      <c r="G2932" s="16" t="inlineStr">
        <is>
          <t>1. Provide PAC URL.
2. Send.</t>
        </is>
      </c>
      <c r="H2932" s="16" t="inlineStr">
        <is>
          <t>PAC file URL</t>
        </is>
      </c>
      <c r="I2932" s="16" t="inlineStr">
        <is>
          <t>If supported, PAC evaluates per-host; documented if not.</t>
        </is>
      </c>
      <c r="J2932" s="16" t="inlineStr"/>
      <c r="K2932" s="16" t="inlineStr">
        <is>
          <t>Not Run</t>
        </is>
      </c>
      <c r="L2932" s="16" t="inlineStr">
        <is>
          <t>Low</t>
        </is>
      </c>
      <c r="M2932" s="16" t="inlineStr"/>
      <c r="N2932" s="16" t="inlineStr"/>
      <c r="O2932" s="16" t="inlineStr"/>
    </row>
    <row r="2933" ht="72" customHeight="1">
      <c r="A2933" s="16" t="inlineStr">
        <is>
          <t>TC-PR-0008</t>
        </is>
      </c>
      <c r="B2933" s="16" t="inlineStr">
        <is>
          <t>Proxy Configuration</t>
        </is>
      </c>
      <c r="C2933" s="16" t="inlineStr">
        <is>
          <t>Proxy</t>
        </is>
      </c>
      <c r="D2933" s="16" t="inlineStr">
        <is>
          <t>Functional</t>
        </is>
      </c>
      <c r="E2933" s="16" t="inlineStr">
        <is>
          <t>Proxy: Proxy bypass list</t>
        </is>
      </c>
      <c r="F2933" s="16" t="inlineStr">
        <is>
          <t>-</t>
        </is>
      </c>
      <c r="G2933" s="16" t="inlineStr">
        <is>
          <t>1. Configure bypass for *.local.
2. Send to api.local and api.example.com.</t>
        </is>
      </c>
      <c r="H2933" s="16" t="inlineStr">
        <is>
          <t>Proxy bypass list</t>
        </is>
      </c>
      <c r="I2933" s="16" t="inlineStr">
        <is>
          <t>api.local bypasses proxy; example.com uses proxy.</t>
        </is>
      </c>
      <c r="J2933" s="16" t="inlineStr"/>
      <c r="K2933" s="16" t="inlineStr">
        <is>
          <t>Not Run</t>
        </is>
      </c>
      <c r="L2933" s="16" t="inlineStr">
        <is>
          <t>Low</t>
        </is>
      </c>
      <c r="M2933" s="16" t="inlineStr"/>
      <c r="N2933" s="16" t="inlineStr"/>
      <c r="O2933" s="16" t="inlineStr"/>
    </row>
    <row r="2934" ht="72" customHeight="1">
      <c r="A2934" s="16" t="inlineStr">
        <is>
          <t>TC-PR-0009</t>
        </is>
      </c>
      <c r="B2934" s="16" t="inlineStr">
        <is>
          <t>Proxy Configuration</t>
        </is>
      </c>
      <c r="C2934" s="16" t="inlineStr">
        <is>
          <t>Proxy</t>
        </is>
      </c>
      <c r="D2934" s="16" t="inlineStr">
        <is>
          <t>Functional</t>
        </is>
      </c>
      <c r="E2934" s="16" t="inlineStr">
        <is>
          <t>Proxy: Per-request proxy override</t>
        </is>
      </c>
      <c r="F2934" s="16" t="inlineStr">
        <is>
          <t>-</t>
        </is>
      </c>
      <c r="G2934" s="16" t="inlineStr">
        <is>
          <t>1. Request-level proxy.
2. Send.</t>
        </is>
      </c>
      <c r="H2934" s="16" t="inlineStr">
        <is>
          <t>Per-request proxy override</t>
        </is>
      </c>
      <c r="I2934" s="16" t="inlineStr">
        <is>
          <t>Overrides global proxy.</t>
        </is>
      </c>
      <c r="J2934" s="16" t="inlineStr"/>
      <c r="K2934" s="16" t="inlineStr">
        <is>
          <t>Not Run</t>
        </is>
      </c>
      <c r="L2934" s="16" t="inlineStr">
        <is>
          <t>Low</t>
        </is>
      </c>
      <c r="M2934" s="16" t="inlineStr"/>
      <c r="N2934" s="16" t="inlineStr"/>
      <c r="O2934" s="16" t="inlineStr"/>
    </row>
    <row r="2935" ht="72" customHeight="1">
      <c r="A2935" s="16" t="inlineStr">
        <is>
          <t>TC-PR-0010</t>
        </is>
      </c>
      <c r="B2935" s="16" t="inlineStr">
        <is>
          <t>Proxy Configuration</t>
        </is>
      </c>
      <c r="C2935" s="16" t="inlineStr">
        <is>
          <t>Proxy</t>
        </is>
      </c>
      <c r="D2935" s="16" t="inlineStr">
        <is>
          <t>Negative</t>
        </is>
      </c>
      <c r="E2935" s="16" t="inlineStr">
        <is>
          <t>Proxy: Proxy unreachable</t>
        </is>
      </c>
      <c r="F2935" s="16" t="inlineStr">
        <is>
          <t>-</t>
        </is>
      </c>
      <c r="G2935" s="16" t="inlineStr">
        <is>
          <t>1. Invalid proxy host.
2. Send.</t>
        </is>
      </c>
      <c r="H2935" s="16" t="inlineStr">
        <is>
          <t>Proxy unreachable</t>
        </is>
      </c>
      <c r="I2935" s="16" t="inlineStr">
        <is>
          <t>Clear error; not silent timeout.</t>
        </is>
      </c>
      <c r="J2935" s="16" t="inlineStr"/>
      <c r="K2935" s="16" t="inlineStr">
        <is>
          <t>Not Run</t>
        </is>
      </c>
      <c r="L2935" s="16" t="inlineStr">
        <is>
          <t>Medium</t>
        </is>
      </c>
      <c r="M2935" s="16" t="inlineStr"/>
      <c r="N2935" s="16" t="inlineStr"/>
      <c r="O2935" s="16" t="inlineStr"/>
    </row>
    <row r="2936" ht="72" customHeight="1">
      <c r="A2936" s="16" t="inlineStr">
        <is>
          <t>TC-PR-0011</t>
        </is>
      </c>
      <c r="B2936" s="16" t="inlineStr">
        <is>
          <t>Proxy Configuration</t>
        </is>
      </c>
      <c r="C2936" s="16" t="inlineStr">
        <is>
          <t>Proxy</t>
        </is>
      </c>
      <c r="D2936" s="16" t="inlineStr">
        <is>
          <t>Negative</t>
        </is>
      </c>
      <c r="E2936" s="16" t="inlineStr">
        <is>
          <t>Proxy: Proxy refuses connection</t>
        </is>
      </c>
      <c r="F2936" s="16" t="inlineStr">
        <is>
          <t>-</t>
        </is>
      </c>
      <c r="G2936" s="16" t="inlineStr">
        <is>
          <t>1. Proxy down.
2. Send.</t>
        </is>
      </c>
      <c r="H2936" s="16" t="inlineStr">
        <is>
          <t>Proxy refuses connection</t>
        </is>
      </c>
      <c r="I2936" s="16" t="inlineStr">
        <is>
          <t>Clear error.</t>
        </is>
      </c>
      <c r="J2936" s="16" t="inlineStr"/>
      <c r="K2936" s="16" t="inlineStr">
        <is>
          <t>Not Run</t>
        </is>
      </c>
      <c r="L2936" s="16" t="inlineStr">
        <is>
          <t>Medium</t>
        </is>
      </c>
      <c r="M2936" s="16" t="inlineStr"/>
      <c r="N2936" s="16" t="inlineStr"/>
      <c r="O2936" s="16" t="inlineStr"/>
    </row>
    <row r="2937" ht="72" customHeight="1">
      <c r="A2937" s="16" t="inlineStr">
        <is>
          <t>TC-PR-0012</t>
        </is>
      </c>
      <c r="B2937" s="16" t="inlineStr">
        <is>
          <t>Proxy Configuration</t>
        </is>
      </c>
      <c r="C2937" s="16" t="inlineStr">
        <is>
          <t>Proxy</t>
        </is>
      </c>
      <c r="D2937" s="16" t="inlineStr">
        <is>
          <t>Edge Case</t>
        </is>
      </c>
      <c r="E2937" s="16" t="inlineStr">
        <is>
          <t>Proxy: Captive portal interception</t>
        </is>
      </c>
      <c r="F2937" s="16" t="inlineStr">
        <is>
          <t>-</t>
        </is>
      </c>
      <c r="G2937" s="16" t="inlineStr">
        <is>
          <t>1. Send through captive portal.</t>
        </is>
      </c>
      <c r="H2937" s="16" t="inlineStr">
        <is>
          <t>Captive portal interception</t>
        </is>
      </c>
      <c r="I2937" s="16" t="inlineStr">
        <is>
          <t>Detects HTML interception; warns user.</t>
        </is>
      </c>
      <c r="J2937" s="16" t="inlineStr"/>
      <c r="K2937" s="16" t="inlineStr">
        <is>
          <t>Not Run</t>
        </is>
      </c>
      <c r="L2937" s="16" t="inlineStr">
        <is>
          <t>Low</t>
        </is>
      </c>
      <c r="M2937" s="16" t="inlineStr"/>
      <c r="N2937" s="16" t="inlineStr"/>
      <c r="O2937" s="16" t="inlineStr"/>
    </row>
    <row r="2938" ht="72" customHeight="1">
      <c r="A2938" s="16" t="inlineStr">
        <is>
          <t>TC-PR-0013</t>
        </is>
      </c>
      <c r="B2938" s="16" t="inlineStr">
        <is>
          <t>Proxy Configuration</t>
        </is>
      </c>
      <c r="C2938" s="16" t="inlineStr">
        <is>
          <t>Proxy</t>
        </is>
      </c>
      <c r="D2938" s="16" t="inlineStr">
        <is>
          <t>Edge Case</t>
        </is>
      </c>
      <c r="E2938" s="16" t="inlineStr">
        <is>
          <t>Proxy: Network change to/from proxy</t>
        </is>
      </c>
      <c r="F2938" s="16" t="inlineStr">
        <is>
          <t>-</t>
        </is>
      </c>
      <c r="G2938" s="16" t="inlineStr">
        <is>
          <t>1. Toggle network.</t>
        </is>
      </c>
      <c r="H2938" s="16" t="inlineStr">
        <is>
          <t>Network change to/from proxy</t>
        </is>
      </c>
      <c r="I2938" s="16" t="inlineStr">
        <is>
          <t>Reloads proxy config or warns.</t>
        </is>
      </c>
      <c r="J2938" s="16" t="inlineStr"/>
      <c r="K2938" s="16" t="inlineStr">
        <is>
          <t>Not Run</t>
        </is>
      </c>
      <c r="L2938" s="16" t="inlineStr">
        <is>
          <t>Low</t>
        </is>
      </c>
      <c r="M2938" s="16" t="inlineStr"/>
      <c r="N2938" s="16" t="inlineStr"/>
      <c r="O2938" s="16" t="inlineStr"/>
    </row>
    <row r="2939" ht="72" customHeight="1">
      <c r="A2939" s="16" t="inlineStr">
        <is>
          <t>TC-HV-0001</t>
        </is>
      </c>
      <c r="B2939" s="16" t="inlineStr">
        <is>
          <t>HTTP Protocol Versions</t>
        </is>
      </c>
      <c r="C2939" s="16" t="inlineStr">
        <is>
          <t>HTTP/1.0</t>
        </is>
      </c>
      <c r="D2939" s="16" t="inlineStr">
        <is>
          <t>Functional</t>
        </is>
      </c>
      <c r="E2939" s="16" t="inlineStr">
        <is>
          <t>HTTP version: HTTP/1.0</t>
        </is>
      </c>
      <c r="F2939" s="16" t="inlineStr">
        <is>
          <t>Endpoint serves HTTP/1.0</t>
        </is>
      </c>
      <c r="G2939" s="16" t="inlineStr">
        <is>
          <t>1. Send.</t>
        </is>
      </c>
      <c r="H2939" s="16" t="inlineStr">
        <is>
          <t>HTTP/1.0</t>
        </is>
      </c>
      <c r="I2939" s="16" t="inlineStr">
        <is>
          <t>Connection: close per spec; 200.</t>
        </is>
      </c>
      <c r="J2939" s="16" t="inlineStr"/>
      <c r="K2939" s="16" t="inlineStr">
        <is>
          <t>Not Run</t>
        </is>
      </c>
      <c r="L2939" s="16" t="inlineStr">
        <is>
          <t>Low</t>
        </is>
      </c>
      <c r="M2939" s="16" t="inlineStr"/>
      <c r="N2939" s="16" t="inlineStr"/>
      <c r="O2939" s="16" t="inlineStr"/>
    </row>
    <row r="2940" ht="72" customHeight="1">
      <c r="A2940" s="16" t="inlineStr">
        <is>
          <t>TC-HV-0002</t>
        </is>
      </c>
      <c r="B2940" s="16" t="inlineStr">
        <is>
          <t>HTTP Protocol Versions</t>
        </is>
      </c>
      <c r="C2940" s="16" t="inlineStr">
        <is>
          <t>HTTP/1.1 keepalive</t>
        </is>
      </c>
      <c r="D2940" s="16" t="inlineStr">
        <is>
          <t>Functional</t>
        </is>
      </c>
      <c r="E2940" s="16" t="inlineStr">
        <is>
          <t>HTTP version: HTTP/1.1 keepalive</t>
        </is>
      </c>
      <c r="F2940" s="16" t="inlineStr">
        <is>
          <t>Default</t>
        </is>
      </c>
      <c r="G2940" s="16" t="inlineStr">
        <is>
          <t>1. Send 2 requests.</t>
        </is>
      </c>
      <c r="H2940" s="16" t="inlineStr">
        <is>
          <t>HTTP/1.1 keepalive</t>
        </is>
      </c>
      <c r="I2940" s="16" t="inlineStr">
        <is>
          <t>Same connection reused.</t>
        </is>
      </c>
      <c r="J2940" s="16" t="inlineStr"/>
      <c r="K2940" s="16" t="inlineStr">
        <is>
          <t>Not Run</t>
        </is>
      </c>
      <c r="L2940" s="16" t="inlineStr">
        <is>
          <t>Medium</t>
        </is>
      </c>
      <c r="M2940" s="16" t="inlineStr"/>
      <c r="N2940" s="16" t="inlineStr"/>
      <c r="O2940" s="16" t="inlineStr"/>
    </row>
    <row r="2941" ht="72" customHeight="1">
      <c r="A2941" s="16" t="inlineStr">
        <is>
          <t>TC-HV-0003</t>
        </is>
      </c>
      <c r="B2941" s="16" t="inlineStr">
        <is>
          <t>HTTP Protocol Versions</t>
        </is>
      </c>
      <c r="C2941" s="16" t="inlineStr">
        <is>
          <t>HTTP/1.1 Transfer-Encoding chunked</t>
        </is>
      </c>
      <c r="D2941" s="16" t="inlineStr">
        <is>
          <t>Functional</t>
        </is>
      </c>
      <c r="E2941" s="16" t="inlineStr">
        <is>
          <t>HTTP version: HTTP/1.1 Transfer-Encoding chunked</t>
        </is>
      </c>
      <c r="F2941" s="16" t="inlineStr">
        <is>
          <t>Chunked resp</t>
        </is>
      </c>
      <c r="G2941" s="16" t="inlineStr">
        <is>
          <t>1. Send.</t>
        </is>
      </c>
      <c r="H2941" s="16" t="inlineStr">
        <is>
          <t>HTTP/1.1 Transfer-Encoding chunked</t>
        </is>
      </c>
      <c r="I2941" s="16" t="inlineStr">
        <is>
          <t>Chunks reassembled; size reported.</t>
        </is>
      </c>
      <c r="J2941" s="16" t="inlineStr"/>
      <c r="K2941" s="16" t="inlineStr">
        <is>
          <t>Not Run</t>
        </is>
      </c>
      <c r="L2941" s="16" t="inlineStr">
        <is>
          <t>Medium</t>
        </is>
      </c>
      <c r="M2941" s="16" t="inlineStr"/>
      <c r="N2941" s="16" t="inlineStr"/>
      <c r="O2941" s="16" t="inlineStr"/>
    </row>
    <row r="2942" ht="72" customHeight="1">
      <c r="A2942" s="16" t="inlineStr">
        <is>
          <t>TC-HV-0004</t>
        </is>
      </c>
      <c r="B2942" s="16" t="inlineStr">
        <is>
          <t>HTTP Protocol Versions</t>
        </is>
      </c>
      <c r="C2942" s="16" t="inlineStr">
        <is>
          <t>HTTP/2 multiplexed</t>
        </is>
      </c>
      <c r="D2942" s="16" t="inlineStr">
        <is>
          <t>Functional</t>
        </is>
      </c>
      <c r="E2942" s="16" t="inlineStr">
        <is>
          <t>HTTP version: HTTP/2 multiplexed</t>
        </is>
      </c>
      <c r="F2942" s="16" t="inlineStr">
        <is>
          <t>h2 endpoint</t>
        </is>
      </c>
      <c r="G2942" s="16" t="inlineStr">
        <is>
          <t>1. Send 5 in parallel.</t>
        </is>
      </c>
      <c r="H2942" s="16" t="inlineStr">
        <is>
          <t>HTTP/2 multiplexed</t>
        </is>
      </c>
      <c r="I2942" s="16" t="inlineStr">
        <is>
          <t>Multiplexed over one connection; each completes.</t>
        </is>
      </c>
      <c r="J2942" s="16" t="inlineStr"/>
      <c r="K2942" s="16" t="inlineStr">
        <is>
          <t>Not Run</t>
        </is>
      </c>
      <c r="L2942" s="16" t="inlineStr">
        <is>
          <t>High</t>
        </is>
      </c>
      <c r="M2942" s="16" t="inlineStr"/>
      <c r="N2942" s="16" t="inlineStr"/>
      <c r="O2942" s="16" t="inlineStr"/>
    </row>
    <row r="2943" ht="72" customHeight="1">
      <c r="A2943" s="16" t="inlineStr">
        <is>
          <t>TC-HV-0005</t>
        </is>
      </c>
      <c r="B2943" s="16" t="inlineStr">
        <is>
          <t>HTTP Protocol Versions</t>
        </is>
      </c>
      <c r="C2943" s="16" t="inlineStr">
        <is>
          <t>HTTP/2 header compression (HPACK)</t>
        </is>
      </c>
      <c r="D2943" s="16" t="inlineStr">
        <is>
          <t>Edge Case</t>
        </is>
      </c>
      <c r="E2943" s="16" t="inlineStr">
        <is>
          <t>HTTP version: HTTP/2 header compression (HPACK)</t>
        </is>
      </c>
      <c r="F2943" s="16" t="inlineStr">
        <is>
          <t>-</t>
        </is>
      </c>
      <c r="G2943" s="16" t="inlineStr">
        <is>
          <t>1. Inspect wire.</t>
        </is>
      </c>
      <c r="H2943" s="16" t="inlineStr">
        <is>
          <t>HTTP/2 header compression (HPACK)</t>
        </is>
      </c>
      <c r="I2943" s="16" t="inlineStr">
        <is>
          <t>Headers compressed; logically equivalent.</t>
        </is>
      </c>
      <c r="J2943" s="16" t="inlineStr"/>
      <c r="K2943" s="16" t="inlineStr">
        <is>
          <t>Not Run</t>
        </is>
      </c>
      <c r="L2943" s="16" t="inlineStr">
        <is>
          <t>Low</t>
        </is>
      </c>
      <c r="M2943" s="16" t="inlineStr"/>
      <c r="N2943" s="16" t="inlineStr"/>
      <c r="O2943" s="16" t="inlineStr"/>
    </row>
    <row r="2944" ht="72" customHeight="1">
      <c r="A2944" s="16" t="inlineStr">
        <is>
          <t>TC-HV-0006</t>
        </is>
      </c>
      <c r="B2944" s="16" t="inlineStr">
        <is>
          <t>HTTP Protocol Versions</t>
        </is>
      </c>
      <c r="C2944" s="16" t="inlineStr">
        <is>
          <t>HTTP/2 server push (if used)</t>
        </is>
      </c>
      <c r="D2944" s="16" t="inlineStr">
        <is>
          <t>Edge Case</t>
        </is>
      </c>
      <c r="E2944" s="16" t="inlineStr">
        <is>
          <t>HTTP version: HTTP/2 server push (if used)</t>
        </is>
      </c>
      <c r="F2944" s="16" t="inlineStr">
        <is>
          <t>-</t>
        </is>
      </c>
      <c r="G2944" s="16" t="inlineStr">
        <is>
          <t>1. Server pushes resource.</t>
        </is>
      </c>
      <c r="H2944" s="16" t="inlineStr">
        <is>
          <t>HTTP/2 server push (if used)</t>
        </is>
      </c>
      <c r="I2944" s="16" t="inlineStr">
        <is>
          <t>Documented behavior; not silently dropped.</t>
        </is>
      </c>
      <c r="J2944" s="16" t="inlineStr"/>
      <c r="K2944" s="16" t="inlineStr">
        <is>
          <t>Not Run</t>
        </is>
      </c>
      <c r="L2944" s="16" t="inlineStr">
        <is>
          <t>Low</t>
        </is>
      </c>
      <c r="M2944" s="16" t="inlineStr"/>
      <c r="N2944" s="16" t="inlineStr"/>
      <c r="O2944" s="16" t="inlineStr"/>
    </row>
    <row r="2945" ht="72" customHeight="1">
      <c r="A2945" s="16" t="inlineStr">
        <is>
          <t>TC-HV-0007</t>
        </is>
      </c>
      <c r="B2945" s="16" t="inlineStr">
        <is>
          <t>HTTP Protocol Versions</t>
        </is>
      </c>
      <c r="C2945" s="16" t="inlineStr">
        <is>
          <t>HTTP/3 (QUIC)</t>
        </is>
      </c>
      <c r="D2945" s="16" t="inlineStr">
        <is>
          <t>Compatibility</t>
        </is>
      </c>
      <c r="E2945" s="16" t="inlineStr">
        <is>
          <t>HTTP version: HTTP/3 (QUIC)</t>
        </is>
      </c>
      <c r="F2945" s="16" t="inlineStr">
        <is>
          <t>h3 endpoint</t>
        </is>
      </c>
      <c r="G2945" s="16" t="inlineStr">
        <is>
          <t>1. Send.</t>
        </is>
      </c>
      <c r="H2945" s="16" t="inlineStr">
        <is>
          <t>HTTP/3 (QUIC)</t>
        </is>
      </c>
      <c r="I2945" s="16" t="inlineStr">
        <is>
          <t>If supported, works over QUIC; else falls back to h2.</t>
        </is>
      </c>
      <c r="J2945" s="16" t="inlineStr"/>
      <c r="K2945" s="16" t="inlineStr">
        <is>
          <t>Not Run</t>
        </is>
      </c>
      <c r="L2945" s="16" t="inlineStr">
        <is>
          <t>Medium</t>
        </is>
      </c>
      <c r="M2945" s="16" t="inlineStr"/>
      <c r="N2945" s="16" t="inlineStr"/>
      <c r="O2945" s="16" t="inlineStr"/>
    </row>
    <row r="2946" ht="72" customHeight="1">
      <c r="A2946" s="16" t="inlineStr">
        <is>
          <t>TC-HV-0008</t>
        </is>
      </c>
      <c r="B2946" s="16" t="inlineStr">
        <is>
          <t>HTTP Protocol Versions</t>
        </is>
      </c>
      <c r="C2946" s="16" t="inlineStr">
        <is>
          <t>Alt-Svc upgrade</t>
        </is>
      </c>
      <c r="D2946" s="16" t="inlineStr">
        <is>
          <t>Compatibility</t>
        </is>
      </c>
      <c r="E2946" s="16" t="inlineStr">
        <is>
          <t>HTTP version: Alt-Svc upgrade</t>
        </is>
      </c>
      <c r="F2946" s="16" t="inlineStr">
        <is>
          <t>Server advertises h3</t>
        </is>
      </c>
      <c r="G2946" s="16" t="inlineStr">
        <is>
          <t>1. Subsequent send.</t>
        </is>
      </c>
      <c r="H2946" s="16" t="inlineStr">
        <is>
          <t>Alt-Svc upgrade</t>
        </is>
      </c>
      <c r="I2946" s="16" t="inlineStr">
        <is>
          <t>Upgraded if supported.</t>
        </is>
      </c>
      <c r="J2946" s="16" t="inlineStr"/>
      <c r="K2946" s="16" t="inlineStr">
        <is>
          <t>Not Run</t>
        </is>
      </c>
      <c r="L2946" s="16" t="inlineStr">
        <is>
          <t>Low</t>
        </is>
      </c>
      <c r="M2946" s="16" t="inlineStr"/>
      <c r="N2946" s="16" t="inlineStr"/>
      <c r="O2946" s="16" t="inlineStr"/>
    </row>
    <row r="2947" ht="72" customHeight="1">
      <c r="A2947" s="16" t="inlineStr">
        <is>
          <t>TC-HV-0009</t>
        </is>
      </c>
      <c r="B2947" s="16" t="inlineStr">
        <is>
          <t>HTTP Protocol Versions</t>
        </is>
      </c>
      <c r="C2947" s="16" t="inlineStr">
        <is>
          <t>HTTP/1.1 100-Continue</t>
        </is>
      </c>
      <c r="D2947" s="16" t="inlineStr">
        <is>
          <t>Edge Case</t>
        </is>
      </c>
      <c r="E2947" s="16" t="inlineStr">
        <is>
          <t>HTTP version: HTTP/1.1 100-Continue</t>
        </is>
      </c>
      <c r="F2947" s="16" t="inlineStr">
        <is>
          <t>Large body upload</t>
        </is>
      </c>
      <c r="G2947" s="16" t="inlineStr">
        <is>
          <t>1. POST with Expect: 100-continue.</t>
        </is>
      </c>
      <c r="H2947" s="16" t="inlineStr">
        <is>
          <t>HTTP/1.1 100-Continue</t>
        </is>
      </c>
      <c r="I2947" s="16" t="inlineStr">
        <is>
          <t>Client waits for 100 before body.</t>
        </is>
      </c>
      <c r="J2947" s="16" t="inlineStr"/>
      <c r="K2947" s="16" t="inlineStr">
        <is>
          <t>Not Run</t>
        </is>
      </c>
      <c r="L2947" s="16" t="inlineStr">
        <is>
          <t>Medium</t>
        </is>
      </c>
      <c r="M2947" s="16" t="inlineStr"/>
      <c r="N2947" s="16" t="inlineStr"/>
      <c r="O2947" s="16" t="inlineStr"/>
    </row>
    <row r="2948" ht="72" customHeight="1">
      <c r="A2948" s="16" t="inlineStr">
        <is>
          <t>TC-HV-0010</t>
        </is>
      </c>
      <c r="B2948" s="16" t="inlineStr">
        <is>
          <t>HTTP Protocol Versions</t>
        </is>
      </c>
      <c r="C2948" s="16" t="inlineStr">
        <is>
          <t>Connection close mid-response</t>
        </is>
      </c>
      <c r="D2948" s="16" t="inlineStr">
        <is>
          <t>Negative</t>
        </is>
      </c>
      <c r="E2948" s="16" t="inlineStr">
        <is>
          <t>HTTP version: Connection close mid-response</t>
        </is>
      </c>
      <c r="F2948" s="16" t="inlineStr">
        <is>
          <t>Server resets</t>
        </is>
      </c>
      <c r="G2948" s="16" t="inlineStr">
        <is>
          <t>1. Send.</t>
        </is>
      </c>
      <c r="H2948" s="16" t="inlineStr">
        <is>
          <t>Connection close mid-response</t>
        </is>
      </c>
      <c r="I2948" s="16" t="inlineStr">
        <is>
          <t>Clear error; partial body marked truncated.</t>
        </is>
      </c>
      <c r="J2948" s="16" t="inlineStr"/>
      <c r="K2948" s="16" t="inlineStr">
        <is>
          <t>Not Run</t>
        </is>
      </c>
      <c r="L2948" s="16" t="inlineStr">
        <is>
          <t>Medium</t>
        </is>
      </c>
      <c r="M2948" s="16" t="inlineStr"/>
      <c r="N2948" s="16" t="inlineStr"/>
      <c r="O2948" s="16" t="inlineStr"/>
    </row>
    <row r="2949" ht="72" customHeight="1">
      <c r="A2949" s="16" t="inlineStr">
        <is>
          <t>TC-HV-0011</t>
        </is>
      </c>
      <c r="B2949" s="16" t="inlineStr">
        <is>
          <t>HTTP Protocol Versions</t>
        </is>
      </c>
      <c r="C2949" s="16" t="inlineStr">
        <is>
          <t>HTTP/1.1 pipelining (if supported)</t>
        </is>
      </c>
      <c r="D2949" s="16" t="inlineStr">
        <is>
          <t>Edge Case</t>
        </is>
      </c>
      <c r="E2949" s="16" t="inlineStr">
        <is>
          <t>HTTP version: HTTP/1.1 pipelining (if supported)</t>
        </is>
      </c>
      <c r="F2949" s="16" t="inlineStr">
        <is>
          <t>-</t>
        </is>
      </c>
      <c r="G2949" s="16" t="inlineStr">
        <is>
          <t>1. Send pipelined.</t>
        </is>
      </c>
      <c r="H2949" s="16" t="inlineStr">
        <is>
          <t>HTTP/1.1 pipelining (if supported)</t>
        </is>
      </c>
      <c r="I2949" s="16" t="inlineStr">
        <is>
          <t>Either supported or sequential; consistent.</t>
        </is>
      </c>
      <c r="J2949" s="16" t="inlineStr"/>
      <c r="K2949" s="16" t="inlineStr">
        <is>
          <t>Not Run</t>
        </is>
      </c>
      <c r="L2949" s="16" t="inlineStr">
        <is>
          <t>Low</t>
        </is>
      </c>
      <c r="M2949" s="16" t="inlineStr"/>
      <c r="N2949" s="16" t="inlineStr"/>
      <c r="O2949" s="16" t="inlineStr"/>
    </row>
    <row r="2950" ht="72" customHeight="1">
      <c r="A2950" s="16" t="inlineStr">
        <is>
          <t>TC-HV-0012</t>
        </is>
      </c>
      <c r="B2950" s="16" t="inlineStr">
        <is>
          <t>HTTP Protocol Versions</t>
        </is>
      </c>
      <c r="C2950" s="16" t="inlineStr">
        <is>
          <t>Keep-Alive with idle timeout</t>
        </is>
      </c>
      <c r="D2950" s="16" t="inlineStr">
        <is>
          <t>Edge Case</t>
        </is>
      </c>
      <c r="E2950" s="16" t="inlineStr">
        <is>
          <t>HTTP version: Keep-Alive with idle timeout</t>
        </is>
      </c>
      <c r="F2950" s="16" t="inlineStr">
        <is>
          <t>Endpoint with 5s idle</t>
        </is>
      </c>
      <c r="G2950" s="16" t="inlineStr">
        <is>
          <t>1. Send; wait; send again.</t>
        </is>
      </c>
      <c r="H2950" s="16" t="inlineStr">
        <is>
          <t>Keep-Alive with idle timeout</t>
        </is>
      </c>
      <c r="I2950" s="16" t="inlineStr">
        <is>
          <t>New connection if idle exceeded.</t>
        </is>
      </c>
      <c r="J2950" s="16" t="inlineStr"/>
      <c r="K2950" s="16" t="inlineStr">
        <is>
          <t>Not Run</t>
        </is>
      </c>
      <c r="L2950" s="16" t="inlineStr">
        <is>
          <t>Low</t>
        </is>
      </c>
      <c r="M2950" s="16" t="inlineStr"/>
      <c r="N2950" s="16" t="inlineStr"/>
      <c r="O2950" s="16" t="inlineStr"/>
    </row>
    <row r="2951" ht="72" customHeight="1">
      <c r="A2951" s="16" t="inlineStr">
        <is>
          <t>TC-HV-0013</t>
        </is>
      </c>
      <c r="B2951" s="16" t="inlineStr">
        <is>
          <t>HTTP Protocol Versions</t>
        </is>
      </c>
      <c r="C2951" s="16" t="inlineStr">
        <is>
          <t>Response without Content-Length and without chunked</t>
        </is>
      </c>
      <c r="D2951" s="16" t="inlineStr">
        <is>
          <t>Edge Case</t>
        </is>
      </c>
      <c r="E2951" s="16" t="inlineStr">
        <is>
          <t>HTTP version: Response without Content-Length and without chunked</t>
        </is>
      </c>
      <c r="F2951" s="16" t="inlineStr">
        <is>
          <t>Server uses connection-close framing.</t>
        </is>
      </c>
      <c r="G2951" s="16" t="inlineStr">
        <is>
          <t>1. Send.</t>
        </is>
      </c>
      <c r="H2951" s="16" t="inlineStr">
        <is>
          <t>Response without Content-Length and without chunked</t>
        </is>
      </c>
      <c r="I2951" s="16" t="inlineStr">
        <is>
          <t>Body read until close.</t>
        </is>
      </c>
      <c r="J2951" s="16" t="inlineStr"/>
      <c r="K2951" s="16" t="inlineStr">
        <is>
          <t>Not Run</t>
        </is>
      </c>
      <c r="L2951" s="16" t="inlineStr">
        <is>
          <t>Low</t>
        </is>
      </c>
      <c r="M2951" s="16" t="inlineStr"/>
      <c r="N2951" s="16" t="inlineStr"/>
      <c r="O2951" s="16" t="inlineStr"/>
    </row>
    <row r="2952" ht="72" customHeight="1">
      <c r="A2952" s="16" t="inlineStr">
        <is>
          <t>TC-HV-0014</t>
        </is>
      </c>
      <c r="B2952" s="16" t="inlineStr">
        <is>
          <t>HTTP Protocol Versions</t>
        </is>
      </c>
      <c r="C2952" s="16" t="inlineStr">
        <is>
          <t>Trailer headers (HTTP/1.1)</t>
        </is>
      </c>
      <c r="D2952" s="16" t="inlineStr">
        <is>
          <t>Edge Case</t>
        </is>
      </c>
      <c r="E2952" s="16" t="inlineStr">
        <is>
          <t>HTTP version: Trailer headers (HTTP/1.1)</t>
        </is>
      </c>
      <c r="F2952" s="16" t="inlineStr">
        <is>
          <t>Server uses trailers</t>
        </is>
      </c>
      <c r="G2952" s="16" t="inlineStr">
        <is>
          <t>1. Send.</t>
        </is>
      </c>
      <c r="H2952" s="16" t="inlineStr">
        <is>
          <t>Trailer headers (HTTP/1.1)</t>
        </is>
      </c>
      <c r="I2952" s="16" t="inlineStr">
        <is>
          <t>Trailers shown alongside headers.</t>
        </is>
      </c>
      <c r="J2952" s="16" t="inlineStr"/>
      <c r="K2952" s="16" t="inlineStr">
        <is>
          <t>Not Run</t>
        </is>
      </c>
      <c r="L2952" s="16" t="inlineStr">
        <is>
          <t>Low</t>
        </is>
      </c>
      <c r="M2952" s="16" t="inlineStr"/>
      <c r="N2952" s="16" t="inlineStr"/>
      <c r="O2952" s="16" t="inlineStr"/>
    </row>
    <row r="2953" ht="72" customHeight="1">
      <c r="A2953" s="16" t="inlineStr">
        <is>
          <t>TC-CE-0001</t>
        </is>
      </c>
      <c r="B2953" s="16" t="inlineStr">
        <is>
          <t>Compression &amp; Content Encoding</t>
        </is>
      </c>
      <c r="C2953" s="16" t="inlineStr">
        <is>
          <t>gzip</t>
        </is>
      </c>
      <c r="D2953" s="16" t="inlineStr">
        <is>
          <t>Functional</t>
        </is>
      </c>
      <c r="E2953" s="16" t="inlineStr">
        <is>
          <t>Compression: Request - gzip</t>
        </is>
      </c>
      <c r="F2953" s="16" t="inlineStr">
        <is>
          <t>-</t>
        </is>
      </c>
      <c r="G2953" s="16" t="inlineStr">
        <is>
          <t>1. Set Content-Encoding gzip on request.
2. Inspect viewer/body.</t>
        </is>
      </c>
      <c r="H2953" s="16" t="inlineStr">
        <is>
          <t>enc=gzip dir=Request</t>
        </is>
      </c>
      <c r="I2953" s="16" t="inlineStr">
        <is>
          <t>Body compressed correctly on send; Content-Length reflects compressed size.</t>
        </is>
      </c>
      <c r="J2953" s="16" t="inlineStr"/>
      <c r="K2953" s="16" t="inlineStr">
        <is>
          <t>Not Run</t>
        </is>
      </c>
      <c r="L2953" s="16" t="inlineStr">
        <is>
          <t>High</t>
        </is>
      </c>
      <c r="M2953" s="16" t="inlineStr"/>
      <c r="N2953" s="16" t="inlineStr"/>
      <c r="O2953" s="16" t="inlineStr"/>
    </row>
    <row r="2954" ht="72" customHeight="1">
      <c r="A2954" s="16" t="inlineStr">
        <is>
          <t>TC-CE-0002</t>
        </is>
      </c>
      <c r="B2954" s="16" t="inlineStr">
        <is>
          <t>Compression &amp; Content Encoding</t>
        </is>
      </c>
      <c r="C2954" s="16" t="inlineStr">
        <is>
          <t>gzip</t>
        </is>
      </c>
      <c r="D2954" s="16" t="inlineStr">
        <is>
          <t>Functional</t>
        </is>
      </c>
      <c r="E2954" s="16" t="inlineStr">
        <is>
          <t>Compression: Response - gzip</t>
        </is>
      </c>
      <c r="F2954" s="16" t="inlineStr">
        <is>
          <t>-</t>
        </is>
      </c>
      <c r="G2954" s="16" t="inlineStr">
        <is>
          <t>1. Send to endpoint returning Content-Encoding: gzip.
2. Inspect viewer/body.</t>
        </is>
      </c>
      <c r="H2954" s="16" t="inlineStr">
        <is>
          <t>enc=gzip dir=Response</t>
        </is>
      </c>
      <c r="I2954" s="16" t="inlineStr">
        <is>
          <t>Body decompressed transparently; preview shows decoded content; Content-Length reflects decompressed when known size.</t>
        </is>
      </c>
      <c r="J2954" s="16" t="inlineStr"/>
      <c r="K2954" s="16" t="inlineStr">
        <is>
          <t>Not Run</t>
        </is>
      </c>
      <c r="L2954" s="16" t="inlineStr">
        <is>
          <t>High</t>
        </is>
      </c>
      <c r="M2954" s="16" t="inlineStr"/>
      <c r="N2954" s="16" t="inlineStr"/>
      <c r="O2954" s="16" t="inlineStr"/>
    </row>
    <row r="2955" ht="72" customHeight="1">
      <c r="A2955" s="16" t="inlineStr">
        <is>
          <t>TC-CE-0003</t>
        </is>
      </c>
      <c r="B2955" s="16" t="inlineStr">
        <is>
          <t>Compression &amp; Content Encoding</t>
        </is>
      </c>
      <c r="C2955" s="16" t="inlineStr">
        <is>
          <t>deflate</t>
        </is>
      </c>
      <c r="D2955" s="16" t="inlineStr">
        <is>
          <t>Functional</t>
        </is>
      </c>
      <c r="E2955" s="16" t="inlineStr">
        <is>
          <t>Compression: Request - deflate</t>
        </is>
      </c>
      <c r="F2955" s="16" t="inlineStr">
        <is>
          <t>-</t>
        </is>
      </c>
      <c r="G2955" s="16" t="inlineStr">
        <is>
          <t>1. Set Content-Encoding deflate on request.
2. Inspect viewer/body.</t>
        </is>
      </c>
      <c r="H2955" s="16" t="inlineStr">
        <is>
          <t>enc=deflate dir=Request</t>
        </is>
      </c>
      <c r="I2955" s="16" t="inlineStr">
        <is>
          <t>Body compressed correctly on send; Content-Length reflects compressed size.</t>
        </is>
      </c>
      <c r="J2955" s="16" t="inlineStr"/>
      <c r="K2955" s="16" t="inlineStr">
        <is>
          <t>Not Run</t>
        </is>
      </c>
      <c r="L2955" s="16" t="inlineStr">
        <is>
          <t>Medium</t>
        </is>
      </c>
      <c r="M2955" s="16" t="inlineStr"/>
      <c r="N2955" s="16" t="inlineStr"/>
      <c r="O2955" s="16" t="inlineStr"/>
    </row>
    <row r="2956" ht="72" customHeight="1">
      <c r="A2956" s="16" t="inlineStr">
        <is>
          <t>TC-CE-0004</t>
        </is>
      </c>
      <c r="B2956" s="16" t="inlineStr">
        <is>
          <t>Compression &amp; Content Encoding</t>
        </is>
      </c>
      <c r="C2956" s="16" t="inlineStr">
        <is>
          <t>deflate</t>
        </is>
      </c>
      <c r="D2956" s="16" t="inlineStr">
        <is>
          <t>Functional</t>
        </is>
      </c>
      <c r="E2956" s="16" t="inlineStr">
        <is>
          <t>Compression: Response - deflate</t>
        </is>
      </c>
      <c r="F2956" s="16" t="inlineStr">
        <is>
          <t>-</t>
        </is>
      </c>
      <c r="G2956" s="16" t="inlineStr">
        <is>
          <t>1. Send to endpoint returning Content-Encoding: deflate.
2. Inspect viewer/body.</t>
        </is>
      </c>
      <c r="H2956" s="16" t="inlineStr">
        <is>
          <t>enc=deflate dir=Response</t>
        </is>
      </c>
      <c r="I2956" s="16" t="inlineStr">
        <is>
          <t>Body decompressed transparently; preview shows decoded content; Content-Length reflects decompressed when known size.</t>
        </is>
      </c>
      <c r="J2956" s="16" t="inlineStr"/>
      <c r="K2956" s="16" t="inlineStr">
        <is>
          <t>Not Run</t>
        </is>
      </c>
      <c r="L2956" s="16" t="inlineStr">
        <is>
          <t>Medium</t>
        </is>
      </c>
      <c r="M2956" s="16" t="inlineStr"/>
      <c r="N2956" s="16" t="inlineStr"/>
      <c r="O2956" s="16" t="inlineStr"/>
    </row>
    <row r="2957" ht="72" customHeight="1">
      <c r="A2957" s="16" t="inlineStr">
        <is>
          <t>TC-CE-0005</t>
        </is>
      </c>
      <c r="B2957" s="16" t="inlineStr">
        <is>
          <t>Compression &amp; Content Encoding</t>
        </is>
      </c>
      <c r="C2957" s="16" t="inlineStr">
        <is>
          <t>br (Brotli)</t>
        </is>
      </c>
      <c r="D2957" s="16" t="inlineStr">
        <is>
          <t>Functional</t>
        </is>
      </c>
      <c r="E2957" s="16" t="inlineStr">
        <is>
          <t>Compression: Request - br (Brotli)</t>
        </is>
      </c>
      <c r="F2957" s="16" t="inlineStr">
        <is>
          <t>-</t>
        </is>
      </c>
      <c r="G2957" s="16" t="inlineStr">
        <is>
          <t>1. Set Content-Encoding br (Brotli) on request.
2. Inspect viewer/body.</t>
        </is>
      </c>
      <c r="H2957" s="16" t="inlineStr">
        <is>
          <t>enc=br (Brotli) dir=Request</t>
        </is>
      </c>
      <c r="I2957" s="16" t="inlineStr">
        <is>
          <t>Body compressed correctly on send; Content-Length reflects compressed size.</t>
        </is>
      </c>
      <c r="J2957" s="16" t="inlineStr"/>
      <c r="K2957" s="16" t="inlineStr">
        <is>
          <t>Not Run</t>
        </is>
      </c>
      <c r="L2957" s="16" t="inlineStr">
        <is>
          <t>Medium</t>
        </is>
      </c>
      <c r="M2957" s="16" t="inlineStr"/>
      <c r="N2957" s="16" t="inlineStr"/>
      <c r="O2957" s="16" t="inlineStr"/>
    </row>
    <row r="2958" ht="72" customHeight="1">
      <c r="A2958" s="16" t="inlineStr">
        <is>
          <t>TC-CE-0006</t>
        </is>
      </c>
      <c r="B2958" s="16" t="inlineStr">
        <is>
          <t>Compression &amp; Content Encoding</t>
        </is>
      </c>
      <c r="C2958" s="16" t="inlineStr">
        <is>
          <t>br (Brotli)</t>
        </is>
      </c>
      <c r="D2958" s="16" t="inlineStr">
        <is>
          <t>Functional</t>
        </is>
      </c>
      <c r="E2958" s="16" t="inlineStr">
        <is>
          <t>Compression: Response - br (Brotli)</t>
        </is>
      </c>
      <c r="F2958" s="16" t="inlineStr">
        <is>
          <t>-</t>
        </is>
      </c>
      <c r="G2958" s="16" t="inlineStr">
        <is>
          <t>1. Send to endpoint returning Content-Encoding: br (Brotli).
2. Inspect viewer/body.</t>
        </is>
      </c>
      <c r="H2958" s="16" t="inlineStr">
        <is>
          <t>enc=br (Brotli) dir=Response</t>
        </is>
      </c>
      <c r="I2958" s="16" t="inlineStr">
        <is>
          <t>Body decompressed transparently; preview shows decoded content; Content-Length reflects decompressed when known size.</t>
        </is>
      </c>
      <c r="J2958" s="16" t="inlineStr"/>
      <c r="K2958" s="16" t="inlineStr">
        <is>
          <t>Not Run</t>
        </is>
      </c>
      <c r="L2958" s="16" t="inlineStr">
        <is>
          <t>Medium</t>
        </is>
      </c>
      <c r="M2958" s="16" t="inlineStr"/>
      <c r="N2958" s="16" t="inlineStr"/>
      <c r="O2958" s="16" t="inlineStr"/>
    </row>
    <row r="2959" ht="72" customHeight="1">
      <c r="A2959" s="16" t="inlineStr">
        <is>
          <t>TC-CE-0007</t>
        </is>
      </c>
      <c r="B2959" s="16" t="inlineStr">
        <is>
          <t>Compression &amp; Content Encoding</t>
        </is>
      </c>
      <c r="C2959" s="16" t="inlineStr">
        <is>
          <t>zstd</t>
        </is>
      </c>
      <c r="D2959" s="16" t="inlineStr">
        <is>
          <t>Functional</t>
        </is>
      </c>
      <c r="E2959" s="16" t="inlineStr">
        <is>
          <t>Compression: Request - zstd</t>
        </is>
      </c>
      <c r="F2959" s="16" t="inlineStr">
        <is>
          <t>-</t>
        </is>
      </c>
      <c r="G2959" s="16" t="inlineStr">
        <is>
          <t>1. Set Content-Encoding zstd on request.
2. Inspect viewer/body.</t>
        </is>
      </c>
      <c r="H2959" s="16" t="inlineStr">
        <is>
          <t>enc=zstd dir=Request</t>
        </is>
      </c>
      <c r="I2959" s="16" t="inlineStr">
        <is>
          <t>Body compressed correctly on send; Content-Length reflects compressed size.</t>
        </is>
      </c>
      <c r="J2959" s="16" t="inlineStr"/>
      <c r="K2959" s="16" t="inlineStr">
        <is>
          <t>Not Run</t>
        </is>
      </c>
      <c r="L2959" s="16" t="inlineStr">
        <is>
          <t>Medium</t>
        </is>
      </c>
      <c r="M2959" s="16" t="inlineStr"/>
      <c r="N2959" s="16" t="inlineStr"/>
      <c r="O2959" s="16" t="inlineStr"/>
    </row>
    <row r="2960" ht="72" customHeight="1">
      <c r="A2960" s="16" t="inlineStr">
        <is>
          <t>TC-CE-0008</t>
        </is>
      </c>
      <c r="B2960" s="16" t="inlineStr">
        <is>
          <t>Compression &amp; Content Encoding</t>
        </is>
      </c>
      <c r="C2960" s="16" t="inlineStr">
        <is>
          <t>zstd</t>
        </is>
      </c>
      <c r="D2960" s="16" t="inlineStr">
        <is>
          <t>Functional</t>
        </is>
      </c>
      <c r="E2960" s="16" t="inlineStr">
        <is>
          <t>Compression: Response - zstd</t>
        </is>
      </c>
      <c r="F2960" s="16" t="inlineStr">
        <is>
          <t>-</t>
        </is>
      </c>
      <c r="G2960" s="16" t="inlineStr">
        <is>
          <t>1. Send to endpoint returning Content-Encoding: zstd.
2. Inspect viewer/body.</t>
        </is>
      </c>
      <c r="H2960" s="16" t="inlineStr">
        <is>
          <t>enc=zstd dir=Response</t>
        </is>
      </c>
      <c r="I2960" s="16" t="inlineStr">
        <is>
          <t>Body decompressed transparently; preview shows decoded content; Content-Length reflects decompressed when known size.</t>
        </is>
      </c>
      <c r="J2960" s="16" t="inlineStr"/>
      <c r="K2960" s="16" t="inlineStr">
        <is>
          <t>Not Run</t>
        </is>
      </c>
      <c r="L2960" s="16" t="inlineStr">
        <is>
          <t>Medium</t>
        </is>
      </c>
      <c r="M2960" s="16" t="inlineStr"/>
      <c r="N2960" s="16" t="inlineStr"/>
      <c r="O2960" s="16" t="inlineStr"/>
    </row>
    <row r="2961" ht="72" customHeight="1">
      <c r="A2961" s="16" t="inlineStr">
        <is>
          <t>TC-CE-0009</t>
        </is>
      </c>
      <c r="B2961" s="16" t="inlineStr">
        <is>
          <t>Compression &amp; Content Encoding</t>
        </is>
      </c>
      <c r="C2961" s="16" t="inlineStr">
        <is>
          <t>identity (none)</t>
        </is>
      </c>
      <c r="D2961" s="16" t="inlineStr">
        <is>
          <t>Functional</t>
        </is>
      </c>
      <c r="E2961" s="16" t="inlineStr">
        <is>
          <t>Compression: Request - identity (none)</t>
        </is>
      </c>
      <c r="F2961" s="16" t="inlineStr">
        <is>
          <t>-</t>
        </is>
      </c>
      <c r="G2961" s="16" t="inlineStr">
        <is>
          <t>1. Set Content-Encoding identity (none) on request.
2. Inspect viewer/body.</t>
        </is>
      </c>
      <c r="H2961" s="16" t="inlineStr">
        <is>
          <t>enc=identity (none) dir=Request</t>
        </is>
      </c>
      <c r="I2961" s="16" t="inlineStr">
        <is>
          <t>Body compressed correctly on send; Content-Length reflects compressed size.</t>
        </is>
      </c>
      <c r="J2961" s="16" t="inlineStr"/>
      <c r="K2961" s="16" t="inlineStr">
        <is>
          <t>Not Run</t>
        </is>
      </c>
      <c r="L2961" s="16" t="inlineStr">
        <is>
          <t>High</t>
        </is>
      </c>
      <c r="M2961" s="16" t="inlineStr"/>
      <c r="N2961" s="16" t="inlineStr"/>
      <c r="O2961" s="16" t="inlineStr"/>
    </row>
    <row r="2962" ht="72" customHeight="1">
      <c r="A2962" s="16" t="inlineStr">
        <is>
          <t>TC-CE-0010</t>
        </is>
      </c>
      <c r="B2962" s="16" t="inlineStr">
        <is>
          <t>Compression &amp; Content Encoding</t>
        </is>
      </c>
      <c r="C2962" s="16" t="inlineStr">
        <is>
          <t>identity (none)</t>
        </is>
      </c>
      <c r="D2962" s="16" t="inlineStr">
        <is>
          <t>Functional</t>
        </is>
      </c>
      <c r="E2962" s="16" t="inlineStr">
        <is>
          <t>Compression: Response - identity (none)</t>
        </is>
      </c>
      <c r="F2962" s="16" t="inlineStr">
        <is>
          <t>-</t>
        </is>
      </c>
      <c r="G2962" s="16" t="inlineStr">
        <is>
          <t>1. Send to endpoint returning Content-Encoding: identity (none).
2. Inspect viewer/body.</t>
        </is>
      </c>
      <c r="H2962" s="16" t="inlineStr">
        <is>
          <t>enc=identity (none) dir=Response</t>
        </is>
      </c>
      <c r="I2962" s="16" t="inlineStr">
        <is>
          <t>Body decompressed transparently; preview shows decoded content; Content-Length reflects decompressed when known size.</t>
        </is>
      </c>
      <c r="J2962" s="16" t="inlineStr"/>
      <c r="K2962" s="16" t="inlineStr">
        <is>
          <t>Not Run</t>
        </is>
      </c>
      <c r="L2962" s="16" t="inlineStr">
        <is>
          <t>High</t>
        </is>
      </c>
      <c r="M2962" s="16" t="inlineStr"/>
      <c r="N2962" s="16" t="inlineStr"/>
      <c r="O2962" s="16" t="inlineStr"/>
    </row>
    <row r="2963" ht="72" customHeight="1">
      <c r="A2963" s="16" t="inlineStr">
        <is>
          <t>TC-CE-0011</t>
        </is>
      </c>
      <c r="B2963" s="16" t="inlineStr">
        <is>
          <t>Compression &amp; Content Encoding</t>
        </is>
      </c>
      <c r="C2963" s="16" t="inlineStr">
        <is>
          <t>gzip+chained</t>
        </is>
      </c>
      <c r="D2963" s="16" t="inlineStr">
        <is>
          <t>Functional</t>
        </is>
      </c>
      <c r="E2963" s="16" t="inlineStr">
        <is>
          <t>Compression: Request - gzip+chained</t>
        </is>
      </c>
      <c r="F2963" s="16" t="inlineStr">
        <is>
          <t>-</t>
        </is>
      </c>
      <c r="G2963" s="16" t="inlineStr">
        <is>
          <t>1. Set Content-Encoding gzip+chained on request.
2. Inspect viewer/body.</t>
        </is>
      </c>
      <c r="H2963" s="16" t="inlineStr">
        <is>
          <t>enc=gzip+chained dir=Request</t>
        </is>
      </c>
      <c r="I2963" s="16" t="inlineStr">
        <is>
          <t>Body compressed correctly on send; Content-Length reflects compressed size.</t>
        </is>
      </c>
      <c r="J2963" s="16" t="inlineStr"/>
      <c r="K2963" s="16" t="inlineStr">
        <is>
          <t>Not Run</t>
        </is>
      </c>
      <c r="L2963" s="16" t="inlineStr">
        <is>
          <t>Medium</t>
        </is>
      </c>
      <c r="M2963" s="16" t="inlineStr"/>
      <c r="N2963" s="16" t="inlineStr"/>
      <c r="O2963" s="16" t="inlineStr"/>
    </row>
    <row r="2964" ht="72" customHeight="1">
      <c r="A2964" s="16" t="inlineStr">
        <is>
          <t>TC-CE-0012</t>
        </is>
      </c>
      <c r="B2964" s="16" t="inlineStr">
        <is>
          <t>Compression &amp; Content Encoding</t>
        </is>
      </c>
      <c r="C2964" s="16" t="inlineStr">
        <is>
          <t>gzip+chained</t>
        </is>
      </c>
      <c r="D2964" s="16" t="inlineStr">
        <is>
          <t>Functional</t>
        </is>
      </c>
      <c r="E2964" s="16" t="inlineStr">
        <is>
          <t>Compression: Response - gzip+chained</t>
        </is>
      </c>
      <c r="F2964" s="16" t="inlineStr">
        <is>
          <t>-</t>
        </is>
      </c>
      <c r="G2964" s="16" t="inlineStr">
        <is>
          <t>1. Send to endpoint returning Content-Encoding: gzip+chained.
2. Inspect viewer/body.</t>
        </is>
      </c>
      <c r="H2964" s="16" t="inlineStr">
        <is>
          <t>enc=gzip+chained dir=Response</t>
        </is>
      </c>
      <c r="I2964" s="16" t="inlineStr">
        <is>
          <t>Body decompressed transparently; preview shows decoded content; Content-Length reflects decompressed when known size.</t>
        </is>
      </c>
      <c r="J2964" s="16" t="inlineStr"/>
      <c r="K2964" s="16" t="inlineStr">
        <is>
          <t>Not Run</t>
        </is>
      </c>
      <c r="L2964" s="16" t="inlineStr">
        <is>
          <t>Medium</t>
        </is>
      </c>
      <c r="M2964" s="16" t="inlineStr"/>
      <c r="N2964" s="16" t="inlineStr"/>
      <c r="O2964" s="16" t="inlineStr"/>
    </row>
    <row r="2965" ht="72" customHeight="1">
      <c r="A2965" s="16" t="inlineStr">
        <is>
          <t>TC-CE-0013</t>
        </is>
      </c>
      <c r="B2965" s="16" t="inlineStr">
        <is>
          <t>Compression &amp; Content Encoding</t>
        </is>
      </c>
      <c r="C2965" s="16" t="inlineStr">
        <is>
          <t>Negotiation</t>
        </is>
      </c>
      <c r="D2965" s="16" t="inlineStr">
        <is>
          <t>Functional</t>
        </is>
      </c>
      <c r="E2965" s="16" t="inlineStr">
        <is>
          <t>Accept-Encoding: Accept-Encoding: gzip</t>
        </is>
      </c>
      <c r="F2965" s="16" t="inlineStr">
        <is>
          <t>-</t>
        </is>
      </c>
      <c r="G2965" s="16" t="inlineStr">
        <is>
          <t>1. Set Accept-Encoding: gzip.
2. Send.</t>
        </is>
      </c>
      <c r="H2965" s="16" t="inlineStr">
        <is>
          <t>Accept-Encoding: gzip</t>
        </is>
      </c>
      <c r="I2965" s="16" t="inlineStr">
        <is>
          <t>Server picks gzip. App decodes correctly.</t>
        </is>
      </c>
      <c r="J2965" s="16" t="inlineStr"/>
      <c r="K2965" s="16" t="inlineStr">
        <is>
          <t>Not Run</t>
        </is>
      </c>
      <c r="L2965" s="16" t="inlineStr">
        <is>
          <t>Medium</t>
        </is>
      </c>
      <c r="M2965" s="16" t="inlineStr"/>
      <c r="N2965" s="16" t="inlineStr"/>
      <c r="O2965" s="16" t="inlineStr"/>
    </row>
    <row r="2966" ht="72" customHeight="1">
      <c r="A2966" s="16" t="inlineStr">
        <is>
          <t>TC-CE-0014</t>
        </is>
      </c>
      <c r="B2966" s="16" t="inlineStr">
        <is>
          <t>Compression &amp; Content Encoding</t>
        </is>
      </c>
      <c r="C2966" s="16" t="inlineStr">
        <is>
          <t>Negotiation</t>
        </is>
      </c>
      <c r="D2966" s="16" t="inlineStr">
        <is>
          <t>Functional</t>
        </is>
      </c>
      <c r="E2966" s="16" t="inlineStr">
        <is>
          <t>Accept-Encoding: Accept-Encoding: gzip, br;q=0.8</t>
        </is>
      </c>
      <c r="F2966" s="16" t="inlineStr">
        <is>
          <t>-</t>
        </is>
      </c>
      <c r="G2966" s="16" t="inlineStr">
        <is>
          <t>1. Set Accept-Encoding: gzip, br;q=0.8.
2. Send.</t>
        </is>
      </c>
      <c r="H2966" s="16" t="inlineStr">
        <is>
          <t>Accept-Encoding: gzip, br;q=0.8</t>
        </is>
      </c>
      <c r="I2966" s="16" t="inlineStr">
        <is>
          <t>Quality-weighted negotiation. App decodes correctly.</t>
        </is>
      </c>
      <c r="J2966" s="16" t="inlineStr"/>
      <c r="K2966" s="16" t="inlineStr">
        <is>
          <t>Not Run</t>
        </is>
      </c>
      <c r="L2966" s="16" t="inlineStr">
        <is>
          <t>Medium</t>
        </is>
      </c>
      <c r="M2966" s="16" t="inlineStr"/>
      <c r="N2966" s="16" t="inlineStr"/>
      <c r="O2966" s="16" t="inlineStr"/>
    </row>
    <row r="2967" ht="72" customHeight="1">
      <c r="A2967" s="16" t="inlineStr">
        <is>
          <t>TC-CE-0015</t>
        </is>
      </c>
      <c r="B2967" s="16" t="inlineStr">
        <is>
          <t>Compression &amp; Content Encoding</t>
        </is>
      </c>
      <c r="C2967" s="16" t="inlineStr">
        <is>
          <t>Negotiation</t>
        </is>
      </c>
      <c r="D2967" s="16" t="inlineStr">
        <is>
          <t>Functional</t>
        </is>
      </c>
      <c r="E2967" s="16" t="inlineStr">
        <is>
          <t>Accept-Encoding: Accept-Encoding: *</t>
        </is>
      </c>
      <c r="F2967" s="16" t="inlineStr">
        <is>
          <t>-</t>
        </is>
      </c>
      <c r="G2967" s="16" t="inlineStr">
        <is>
          <t>1. Set Accept-Encoding: *.
2. Send.</t>
        </is>
      </c>
      <c r="H2967" s="16" t="inlineStr">
        <is>
          <t>Accept-Encoding: *</t>
        </is>
      </c>
      <c r="I2967" s="16" t="inlineStr">
        <is>
          <t>Any encoding accepted. App decodes correctly.</t>
        </is>
      </c>
      <c r="J2967" s="16" t="inlineStr"/>
      <c r="K2967" s="16" t="inlineStr">
        <is>
          <t>Not Run</t>
        </is>
      </c>
      <c r="L2967" s="16" t="inlineStr">
        <is>
          <t>Medium</t>
        </is>
      </c>
      <c r="M2967" s="16" t="inlineStr"/>
      <c r="N2967" s="16" t="inlineStr"/>
      <c r="O2967" s="16" t="inlineStr"/>
    </row>
    <row r="2968" ht="72" customHeight="1">
      <c r="A2968" s="16" t="inlineStr">
        <is>
          <t>TC-CE-0016</t>
        </is>
      </c>
      <c r="B2968" s="16" t="inlineStr">
        <is>
          <t>Compression &amp; Content Encoding</t>
        </is>
      </c>
      <c r="C2968" s="16" t="inlineStr">
        <is>
          <t>Negotiation</t>
        </is>
      </c>
      <c r="D2968" s="16" t="inlineStr">
        <is>
          <t>Functional</t>
        </is>
      </c>
      <c r="E2968" s="16" t="inlineStr">
        <is>
          <t>Accept-Encoding: No Accept-Encoding header</t>
        </is>
      </c>
      <c r="F2968" s="16" t="inlineStr">
        <is>
          <t>-</t>
        </is>
      </c>
      <c r="G2968" s="16" t="inlineStr">
        <is>
          <t>1. Set No Accept-Encoding header.
2. Send.</t>
        </is>
      </c>
      <c r="H2968" s="16" t="inlineStr">
        <is>
          <t>No Accept-Encoding header</t>
        </is>
      </c>
      <c r="I2968" s="16" t="inlineStr">
        <is>
          <t>Server returns identity. App decodes correctly.</t>
        </is>
      </c>
      <c r="J2968" s="16" t="inlineStr"/>
      <c r="K2968" s="16" t="inlineStr">
        <is>
          <t>Not Run</t>
        </is>
      </c>
      <c r="L2968" s="16" t="inlineStr">
        <is>
          <t>Medium</t>
        </is>
      </c>
      <c r="M2968" s="16" t="inlineStr"/>
      <c r="N2968" s="16" t="inlineStr"/>
      <c r="O2968" s="16" t="inlineStr"/>
    </row>
    <row r="2969" ht="72" customHeight="1">
      <c r="A2969" s="16" t="inlineStr">
        <is>
          <t>TC-CE-0017</t>
        </is>
      </c>
      <c r="B2969" s="16" t="inlineStr">
        <is>
          <t>Compression &amp; Content Encoding</t>
        </is>
      </c>
      <c r="C2969" s="16" t="inlineStr">
        <is>
          <t>Failure</t>
        </is>
      </c>
      <c r="D2969" s="16" t="inlineStr">
        <is>
          <t>Negative</t>
        </is>
      </c>
      <c r="E2969" s="16" t="inlineStr">
        <is>
          <t>Corrupt gzip response</t>
        </is>
      </c>
      <c r="F2969" s="16" t="inlineStr">
        <is>
          <t>-</t>
        </is>
      </c>
      <c r="G2969" s="16" t="inlineStr">
        <is>
          <t>1. Server sends corrupt gzip.</t>
        </is>
      </c>
      <c r="H2969" s="16" t="inlineStr">
        <is>
          <t>corrupt</t>
        </is>
      </c>
      <c r="I2969" s="16" t="inlineStr">
        <is>
          <t>Decompression error surfaced clearly; raw bytes available for inspection.</t>
        </is>
      </c>
      <c r="J2969" s="16" t="inlineStr"/>
      <c r="K2969" s="16" t="inlineStr">
        <is>
          <t>Not Run</t>
        </is>
      </c>
      <c r="L2969" s="16" t="inlineStr">
        <is>
          <t>Medium</t>
        </is>
      </c>
      <c r="M2969" s="16" t="inlineStr"/>
      <c r="N2969" s="16" t="inlineStr"/>
      <c r="O2969" s="16" t="inlineStr"/>
    </row>
    <row r="2970" ht="72" customHeight="1">
      <c r="A2970" s="16" t="inlineStr">
        <is>
          <t>TC-CE-0018</t>
        </is>
      </c>
      <c r="B2970" s="16" t="inlineStr">
        <is>
          <t>Compression &amp; Content Encoding</t>
        </is>
      </c>
      <c r="C2970" s="16" t="inlineStr">
        <is>
          <t>Failure</t>
        </is>
      </c>
      <c r="D2970" s="16" t="inlineStr">
        <is>
          <t>Negative</t>
        </is>
      </c>
      <c r="E2970" s="16" t="inlineStr">
        <is>
          <t>Unsupported encoding from server</t>
        </is>
      </c>
      <c r="F2970" s="16" t="inlineStr">
        <is>
          <t>-</t>
        </is>
      </c>
      <c r="G2970" s="16" t="inlineStr">
        <is>
          <t>1. Server returns Content-Encoding: xyz.</t>
        </is>
      </c>
      <c r="H2970" s="16" t="inlineStr">
        <is>
          <t>unsupported</t>
        </is>
      </c>
      <c r="I2970" s="16" t="inlineStr">
        <is>
          <t>Clear error; raw bytes shown.</t>
        </is>
      </c>
      <c r="J2970" s="16" t="inlineStr"/>
      <c r="K2970" s="16" t="inlineStr">
        <is>
          <t>Not Run</t>
        </is>
      </c>
      <c r="L2970" s="16" t="inlineStr">
        <is>
          <t>Low</t>
        </is>
      </c>
      <c r="M2970" s="16" t="inlineStr"/>
      <c r="N2970" s="16" t="inlineStr"/>
      <c r="O2970" s="16" t="inlineStr"/>
    </row>
    <row r="2971" ht="72" customHeight="1">
      <c r="A2971" s="16" t="inlineStr">
        <is>
          <t>TC-SM-0001</t>
        </is>
      </c>
      <c r="B2971" s="16" t="inlineStr">
        <is>
          <t>Schema Migration &amp; Versioning</t>
        </is>
      </c>
      <c r="C2971" s="16" t="inlineStr">
        <is>
          <t>Open v1 workspace.json in current app</t>
        </is>
      </c>
      <c r="D2971" s="16" t="inlineStr">
        <is>
          <t>Compatibility</t>
        </is>
      </c>
      <c r="E2971" s="16" t="inlineStr">
        <is>
          <t>Schema migration: Open v1 workspace.json in current app</t>
        </is>
      </c>
      <c r="F2971" s="16" t="inlineStr">
        <is>
          <t>-</t>
        </is>
      </c>
      <c r="G2971" s="16" t="inlineStr">
        <is>
          <t>1. Pull a workspace saved by an older app version.</t>
        </is>
      </c>
      <c r="H2971" s="16" t="inlineStr">
        <is>
          <t>Open v1 workspace.json in current app</t>
        </is>
      </c>
      <c r="I2971" s="16" t="inlineStr">
        <is>
          <t>App migrates forward in-memory; subsequent push writes current schema; no data loss.</t>
        </is>
      </c>
      <c r="J2971" s="16" t="inlineStr"/>
      <c r="K2971" s="16" t="inlineStr">
        <is>
          <t>Not Run</t>
        </is>
      </c>
      <c r="L2971" s="16" t="inlineStr">
        <is>
          <t>High</t>
        </is>
      </c>
      <c r="M2971" s="16" t="inlineStr"/>
      <c r="N2971" s="16" t="inlineStr"/>
      <c r="O2971" s="16" t="inlineStr"/>
    </row>
    <row r="2972" ht="72" customHeight="1">
      <c r="A2972" s="16" t="inlineStr">
        <is>
          <t>TC-SM-0002</t>
        </is>
      </c>
      <c r="B2972" s="16" t="inlineStr">
        <is>
          <t>Schema Migration &amp; Versioning</t>
        </is>
      </c>
      <c r="C2972" s="16" t="inlineStr">
        <is>
          <t>Open v2 workspace.json</t>
        </is>
      </c>
      <c r="D2972" s="16" t="inlineStr">
        <is>
          <t>Compatibility</t>
        </is>
      </c>
      <c r="E2972" s="16" t="inlineStr">
        <is>
          <t>Schema migration: Open v2 workspace.json</t>
        </is>
      </c>
      <c r="F2972" s="16" t="inlineStr">
        <is>
          <t>-</t>
        </is>
      </c>
      <c r="G2972" s="16" t="inlineStr">
        <is>
          <t>1. Pull.</t>
        </is>
      </c>
      <c r="H2972" s="16" t="inlineStr">
        <is>
          <t>Open v2 workspace.json</t>
        </is>
      </c>
      <c r="I2972" s="16" t="inlineStr">
        <is>
          <t>Migrates; data preserved.</t>
        </is>
      </c>
      <c r="J2972" s="16" t="inlineStr"/>
      <c r="K2972" s="16" t="inlineStr">
        <is>
          <t>Not Run</t>
        </is>
      </c>
      <c r="L2972" s="16" t="inlineStr">
        <is>
          <t>High</t>
        </is>
      </c>
      <c r="M2972" s="16" t="inlineStr"/>
      <c r="N2972" s="16" t="inlineStr"/>
      <c r="O2972" s="16" t="inlineStr"/>
    </row>
    <row r="2973" ht="72" customHeight="1">
      <c r="A2973" s="16" t="inlineStr">
        <is>
          <t>TC-SM-0003</t>
        </is>
      </c>
      <c r="B2973" s="16" t="inlineStr">
        <is>
          <t>Schema Migration &amp; Versioning</t>
        </is>
      </c>
      <c r="C2973" s="16" t="inlineStr">
        <is>
          <t>Open future-schema workspace.json</t>
        </is>
      </c>
      <c r="D2973" s="16" t="inlineStr">
        <is>
          <t>Negative</t>
        </is>
      </c>
      <c r="E2973" s="16" t="inlineStr">
        <is>
          <t>Schema migration: Open future-schema workspace.json</t>
        </is>
      </c>
      <c r="F2973" s="16" t="inlineStr">
        <is>
          <t>-</t>
        </is>
      </c>
      <c r="G2973" s="16" t="inlineStr">
        <is>
          <t>1. Pull workspace marked with future schema version.</t>
        </is>
      </c>
      <c r="H2973" s="16" t="inlineStr">
        <is>
          <t>Open future-schema workspace.json</t>
        </is>
      </c>
      <c r="I2973" s="16" t="inlineStr">
        <is>
          <t>App refuses with clear 'please update' message; no partial load.</t>
        </is>
      </c>
      <c r="J2973" s="16" t="inlineStr"/>
      <c r="K2973" s="16" t="inlineStr">
        <is>
          <t>Not Run</t>
        </is>
      </c>
      <c r="L2973" s="16" t="inlineStr">
        <is>
          <t>High</t>
        </is>
      </c>
      <c r="M2973" s="16" t="inlineStr"/>
      <c r="N2973" s="16" t="inlineStr"/>
      <c r="O2973" s="16" t="inlineStr"/>
    </row>
    <row r="2974" ht="72" customHeight="1">
      <c r="A2974" s="16" t="inlineStr">
        <is>
          <t>TC-SM-0004</t>
        </is>
      </c>
      <c r="B2974" s="16" t="inlineStr">
        <is>
          <t>Schema Migration &amp; Versioning</t>
        </is>
      </c>
      <c r="C2974" s="16" t="inlineStr">
        <is>
          <t>Migration adds new optional fields</t>
        </is>
      </c>
      <c r="D2974" s="16" t="inlineStr">
        <is>
          <t>Functional</t>
        </is>
      </c>
      <c r="E2974" s="16" t="inlineStr">
        <is>
          <t>Schema migration: Migration adds new optional fields</t>
        </is>
      </c>
      <c r="F2974" s="16" t="inlineStr">
        <is>
          <t>-</t>
        </is>
      </c>
      <c r="G2974" s="16" t="inlineStr">
        <is>
          <t>1. Old workspace missing newer fields.</t>
        </is>
      </c>
      <c r="H2974" s="16" t="inlineStr">
        <is>
          <t>Migration adds new optional fields</t>
        </is>
      </c>
      <c r="I2974" s="16" t="inlineStr">
        <is>
          <t>Defaults applied silently; UI shows new sections empty.</t>
        </is>
      </c>
      <c r="J2974" s="16" t="inlineStr"/>
      <c r="K2974" s="16" t="inlineStr">
        <is>
          <t>Not Run</t>
        </is>
      </c>
      <c r="L2974" s="16" t="inlineStr">
        <is>
          <t>Medium</t>
        </is>
      </c>
      <c r="M2974" s="16" t="inlineStr"/>
      <c r="N2974" s="16" t="inlineStr"/>
      <c r="O2974" s="16" t="inlineStr"/>
    </row>
    <row r="2975" ht="72" customHeight="1">
      <c r="A2975" s="16" t="inlineStr">
        <is>
          <t>TC-SM-0005</t>
        </is>
      </c>
      <c r="B2975" s="16" t="inlineStr">
        <is>
          <t>Schema Migration &amp; Versioning</t>
        </is>
      </c>
      <c r="C2975" s="16" t="inlineStr">
        <is>
          <t>Migration renames a field</t>
        </is>
      </c>
      <c r="D2975" s="16" t="inlineStr">
        <is>
          <t>Functional</t>
        </is>
      </c>
      <c r="E2975" s="16" t="inlineStr">
        <is>
          <t>Schema migration: Migration renames a field</t>
        </is>
      </c>
      <c r="F2975" s="16" t="inlineStr">
        <is>
          <t>-</t>
        </is>
      </c>
      <c r="G2975" s="16" t="inlineStr">
        <is>
          <t>1. Old field name still present.</t>
        </is>
      </c>
      <c r="H2975" s="16" t="inlineStr">
        <is>
          <t>Migration renames a field</t>
        </is>
      </c>
      <c r="I2975" s="16" t="inlineStr">
        <is>
          <t>Renamed on load; persisted under new name on next push.</t>
        </is>
      </c>
      <c r="J2975" s="16" t="inlineStr"/>
      <c r="K2975" s="16" t="inlineStr">
        <is>
          <t>Not Run</t>
        </is>
      </c>
      <c r="L2975" s="16" t="inlineStr">
        <is>
          <t>Medium</t>
        </is>
      </c>
      <c r="M2975" s="16" t="inlineStr"/>
      <c r="N2975" s="16" t="inlineStr"/>
      <c r="O2975" s="16" t="inlineStr"/>
    </row>
    <row r="2976" ht="72" customHeight="1">
      <c r="A2976" s="16" t="inlineStr">
        <is>
          <t>TC-SM-0006</t>
        </is>
      </c>
      <c r="B2976" s="16" t="inlineStr">
        <is>
          <t>Schema Migration &amp; Versioning</t>
        </is>
      </c>
      <c r="C2976" s="16" t="inlineStr">
        <is>
          <t>Migration removes a deprecated field</t>
        </is>
      </c>
      <c r="D2976" s="16" t="inlineStr">
        <is>
          <t>Functional</t>
        </is>
      </c>
      <c r="E2976" s="16" t="inlineStr">
        <is>
          <t>Schema migration: Migration removes a deprecated field</t>
        </is>
      </c>
      <c r="F2976" s="16" t="inlineStr">
        <is>
          <t>-</t>
        </is>
      </c>
      <c r="G2976" s="16" t="inlineStr">
        <is>
          <t>1. Old field present.</t>
        </is>
      </c>
      <c r="H2976" s="16" t="inlineStr">
        <is>
          <t>Migration removes a deprecated field</t>
        </is>
      </c>
      <c r="I2976" s="16" t="inlineStr">
        <is>
          <t>Dropped on load; warning logged once.</t>
        </is>
      </c>
      <c r="J2976" s="16" t="inlineStr"/>
      <c r="K2976" s="16" t="inlineStr">
        <is>
          <t>Not Run</t>
        </is>
      </c>
      <c r="L2976" s="16" t="inlineStr">
        <is>
          <t>Medium</t>
        </is>
      </c>
      <c r="M2976" s="16" t="inlineStr"/>
      <c r="N2976" s="16" t="inlineStr"/>
      <c r="O2976" s="16" t="inlineStr"/>
    </row>
    <row r="2977" ht="72" customHeight="1">
      <c r="A2977" s="16" t="inlineStr">
        <is>
          <t>TC-SM-0007</t>
        </is>
      </c>
      <c r="B2977" s="16" t="inlineStr">
        <is>
          <t>Schema Migration &amp; Versioning</t>
        </is>
      </c>
      <c r="C2977" s="16" t="inlineStr">
        <is>
          <t>Migration is reversible (or one-way clearly stated)</t>
        </is>
      </c>
      <c r="D2977" s="16" t="inlineStr">
        <is>
          <t>Regression</t>
        </is>
      </c>
      <c r="E2977" s="16" t="inlineStr">
        <is>
          <t>Schema migration: Migration is reversible (or one-way clearly stated)</t>
        </is>
      </c>
      <c r="F2977" s="16" t="inlineStr">
        <is>
          <t>-</t>
        </is>
      </c>
      <c r="G2977" s="16" t="inlineStr">
        <is>
          <t>1. Inspect docs/code.</t>
        </is>
      </c>
      <c r="H2977" s="16" t="inlineStr">
        <is>
          <t>Migration is reversible (or one-way clearly stated)</t>
        </is>
      </c>
      <c r="I2977" s="16" t="inlineStr">
        <is>
          <t>Migration direction documented; downgrade path noted.</t>
        </is>
      </c>
      <c r="J2977" s="16" t="inlineStr"/>
      <c r="K2977" s="16" t="inlineStr">
        <is>
          <t>Not Run</t>
        </is>
      </c>
      <c r="L2977" s="16" t="inlineStr">
        <is>
          <t>Medium</t>
        </is>
      </c>
      <c r="M2977" s="16" t="inlineStr"/>
      <c r="N2977" s="16" t="inlineStr"/>
      <c r="O2977" s="16" t="inlineStr"/>
    </row>
    <row r="2978" ht="72" customHeight="1">
      <c r="A2978" s="16" t="inlineStr">
        <is>
          <t>TC-SM-0008</t>
        </is>
      </c>
      <c r="B2978" s="16" t="inlineStr">
        <is>
          <t>Schema Migration &amp; Versioning</t>
        </is>
      </c>
      <c r="C2978" s="16" t="inlineStr">
        <is>
          <t>Two devices on different app versions</t>
        </is>
      </c>
      <c r="D2978" s="16" t="inlineStr">
        <is>
          <t>Edge Case</t>
        </is>
      </c>
      <c r="E2978" s="16" t="inlineStr">
        <is>
          <t>Schema migration: Two devices on different app versions</t>
        </is>
      </c>
      <c r="F2978" s="16" t="inlineStr">
        <is>
          <t>-</t>
        </is>
      </c>
      <c r="G2978" s="16" t="inlineStr">
        <is>
          <t>1. Older device pulls newer schema; pushes back.</t>
        </is>
      </c>
      <c r="H2978" s="16" t="inlineStr">
        <is>
          <t>Two devices on different app versions</t>
        </is>
      </c>
      <c r="I2978" s="16" t="inlineStr">
        <is>
          <t>Older device refuses or warns; never silently downgrades.</t>
        </is>
      </c>
      <c r="J2978" s="16" t="inlineStr"/>
      <c r="K2978" s="16" t="inlineStr">
        <is>
          <t>Not Run</t>
        </is>
      </c>
      <c r="L2978" s="16" t="inlineStr">
        <is>
          <t>High</t>
        </is>
      </c>
      <c r="M2978" s="16" t="inlineStr"/>
      <c r="N2978" s="16" t="inlineStr"/>
      <c r="O2978" s="16" t="inlineStr"/>
    </row>
    <row r="2979" ht="72" customHeight="1">
      <c r="A2979" s="16" t="inlineStr">
        <is>
          <t>TC-SM-0009</t>
        </is>
      </c>
      <c r="B2979" s="16" t="inlineStr">
        <is>
          <t>Schema Migration &amp; Versioning</t>
        </is>
      </c>
      <c r="C2979" s="16" t="inlineStr">
        <is>
          <t>CLI MCP version mismatch with desktop</t>
        </is>
      </c>
      <c r="D2979" s="16" t="inlineStr">
        <is>
          <t>Edge Case</t>
        </is>
      </c>
      <c r="E2979" s="16" t="inlineStr">
        <is>
          <t>Schema migration: CLI MCP version mismatch with desktop</t>
        </is>
      </c>
      <c r="F2979" s="16" t="inlineStr">
        <is>
          <t>-</t>
        </is>
      </c>
      <c r="G2979" s="16" t="inlineStr">
        <is>
          <t>1. Newer mcp binary against older workspace, or vice versa.</t>
        </is>
      </c>
      <c r="H2979" s="16" t="inlineStr">
        <is>
          <t>CLI MCP version mismatch with desktop</t>
        </is>
      </c>
      <c r="I2979" s="16" t="inlineStr">
        <is>
          <t>Version negotiated; clear error if incompatible.</t>
        </is>
      </c>
      <c r="J2979" s="16" t="inlineStr"/>
      <c r="K2979" s="16" t="inlineStr">
        <is>
          <t>Not Run</t>
        </is>
      </c>
      <c r="L2979" s="16" t="inlineStr">
        <is>
          <t>Medium</t>
        </is>
      </c>
      <c r="M2979" s="16" t="inlineStr"/>
      <c r="N2979" s="16" t="inlineStr"/>
      <c r="O2979" s="16" t="inlineStr"/>
    </row>
    <row r="2980" ht="72" customHeight="1">
      <c r="A2980" s="16" t="inlineStr">
        <is>
          <t>TC-SM-0010</t>
        </is>
      </c>
      <c r="B2980" s="16" t="inlineStr">
        <is>
          <t>Schema Migration &amp; Versioning</t>
        </is>
      </c>
      <c r="C2980" s="16" t="inlineStr">
        <is>
          <t>Telemetry: migration event tracked once per upgrade</t>
        </is>
      </c>
      <c r="D2980" s="16" t="inlineStr">
        <is>
          <t>Regression</t>
        </is>
      </c>
      <c r="E2980" s="16" t="inlineStr">
        <is>
          <t>Schema migration: Telemetry: migration event tracked once per upgrade</t>
        </is>
      </c>
      <c r="F2980" s="16" t="inlineStr">
        <is>
          <t>-</t>
        </is>
      </c>
      <c r="G2980" s="16" t="inlineStr">
        <is>
          <t>1. First migration boot.</t>
        </is>
      </c>
      <c r="H2980" s="16" t="inlineStr">
        <is>
          <t>Telemetry: migration event tracked once per upgrade</t>
        </is>
      </c>
      <c r="I2980" s="16" t="inlineStr">
        <is>
          <t>One event; subsequent boots silent.</t>
        </is>
      </c>
      <c r="J2980" s="16" t="inlineStr"/>
      <c r="K2980" s="16" t="inlineStr">
        <is>
          <t>Not Run</t>
        </is>
      </c>
      <c r="L2980" s="16" t="inlineStr">
        <is>
          <t>Low</t>
        </is>
      </c>
      <c r="M2980" s="16" t="inlineStr"/>
      <c r="N2980" s="16" t="inlineStr"/>
      <c r="O2980" s="16" t="inlineStr"/>
    </row>
    <row r="2981" ht="72" customHeight="1">
      <c r="A2981" s="16" t="inlineStr">
        <is>
          <t>TC-SM-0011</t>
        </is>
      </c>
      <c r="B2981" s="16" t="inlineStr">
        <is>
          <t>Schema Migration &amp; Versioning</t>
        </is>
      </c>
      <c r="C2981" s="16" t="inlineStr">
        <is>
          <t>Encrypted secrets survive migration</t>
        </is>
      </c>
      <c r="D2981" s="16" t="inlineStr">
        <is>
          <t>Security</t>
        </is>
      </c>
      <c r="E2981" s="16" t="inlineStr">
        <is>
          <t>Schema migration: Encrypted secrets survive migration</t>
        </is>
      </c>
      <c r="F2981" s="16" t="inlineStr">
        <is>
          <t>-</t>
        </is>
      </c>
      <c r="G2981" s="16" t="inlineStr">
        <is>
          <t>1. Old schema with secrets; migrate.</t>
        </is>
      </c>
      <c r="H2981" s="16" t="inlineStr">
        <is>
          <t>Encrypted secrets survive migration</t>
        </is>
      </c>
      <c r="I2981" s="16" t="inlineStr">
        <is>
          <t>Cipher format preserved; passphrase unlock still works.</t>
        </is>
      </c>
      <c r="J2981" s="16" t="inlineStr"/>
      <c r="K2981" s="16" t="inlineStr">
        <is>
          <t>Not Run</t>
        </is>
      </c>
      <c r="L2981" s="16" t="inlineStr">
        <is>
          <t>High</t>
        </is>
      </c>
      <c r="M2981" s="16" t="inlineStr"/>
      <c r="N2981" s="16" t="inlineStr"/>
      <c r="O2981" s="16" t="inlineStr"/>
    </row>
    <row r="2982" ht="72" customHeight="1">
      <c r="A2982" s="16" t="inlineStr">
        <is>
          <t>TC-SM-0012</t>
        </is>
      </c>
      <c r="B2982" s="16" t="inlineStr">
        <is>
          <t>Schema Migration &amp; Versioning</t>
        </is>
      </c>
      <c r="C2982" s="16" t="inlineStr">
        <is>
          <t>Linked workspace ledger migration</t>
        </is>
      </c>
      <c r="D2982" s="16" t="inlineStr">
        <is>
          <t>Edge Case</t>
        </is>
      </c>
      <c r="E2982" s="16" t="inlineStr">
        <is>
          <t>Schema migration: Linked workspace ledger migration</t>
        </is>
      </c>
      <c r="F2982" s="16" t="inlineStr">
        <is>
          <t>-</t>
        </is>
      </c>
      <c r="G2982" s="16" t="inlineStr">
        <is>
          <t>1. Old release ledger shape.</t>
        </is>
      </c>
      <c r="H2982" s="16" t="inlineStr">
        <is>
          <t>Linked workspace ledger migration</t>
        </is>
      </c>
      <c r="I2982" s="16" t="inlineStr">
        <is>
          <t>Migrated; version pinning preserved.</t>
        </is>
      </c>
      <c r="J2982" s="16" t="inlineStr"/>
      <c r="K2982" s="16" t="inlineStr">
        <is>
          <t>Not Run</t>
        </is>
      </c>
      <c r="L2982" s="16" t="inlineStr">
        <is>
          <t>Medium</t>
        </is>
      </c>
      <c r="M2982" s="16" t="inlineStr"/>
      <c r="N2982" s="16" t="inlineStr"/>
      <c r="O2982" s="16" t="inlineStr"/>
    </row>
    <row r="2983" ht="72" customHeight="1">
      <c r="A2983" s="16" t="inlineStr">
        <is>
          <t>TC-MU-0001</t>
        </is>
      </c>
      <c r="B2983" s="16" t="inlineStr">
        <is>
          <t>Multi-User Concurrency</t>
        </is>
      </c>
      <c r="C2983" s="16" t="inlineStr">
        <is>
          <t>Two devs add request to same folder simultaneously</t>
        </is>
      </c>
      <c r="D2983" s="16" t="inlineStr">
        <is>
          <t>Edge Case</t>
        </is>
      </c>
      <c r="E2983" s="16" t="inlineStr">
        <is>
          <t>Multi-user: Two devs add request to same folder simultaneously</t>
        </is>
      </c>
      <c r="F2983" s="16" t="inlineStr">
        <is>
          <t>-</t>
        </is>
      </c>
      <c r="G2983" s="16" t="inlineStr">
        <is>
          <t>1. Both push.</t>
        </is>
      </c>
      <c r="H2983" s="16" t="inlineStr">
        <is>
          <t>Two devs add request to same folder simultaneously</t>
        </is>
      </c>
      <c r="I2983" s="16" t="inlineStr">
        <is>
          <t>Both adds merge; no id collision.</t>
        </is>
      </c>
      <c r="J2983" s="16" t="inlineStr"/>
      <c r="K2983" s="16" t="inlineStr">
        <is>
          <t>Not Run</t>
        </is>
      </c>
      <c r="L2983" s="16" t="inlineStr">
        <is>
          <t>High</t>
        </is>
      </c>
      <c r="M2983" s="16" t="inlineStr"/>
      <c r="N2983" s="16" t="inlineStr"/>
      <c r="O2983" s="16" t="inlineStr"/>
    </row>
    <row r="2984" ht="72" customHeight="1">
      <c r="A2984" s="16" t="inlineStr">
        <is>
          <t>TC-MU-0002</t>
        </is>
      </c>
      <c r="B2984" s="16" t="inlineStr">
        <is>
          <t>Multi-User Concurrency</t>
        </is>
      </c>
      <c r="C2984" s="16" t="inlineStr">
        <is>
          <t>Two devs edit different fields of same request</t>
        </is>
      </c>
      <c r="D2984" s="16" t="inlineStr">
        <is>
          <t>Functional</t>
        </is>
      </c>
      <c r="E2984" s="16" t="inlineStr">
        <is>
          <t>Multi-user: Two devs edit different fields of same request</t>
        </is>
      </c>
      <c r="F2984" s="16" t="inlineStr">
        <is>
          <t>-</t>
        </is>
      </c>
      <c r="G2984" s="16" t="inlineStr">
        <is>
          <t>1. Both push.</t>
        </is>
      </c>
      <c r="H2984" s="16" t="inlineStr">
        <is>
          <t>Two devs edit different fields of same request</t>
        </is>
      </c>
      <c r="I2984" s="16" t="inlineStr">
        <is>
          <t>Auto-merged; both edits applied.</t>
        </is>
      </c>
      <c r="J2984" s="16" t="inlineStr"/>
      <c r="K2984" s="16" t="inlineStr">
        <is>
          <t>Not Run</t>
        </is>
      </c>
      <c r="L2984" s="16" t="inlineStr">
        <is>
          <t>High</t>
        </is>
      </c>
      <c r="M2984" s="16" t="inlineStr"/>
      <c r="N2984" s="16" t="inlineStr"/>
      <c r="O2984" s="16" t="inlineStr"/>
    </row>
    <row r="2985" ht="72" customHeight="1">
      <c r="A2985" s="16" t="inlineStr">
        <is>
          <t>TC-MU-0003</t>
        </is>
      </c>
      <c r="B2985" s="16" t="inlineStr">
        <is>
          <t>Multi-User Concurrency</t>
        </is>
      </c>
      <c r="C2985" s="16" t="inlineStr">
        <is>
          <t>Two devs edit same field of same request</t>
        </is>
      </c>
      <c r="D2985" s="16" t="inlineStr">
        <is>
          <t>Negative</t>
        </is>
      </c>
      <c r="E2985" s="16" t="inlineStr">
        <is>
          <t>Multi-user: Two devs edit same field of same request</t>
        </is>
      </c>
      <c r="F2985" s="16" t="inlineStr">
        <is>
          <t>-</t>
        </is>
      </c>
      <c r="G2985" s="16" t="inlineStr">
        <is>
          <t>1. Both push.</t>
        </is>
      </c>
      <c r="H2985" s="16" t="inlineStr">
        <is>
          <t>Two devs edit same field of same request</t>
        </is>
      </c>
      <c r="I2985" s="16" t="inlineStr">
        <is>
          <t>Conflict modal on second pull; explicit resolution.</t>
        </is>
      </c>
      <c r="J2985" s="16" t="inlineStr"/>
      <c r="K2985" s="16" t="inlineStr">
        <is>
          <t>Not Run</t>
        </is>
      </c>
      <c r="L2985" s="16" t="inlineStr">
        <is>
          <t>High</t>
        </is>
      </c>
      <c r="M2985" s="16" t="inlineStr"/>
      <c r="N2985" s="16" t="inlineStr"/>
      <c r="O2985" s="16" t="inlineStr"/>
    </row>
    <row r="2986" ht="72" customHeight="1">
      <c r="A2986" s="16" t="inlineStr">
        <is>
          <t>TC-MU-0004</t>
        </is>
      </c>
      <c r="B2986" s="16" t="inlineStr">
        <is>
          <t>Multi-User Concurrency</t>
        </is>
      </c>
      <c r="C2986" s="16" t="inlineStr">
        <is>
          <t>Dev A deletes; dev B edits</t>
        </is>
      </c>
      <c r="D2986" s="16" t="inlineStr">
        <is>
          <t>Negative</t>
        </is>
      </c>
      <c r="E2986" s="16" t="inlineStr">
        <is>
          <t>Multi-user: Dev A deletes; dev B edits</t>
        </is>
      </c>
      <c r="F2986" s="16" t="inlineStr">
        <is>
          <t>-</t>
        </is>
      </c>
      <c r="G2986" s="16" t="inlineStr">
        <is>
          <t>1. A deletes; B pushes edit.</t>
        </is>
      </c>
      <c r="H2986" s="16" t="inlineStr">
        <is>
          <t>Dev A deletes; dev B edits</t>
        </is>
      </c>
      <c r="I2986" s="16" t="inlineStr">
        <is>
          <t>Conflict; B chooses to resurrect or accept delete.</t>
        </is>
      </c>
      <c r="J2986" s="16" t="inlineStr"/>
      <c r="K2986" s="16" t="inlineStr">
        <is>
          <t>Not Run</t>
        </is>
      </c>
      <c r="L2986" s="16" t="inlineStr">
        <is>
          <t>High</t>
        </is>
      </c>
      <c r="M2986" s="16" t="inlineStr"/>
      <c r="N2986" s="16" t="inlineStr"/>
      <c r="O2986" s="16" t="inlineStr"/>
    </row>
    <row r="2987" ht="72" customHeight="1">
      <c r="A2987" s="16" t="inlineStr">
        <is>
          <t>TC-MU-0005</t>
        </is>
      </c>
      <c r="B2987" s="16" t="inlineStr">
        <is>
          <t>Multi-User Concurrency</t>
        </is>
      </c>
      <c r="C2987" s="16" t="inlineStr">
        <is>
          <t>Three devs in succession</t>
        </is>
      </c>
      <c r="D2987" s="16" t="inlineStr">
        <is>
          <t>Edge Case</t>
        </is>
      </c>
      <c r="E2987" s="16" t="inlineStr">
        <is>
          <t>Multi-user: Three devs in succession</t>
        </is>
      </c>
      <c r="F2987" s="16" t="inlineStr">
        <is>
          <t>-</t>
        </is>
      </c>
      <c r="G2987" s="16" t="inlineStr">
        <is>
          <t>1. A pushes; B pulls and pushes; C pulls and pushes.</t>
        </is>
      </c>
      <c r="H2987" s="16" t="inlineStr">
        <is>
          <t>Three devs in succession</t>
        </is>
      </c>
      <c r="I2987" s="16" t="inlineStr">
        <is>
          <t>Each pulls latest; all changes preserved.</t>
        </is>
      </c>
      <c r="J2987" s="16" t="inlineStr"/>
      <c r="K2987" s="16" t="inlineStr">
        <is>
          <t>Not Run</t>
        </is>
      </c>
      <c r="L2987" s="16" t="inlineStr">
        <is>
          <t>Medium</t>
        </is>
      </c>
      <c r="M2987" s="16" t="inlineStr"/>
      <c r="N2987" s="16" t="inlineStr"/>
      <c r="O2987" s="16" t="inlineStr"/>
    </row>
    <row r="2988" ht="72" customHeight="1">
      <c r="A2988" s="16" t="inlineStr">
        <is>
          <t>TC-MU-0006</t>
        </is>
      </c>
      <c r="B2988" s="16" t="inlineStr">
        <is>
          <t>Multi-User Concurrency</t>
        </is>
      </c>
      <c r="C2988" s="16" t="inlineStr">
        <is>
          <t>Dev forgets to pull and pushes after main moved</t>
        </is>
      </c>
      <c r="D2988" s="16" t="inlineStr">
        <is>
          <t>Negative</t>
        </is>
      </c>
      <c r="E2988" s="16" t="inlineStr">
        <is>
          <t>Multi-user: Dev forgets to pull and pushes after main moved</t>
        </is>
      </c>
      <c r="F2988" s="16" t="inlineStr">
        <is>
          <t>-</t>
        </is>
      </c>
      <c r="G2988" s="16" t="inlineStr">
        <is>
          <t>1. Push.</t>
        </is>
      </c>
      <c r="H2988" s="16" t="inlineStr">
        <is>
          <t>Dev forgets to pull and pushes after main moved</t>
        </is>
      </c>
      <c r="I2988" s="16" t="inlineStr">
        <is>
          <t>Rejected; prompted to pull-merge-push.</t>
        </is>
      </c>
      <c r="J2988" s="16" t="inlineStr"/>
      <c r="K2988" s="16" t="inlineStr">
        <is>
          <t>Not Run</t>
        </is>
      </c>
      <c r="L2988" s="16" t="inlineStr">
        <is>
          <t>High</t>
        </is>
      </c>
      <c r="M2988" s="16" t="inlineStr"/>
      <c r="N2988" s="16" t="inlineStr"/>
      <c r="O2988" s="16" t="inlineStr"/>
    </row>
    <row r="2989" ht="72" customHeight="1">
      <c r="A2989" s="16" t="inlineStr">
        <is>
          <t>TC-MU-0007</t>
        </is>
      </c>
      <c r="B2989" s="16" t="inlineStr">
        <is>
          <t>Multi-User Concurrency</t>
        </is>
      </c>
      <c r="C2989" s="16" t="inlineStr">
        <is>
          <t>PR review on GitHub (out-of-band edit)</t>
        </is>
      </c>
      <c r="D2989" s="16" t="inlineStr">
        <is>
          <t>Edge Case</t>
        </is>
      </c>
      <c r="E2989" s="16" t="inlineStr">
        <is>
          <t>Multi-user: PR review on GitHub (out-of-band edit)</t>
        </is>
      </c>
      <c r="F2989" s="16" t="inlineStr">
        <is>
          <t>-</t>
        </is>
      </c>
      <c r="G2989" s="16" t="inlineStr">
        <is>
          <t>1. Reviewer edits via GitHub web.
2. Dev pulls.</t>
        </is>
      </c>
      <c r="H2989" s="16" t="inlineStr">
        <is>
          <t>PR review on GitHub (out-of-band edit)</t>
        </is>
      </c>
      <c r="I2989" s="16" t="inlineStr">
        <is>
          <t>Reviewer's commit pulled cleanly.</t>
        </is>
      </c>
      <c r="J2989" s="16" t="inlineStr"/>
      <c r="K2989" s="16" t="inlineStr">
        <is>
          <t>Not Run</t>
        </is>
      </c>
      <c r="L2989" s="16" t="inlineStr">
        <is>
          <t>Medium</t>
        </is>
      </c>
      <c r="M2989" s="16" t="inlineStr"/>
      <c r="N2989" s="16" t="inlineStr"/>
      <c r="O2989" s="16" t="inlineStr"/>
    </row>
    <row r="2990" ht="72" customHeight="1">
      <c r="A2990" s="16" t="inlineStr">
        <is>
          <t>TC-MU-0008</t>
        </is>
      </c>
      <c r="B2990" s="16" t="inlineStr">
        <is>
          <t>Multi-User Concurrency</t>
        </is>
      </c>
      <c r="C2990" s="16" t="inlineStr">
        <is>
          <t>Branch protection requires linear history</t>
        </is>
      </c>
      <c r="D2990" s="16" t="inlineStr">
        <is>
          <t>Compatibility</t>
        </is>
      </c>
      <c r="E2990" s="16" t="inlineStr">
        <is>
          <t>Multi-user: Branch protection requires linear history</t>
        </is>
      </c>
      <c r="F2990" s="16" t="inlineStr">
        <is>
          <t>-</t>
        </is>
      </c>
      <c r="G2990" s="16" t="inlineStr">
        <is>
          <t>1. App attempts merge commit; protection blocks.</t>
        </is>
      </c>
      <c r="H2990" s="16" t="inlineStr">
        <is>
          <t>Branch protection requires linear history</t>
        </is>
      </c>
      <c r="I2990" s="16" t="inlineStr">
        <is>
          <t>App falls back to rebase or surfaces clear error.</t>
        </is>
      </c>
      <c r="J2990" s="16" t="inlineStr"/>
      <c r="K2990" s="16" t="inlineStr">
        <is>
          <t>Not Run</t>
        </is>
      </c>
      <c r="L2990" s="16" t="inlineStr">
        <is>
          <t>Medium</t>
        </is>
      </c>
      <c r="M2990" s="16" t="inlineStr"/>
      <c r="N2990" s="16" t="inlineStr"/>
      <c r="O2990" s="16" t="inlineStr"/>
    </row>
    <row r="2991" ht="72" customHeight="1">
      <c r="A2991" s="16" t="inlineStr">
        <is>
          <t>TC-MU-0009</t>
        </is>
      </c>
      <c r="B2991" s="16" t="inlineStr">
        <is>
          <t>Multi-User Concurrency</t>
        </is>
      </c>
      <c r="C2991" s="16" t="inlineStr">
        <is>
          <t>Two devs on different branches, then merge</t>
        </is>
      </c>
      <c r="D2991" s="16" t="inlineStr">
        <is>
          <t>Functional</t>
        </is>
      </c>
      <c r="E2991" s="16" t="inlineStr">
        <is>
          <t>Multi-user: Two devs on different branches, then merge</t>
        </is>
      </c>
      <c r="F2991" s="16" t="inlineStr">
        <is>
          <t>-</t>
        </is>
      </c>
      <c r="G2991" s="16" t="inlineStr">
        <is>
          <t>1. Independent branches; merge.</t>
        </is>
      </c>
      <c r="H2991" s="16" t="inlineStr">
        <is>
          <t>Two devs on different branches, then merge</t>
        </is>
      </c>
      <c r="I2991" s="16" t="inlineStr">
        <is>
          <t>Cross-branch merge clean.</t>
        </is>
      </c>
      <c r="J2991" s="16" t="inlineStr"/>
      <c r="K2991" s="16" t="inlineStr">
        <is>
          <t>Not Run</t>
        </is>
      </c>
      <c r="L2991" s="16" t="inlineStr">
        <is>
          <t>Medium</t>
        </is>
      </c>
      <c r="M2991" s="16" t="inlineStr"/>
      <c r="N2991" s="16" t="inlineStr"/>
      <c r="O2991" s="16" t="inlineStr"/>
    </row>
    <row r="2992" ht="72" customHeight="1">
      <c r="A2992" s="16" t="inlineStr">
        <is>
          <t>TC-MU-0010</t>
        </is>
      </c>
      <c r="B2992" s="16" t="inlineStr">
        <is>
          <t>Multi-User Concurrency</t>
        </is>
      </c>
      <c r="C2992" s="16" t="inlineStr">
        <is>
          <t>Force-push by another dev</t>
        </is>
      </c>
      <c r="D2992" s="16" t="inlineStr">
        <is>
          <t>Edge Case</t>
        </is>
      </c>
      <c r="E2992" s="16" t="inlineStr">
        <is>
          <t>Multi-user: Force-push by another dev</t>
        </is>
      </c>
      <c r="F2992" s="16" t="inlineStr">
        <is>
          <t>-</t>
        </is>
      </c>
      <c r="G2992" s="16" t="inlineStr">
        <is>
          <t>1. Co-dev force-pushes; user pulls.</t>
        </is>
      </c>
      <c r="H2992" s="16" t="inlineStr">
        <is>
          <t>Force-push by another dev</t>
        </is>
      </c>
      <c r="I2992" s="16" t="inlineStr">
        <is>
          <t>History rewrite detected; warning; reset option.</t>
        </is>
      </c>
      <c r="J2992" s="16" t="inlineStr"/>
      <c r="K2992" s="16" t="inlineStr">
        <is>
          <t>Not Run</t>
        </is>
      </c>
      <c r="L2992" s="16" t="inlineStr">
        <is>
          <t>Medium</t>
        </is>
      </c>
      <c r="M2992" s="16" t="inlineStr"/>
      <c r="N2992" s="16" t="inlineStr"/>
      <c r="O2992" s="16" t="inlineStr"/>
    </row>
    <row r="2993" ht="72" customHeight="1">
      <c r="A2993" s="16" t="inlineStr">
        <is>
          <t>TC-MU-0011</t>
        </is>
      </c>
      <c r="B2993" s="16" t="inlineStr">
        <is>
          <t>Multi-User Concurrency</t>
        </is>
      </c>
      <c r="C2993" s="16" t="inlineStr">
        <is>
          <t>Pull while another push in progress on remote</t>
        </is>
      </c>
      <c r="D2993" s="16" t="inlineStr">
        <is>
          <t>Edge Case</t>
        </is>
      </c>
      <c r="E2993" s="16" t="inlineStr">
        <is>
          <t>Multi-user: Pull while another push in progress on remote</t>
        </is>
      </c>
      <c r="F2993" s="16" t="inlineStr">
        <is>
          <t>-</t>
        </is>
      </c>
      <c r="G2993" s="16" t="inlineStr">
        <is>
          <t>1. Race the operations.</t>
        </is>
      </c>
      <c r="H2993" s="16" t="inlineStr">
        <is>
          <t>Pull while another push in progress on remote</t>
        </is>
      </c>
      <c r="I2993" s="16" t="inlineStr">
        <is>
          <t>Last-writer wins on remote; user pulls latest.</t>
        </is>
      </c>
      <c r="J2993" s="16" t="inlineStr"/>
      <c r="K2993" s="16" t="inlineStr">
        <is>
          <t>Not Run</t>
        </is>
      </c>
      <c r="L2993" s="16" t="inlineStr">
        <is>
          <t>Medium</t>
        </is>
      </c>
      <c r="M2993" s="16" t="inlineStr"/>
      <c r="N2993" s="16" t="inlineStr"/>
      <c r="O2993" s="16" t="inlineStr"/>
    </row>
    <row r="2994" ht="72" customHeight="1">
      <c r="A2994" s="16" t="inlineStr">
        <is>
          <t>TC-MU-0012</t>
        </is>
      </c>
      <c r="B2994" s="16" t="inlineStr">
        <is>
          <t>Multi-User Concurrency</t>
        </is>
      </c>
      <c r="C2994" s="16" t="inlineStr">
        <is>
          <t>Linked workspace owned by another team updates</t>
        </is>
      </c>
      <c r="D2994" s="16" t="inlineStr">
        <is>
          <t>Edge Case</t>
        </is>
      </c>
      <c r="E2994" s="16" t="inlineStr">
        <is>
          <t>Multi-user: Linked workspace owned by another team updates</t>
        </is>
      </c>
      <c r="F2994" s="16" t="inlineStr">
        <is>
          <t>-</t>
        </is>
      </c>
      <c r="G2994" s="16" t="inlineStr">
        <is>
          <t>1. Source linked WS published v2.</t>
        </is>
      </c>
      <c r="H2994" s="16" t="inlineStr">
        <is>
          <t>Linked workspace owned by another team updates</t>
        </is>
      </c>
      <c r="I2994" s="16" t="inlineStr">
        <is>
          <t>Consumer banner 'Update available'; opt-in adoption.</t>
        </is>
      </c>
      <c r="J2994" s="16" t="inlineStr"/>
      <c r="K2994" s="16" t="inlineStr">
        <is>
          <t>Not Run</t>
        </is>
      </c>
      <c r="L2994" s="16" t="inlineStr">
        <is>
          <t>High</t>
        </is>
      </c>
      <c r="M2994" s="16" t="inlineStr"/>
      <c r="N2994" s="16" t="inlineStr"/>
      <c r="O2994" s="16" t="inlineStr"/>
    </row>
    <row r="2995" ht="72" customHeight="1">
      <c r="A2995" s="16" t="inlineStr">
        <is>
          <t>TC-MU-0013</t>
        </is>
      </c>
      <c r="B2995" s="16" t="inlineStr">
        <is>
          <t>Multi-User Concurrency</t>
        </is>
      </c>
      <c r="C2995" s="16" t="inlineStr">
        <is>
          <t>Encrypted vars on multi-user repo</t>
        </is>
      </c>
      <c r="D2995" s="16" t="inlineStr">
        <is>
          <t>Security</t>
        </is>
      </c>
      <c r="E2995" s="16" t="inlineStr">
        <is>
          <t>Multi-user: Encrypted vars on multi-user repo</t>
        </is>
      </c>
      <c r="F2995" s="16" t="inlineStr">
        <is>
          <t>-</t>
        </is>
      </c>
      <c r="G2995" s="16" t="inlineStr">
        <is>
          <t>1. Two users share passphrase.</t>
        </is>
      </c>
      <c r="H2995" s="16" t="inlineStr">
        <is>
          <t>Encrypted vars on multi-user repo</t>
        </is>
      </c>
      <c r="I2995" s="16" t="inlineStr">
        <is>
          <t>Both can decrypt; commits keep ciphertext only; safe.</t>
        </is>
      </c>
      <c r="J2995" s="16" t="inlineStr"/>
      <c r="K2995" s="16" t="inlineStr">
        <is>
          <t>Not Run</t>
        </is>
      </c>
      <c r="L2995" s="16" t="inlineStr">
        <is>
          <t>High</t>
        </is>
      </c>
      <c r="M2995" s="16" t="inlineStr"/>
      <c r="N2995" s="16" t="inlineStr"/>
      <c r="O2995" s="16" t="inlineStr"/>
    </row>
    <row r="2996" ht="72" customHeight="1">
      <c r="A2996" s="16" t="inlineStr">
        <is>
          <t>TC-MU-0014</t>
        </is>
      </c>
      <c r="B2996" s="16" t="inlineStr">
        <is>
          <t>Multi-User Concurrency</t>
        </is>
      </c>
      <c r="C2996" s="16" t="inlineStr">
        <is>
          <t>Encrypted vars unlocked on one device, locked on other</t>
        </is>
      </c>
      <c r="D2996" s="16" t="inlineStr">
        <is>
          <t>Security</t>
        </is>
      </c>
      <c r="E2996" s="16" t="inlineStr">
        <is>
          <t>Multi-user: Encrypted vars unlocked on one device, locked on other</t>
        </is>
      </c>
      <c r="F2996" s="16" t="inlineStr">
        <is>
          <t>-</t>
        </is>
      </c>
      <c r="G2996" s="16" t="inlineStr">
        <is>
          <t>1. User without passphrase pulls.</t>
        </is>
      </c>
      <c r="H2996" s="16" t="inlineStr">
        <is>
          <t>Encrypted vars unlocked on one device, locked on other</t>
        </is>
      </c>
      <c r="I2996" s="16" t="inlineStr">
        <is>
          <t>Cipher visible; UI flags as locked; no plaintext leak.</t>
        </is>
      </c>
      <c r="J2996" s="16" t="inlineStr"/>
      <c r="K2996" s="16" t="inlineStr">
        <is>
          <t>Not Run</t>
        </is>
      </c>
      <c r="L2996" s="16" t="inlineStr">
        <is>
          <t>High</t>
        </is>
      </c>
      <c r="M2996" s="16" t="inlineStr"/>
      <c r="N2996" s="16" t="inlineStr"/>
      <c r="O2996" s="16" t="inlineStr"/>
    </row>
    <row r="2997" ht="72" customHeight="1">
      <c r="A2997" s="16" t="inlineStr">
        <is>
          <t>TC-MU-0015</t>
        </is>
      </c>
      <c r="B2997" s="16" t="inlineStr">
        <is>
          <t>Multi-User Concurrency</t>
        </is>
      </c>
      <c r="C2997" s="16" t="inlineStr">
        <is>
          <t>Different secret slots per user (named)</t>
        </is>
      </c>
      <c r="D2997" s="16" t="inlineStr">
        <is>
          <t>Edge Case</t>
        </is>
      </c>
      <c r="E2997" s="16" t="inlineStr">
        <is>
          <t>Multi-user: Different secret slots per user (named)</t>
        </is>
      </c>
      <c r="F2997" s="16" t="inlineStr">
        <is>
          <t>-</t>
        </is>
      </c>
      <c r="G2997" s="16" t="inlineStr">
        <is>
          <t>1. User A creates secret 'apiToken' slot A.
2. User B creates own slot.</t>
        </is>
      </c>
      <c r="H2997" s="16" t="inlineStr">
        <is>
          <t>Different secret slots per user (named)</t>
        </is>
      </c>
      <c r="I2997" s="16" t="inlineStr">
        <is>
          <t>Both coexist; each user uses own slot.</t>
        </is>
      </c>
      <c r="J2997" s="16" t="inlineStr"/>
      <c r="K2997" s="16" t="inlineStr">
        <is>
          <t>Not Run</t>
        </is>
      </c>
      <c r="L2997" s="16" t="inlineStr">
        <is>
          <t>Medium</t>
        </is>
      </c>
      <c r="M2997" s="16" t="inlineStr"/>
      <c r="N2997" s="16" t="inlineStr"/>
      <c r="O2997" s="16" t="inlineStr"/>
    </row>
    <row r="2998" ht="72" customHeight="1">
      <c r="A2998" s="16" t="inlineStr">
        <is>
          <t>TC-LO-0001</t>
        </is>
      </c>
      <c r="B2998" s="16" t="inlineStr">
        <is>
          <t>Locale &amp; i18n</t>
        </is>
      </c>
      <c r="C2998" s="16" t="inlineStr">
        <is>
          <t>en-US</t>
        </is>
      </c>
      <c r="D2998" s="16" t="inlineStr">
        <is>
          <t>Compatibility</t>
        </is>
      </c>
      <c r="E2998" s="16" t="inlineStr">
        <is>
          <t>Locale en-US - date/time format</t>
        </is>
      </c>
      <c r="F2998" s="16" t="inlineStr">
        <is>
          <t>OS locale en-US.</t>
        </is>
      </c>
      <c r="G2998" s="16" t="inlineStr">
        <is>
          <t>1. Send a request; inspect history timestamp; inspect date displays.</t>
        </is>
      </c>
      <c r="H2998" s="16" t="inlineStr">
        <is>
          <t>locale=en-US</t>
        </is>
      </c>
      <c r="I2998" s="16" t="inlineStr">
        <is>
          <t>Dates formatted per locale (12h time, MM/DD/YYYY); times respect 12/24h; relative phrases ('2m ago') localized if i18n supported.</t>
        </is>
      </c>
      <c r="J2998" s="16" t="inlineStr"/>
      <c r="K2998" s="16" t="inlineStr">
        <is>
          <t>Not Run</t>
        </is>
      </c>
      <c r="L2998" s="16" t="inlineStr">
        <is>
          <t>Medium</t>
        </is>
      </c>
      <c r="M2998" s="16" t="inlineStr"/>
      <c r="N2998" s="16" t="inlineStr"/>
      <c r="O2998" s="16" t="inlineStr"/>
    </row>
    <row r="2999" ht="72" customHeight="1">
      <c r="A2999" s="16" t="inlineStr">
        <is>
          <t>TC-LO-0002</t>
        </is>
      </c>
      <c r="B2999" s="16" t="inlineStr">
        <is>
          <t>Locale &amp; i18n</t>
        </is>
      </c>
      <c r="C2999" s="16" t="inlineStr">
        <is>
          <t>en-US</t>
        </is>
      </c>
      <c r="D2999" s="16" t="inlineStr">
        <is>
          <t>Compatibility</t>
        </is>
      </c>
      <c r="E2999" s="16" t="inlineStr">
        <is>
          <t>Locale en-US - number format</t>
        </is>
      </c>
      <c r="F2999" s="16" t="inlineStr">
        <is>
          <t>OS locale en-US.</t>
        </is>
      </c>
      <c r="G2999" s="16" t="inlineStr">
        <is>
          <t>1. Inspect numeric fields (response time, size, counts).</t>
        </is>
      </c>
      <c r="H2999" s="16" t="inlineStr">
        <is>
          <t>locale=en-US</t>
        </is>
      </c>
      <c r="I2999" s="16" t="inlineStr">
        <is>
          <t>Numbers respect locale grouping/decimal separators (e.g., 1.234,56 vs 1,234.56).</t>
        </is>
      </c>
      <c r="J2999" s="16" t="inlineStr"/>
      <c r="K2999" s="16" t="inlineStr">
        <is>
          <t>Not Run</t>
        </is>
      </c>
      <c r="L2999" s="16" t="inlineStr">
        <is>
          <t>Low</t>
        </is>
      </c>
      <c r="M2999" s="16" t="inlineStr"/>
      <c r="N2999" s="16" t="inlineStr"/>
      <c r="O2999" s="16" t="inlineStr"/>
    </row>
    <row r="3000" ht="72" customHeight="1">
      <c r="A3000" s="16" t="inlineStr">
        <is>
          <t>TC-LO-0003</t>
        </is>
      </c>
      <c r="B3000" s="16" t="inlineStr">
        <is>
          <t>Locale &amp; i18n</t>
        </is>
      </c>
      <c r="C3000" s="16" t="inlineStr">
        <is>
          <t>en-GB</t>
        </is>
      </c>
      <c r="D3000" s="16" t="inlineStr">
        <is>
          <t>Compatibility</t>
        </is>
      </c>
      <c r="E3000" s="16" t="inlineStr">
        <is>
          <t>Locale en-GB - date/time format</t>
        </is>
      </c>
      <c r="F3000" s="16" t="inlineStr">
        <is>
          <t>OS locale en-GB.</t>
        </is>
      </c>
      <c r="G3000" s="16" t="inlineStr">
        <is>
          <t>1. Send a request; inspect history timestamp; inspect date displays.</t>
        </is>
      </c>
      <c r="H3000" s="16" t="inlineStr">
        <is>
          <t>locale=en-GB</t>
        </is>
      </c>
      <c r="I3000" s="16" t="inlineStr">
        <is>
          <t>Dates formatted per locale (24h time, DD/MM/YYYY); times respect 12/24h; relative phrases ('2m ago') localized if i18n supported.</t>
        </is>
      </c>
      <c r="J3000" s="16" t="inlineStr"/>
      <c r="K3000" s="16" t="inlineStr">
        <is>
          <t>Not Run</t>
        </is>
      </c>
      <c r="L3000" s="16" t="inlineStr">
        <is>
          <t>Medium</t>
        </is>
      </c>
      <c r="M3000" s="16" t="inlineStr"/>
      <c r="N3000" s="16" t="inlineStr"/>
      <c r="O3000" s="16" t="inlineStr"/>
    </row>
    <row r="3001" ht="72" customHeight="1">
      <c r="A3001" s="16" t="inlineStr">
        <is>
          <t>TC-LO-0004</t>
        </is>
      </c>
      <c r="B3001" s="16" t="inlineStr">
        <is>
          <t>Locale &amp; i18n</t>
        </is>
      </c>
      <c r="C3001" s="16" t="inlineStr">
        <is>
          <t>en-GB</t>
        </is>
      </c>
      <c r="D3001" s="16" t="inlineStr">
        <is>
          <t>Compatibility</t>
        </is>
      </c>
      <c r="E3001" s="16" t="inlineStr">
        <is>
          <t>Locale en-GB - number format</t>
        </is>
      </c>
      <c r="F3001" s="16" t="inlineStr">
        <is>
          <t>OS locale en-GB.</t>
        </is>
      </c>
      <c r="G3001" s="16" t="inlineStr">
        <is>
          <t>1. Inspect numeric fields (response time, size, counts).</t>
        </is>
      </c>
      <c r="H3001" s="16" t="inlineStr">
        <is>
          <t>locale=en-GB</t>
        </is>
      </c>
      <c r="I3001" s="16" t="inlineStr">
        <is>
          <t>Numbers respect locale grouping/decimal separators (e.g., 1.234,56 vs 1,234.56).</t>
        </is>
      </c>
      <c r="J3001" s="16" t="inlineStr"/>
      <c r="K3001" s="16" t="inlineStr">
        <is>
          <t>Not Run</t>
        </is>
      </c>
      <c r="L3001" s="16" t="inlineStr">
        <is>
          <t>Low</t>
        </is>
      </c>
      <c r="M3001" s="16" t="inlineStr"/>
      <c r="N3001" s="16" t="inlineStr"/>
      <c r="O3001" s="16" t="inlineStr"/>
    </row>
    <row r="3002" ht="72" customHeight="1">
      <c r="A3002" s="16" t="inlineStr">
        <is>
          <t>TC-LO-0005</t>
        </is>
      </c>
      <c r="B3002" s="16" t="inlineStr">
        <is>
          <t>Locale &amp; i18n</t>
        </is>
      </c>
      <c r="C3002" s="16" t="inlineStr">
        <is>
          <t>de-DE</t>
        </is>
      </c>
      <c r="D3002" s="16" t="inlineStr">
        <is>
          <t>Compatibility</t>
        </is>
      </c>
      <c r="E3002" s="16" t="inlineStr">
        <is>
          <t>Locale de-DE - date/time format</t>
        </is>
      </c>
      <c r="F3002" s="16" t="inlineStr">
        <is>
          <t>OS locale de-DE.</t>
        </is>
      </c>
      <c r="G3002" s="16" t="inlineStr">
        <is>
          <t>1. Send a request; inspect history timestamp; inspect date displays.</t>
        </is>
      </c>
      <c r="H3002" s="16" t="inlineStr">
        <is>
          <t>locale=de-DE</t>
        </is>
      </c>
      <c r="I3002" s="16" t="inlineStr">
        <is>
          <t>Dates formatted per locale (DD.MM.YYYY); times respect 12/24h; relative phrases ('2m ago') localized if i18n supported.</t>
        </is>
      </c>
      <c r="J3002" s="16" t="inlineStr"/>
      <c r="K3002" s="16" t="inlineStr">
        <is>
          <t>Not Run</t>
        </is>
      </c>
      <c r="L3002" s="16" t="inlineStr">
        <is>
          <t>Medium</t>
        </is>
      </c>
      <c r="M3002" s="16" t="inlineStr"/>
      <c r="N3002" s="16" t="inlineStr"/>
      <c r="O3002" s="16" t="inlineStr"/>
    </row>
    <row r="3003" ht="72" customHeight="1">
      <c r="A3003" s="16" t="inlineStr">
        <is>
          <t>TC-LO-0006</t>
        </is>
      </c>
      <c r="B3003" s="16" t="inlineStr">
        <is>
          <t>Locale &amp; i18n</t>
        </is>
      </c>
      <c r="C3003" s="16" t="inlineStr">
        <is>
          <t>de-DE</t>
        </is>
      </c>
      <c r="D3003" s="16" t="inlineStr">
        <is>
          <t>Compatibility</t>
        </is>
      </c>
      <c r="E3003" s="16" t="inlineStr">
        <is>
          <t>Locale de-DE - number format</t>
        </is>
      </c>
      <c r="F3003" s="16" t="inlineStr">
        <is>
          <t>OS locale de-DE.</t>
        </is>
      </c>
      <c r="G3003" s="16" t="inlineStr">
        <is>
          <t>1. Inspect numeric fields (response time, size, counts).</t>
        </is>
      </c>
      <c r="H3003" s="16" t="inlineStr">
        <is>
          <t>locale=de-DE</t>
        </is>
      </c>
      <c r="I3003" s="16" t="inlineStr">
        <is>
          <t>Numbers respect locale grouping/decimal separators (e.g., 1.234,56 vs 1,234.56).</t>
        </is>
      </c>
      <c r="J3003" s="16" t="inlineStr"/>
      <c r="K3003" s="16" t="inlineStr">
        <is>
          <t>Not Run</t>
        </is>
      </c>
      <c r="L3003" s="16" t="inlineStr">
        <is>
          <t>Low</t>
        </is>
      </c>
      <c r="M3003" s="16" t="inlineStr"/>
      <c r="N3003" s="16" t="inlineStr"/>
      <c r="O3003" s="16" t="inlineStr"/>
    </row>
    <row r="3004" ht="72" customHeight="1">
      <c r="A3004" s="16" t="inlineStr">
        <is>
          <t>TC-LO-0007</t>
        </is>
      </c>
      <c r="B3004" s="16" t="inlineStr">
        <is>
          <t>Locale &amp; i18n</t>
        </is>
      </c>
      <c r="C3004" s="16" t="inlineStr">
        <is>
          <t>ja-JP</t>
        </is>
      </c>
      <c r="D3004" s="16" t="inlineStr">
        <is>
          <t>Compatibility</t>
        </is>
      </c>
      <c r="E3004" s="16" t="inlineStr">
        <is>
          <t>Locale ja-JP - date/time format</t>
        </is>
      </c>
      <c r="F3004" s="16" t="inlineStr">
        <is>
          <t>OS locale ja-JP.</t>
        </is>
      </c>
      <c r="G3004" s="16" t="inlineStr">
        <is>
          <t>1. Send a request; inspect history timestamp; inspect date displays.</t>
        </is>
      </c>
      <c r="H3004" s="16" t="inlineStr">
        <is>
          <t>locale=ja-JP</t>
        </is>
      </c>
      <c r="I3004" s="16" t="inlineStr">
        <is>
          <t>Dates formatted per locale (YYYY/MM/DD); times respect 12/24h; relative phrases ('2m ago') localized if i18n supported.</t>
        </is>
      </c>
      <c r="J3004" s="16" t="inlineStr"/>
      <c r="K3004" s="16" t="inlineStr">
        <is>
          <t>Not Run</t>
        </is>
      </c>
      <c r="L3004" s="16" t="inlineStr">
        <is>
          <t>Medium</t>
        </is>
      </c>
      <c r="M3004" s="16" t="inlineStr"/>
      <c r="N3004" s="16" t="inlineStr"/>
      <c r="O3004" s="16" t="inlineStr"/>
    </row>
    <row r="3005" ht="72" customHeight="1">
      <c r="A3005" s="16" t="inlineStr">
        <is>
          <t>TC-LO-0008</t>
        </is>
      </c>
      <c r="B3005" s="16" t="inlineStr">
        <is>
          <t>Locale &amp; i18n</t>
        </is>
      </c>
      <c r="C3005" s="16" t="inlineStr">
        <is>
          <t>ja-JP</t>
        </is>
      </c>
      <c r="D3005" s="16" t="inlineStr">
        <is>
          <t>Compatibility</t>
        </is>
      </c>
      <c r="E3005" s="16" t="inlineStr">
        <is>
          <t>Locale ja-JP - number format</t>
        </is>
      </c>
      <c r="F3005" s="16" t="inlineStr">
        <is>
          <t>OS locale ja-JP.</t>
        </is>
      </c>
      <c r="G3005" s="16" t="inlineStr">
        <is>
          <t>1. Inspect numeric fields (response time, size, counts).</t>
        </is>
      </c>
      <c r="H3005" s="16" t="inlineStr">
        <is>
          <t>locale=ja-JP</t>
        </is>
      </c>
      <c r="I3005" s="16" t="inlineStr">
        <is>
          <t>Numbers respect locale grouping/decimal separators (e.g., 1.234,56 vs 1,234.56).</t>
        </is>
      </c>
      <c r="J3005" s="16" t="inlineStr"/>
      <c r="K3005" s="16" t="inlineStr">
        <is>
          <t>Not Run</t>
        </is>
      </c>
      <c r="L3005" s="16" t="inlineStr">
        <is>
          <t>Low</t>
        </is>
      </c>
      <c r="M3005" s="16" t="inlineStr"/>
      <c r="N3005" s="16" t="inlineStr"/>
      <c r="O3005" s="16" t="inlineStr"/>
    </row>
    <row r="3006" ht="72" customHeight="1">
      <c r="A3006" s="16" t="inlineStr">
        <is>
          <t>TC-LO-0009</t>
        </is>
      </c>
      <c r="B3006" s="16" t="inlineStr">
        <is>
          <t>Locale &amp; i18n</t>
        </is>
      </c>
      <c r="C3006" s="16" t="inlineStr">
        <is>
          <t>fr-FR</t>
        </is>
      </c>
      <c r="D3006" s="16" t="inlineStr">
        <is>
          <t>Compatibility</t>
        </is>
      </c>
      <c r="E3006" s="16" t="inlineStr">
        <is>
          <t>Locale fr-FR - date/time format</t>
        </is>
      </c>
      <c r="F3006" s="16" t="inlineStr">
        <is>
          <t>OS locale fr-FR.</t>
        </is>
      </c>
      <c r="G3006" s="16" t="inlineStr">
        <is>
          <t>1. Send a request; inspect history timestamp; inspect date displays.</t>
        </is>
      </c>
      <c r="H3006" s="16" t="inlineStr">
        <is>
          <t>locale=fr-FR</t>
        </is>
      </c>
      <c r="I3006" s="16" t="inlineStr">
        <is>
          <t>Dates formatted per locale (DD/MM/YYYY); times respect 12/24h; relative phrases ('2m ago') localized if i18n supported.</t>
        </is>
      </c>
      <c r="J3006" s="16" t="inlineStr"/>
      <c r="K3006" s="16" t="inlineStr">
        <is>
          <t>Not Run</t>
        </is>
      </c>
      <c r="L3006" s="16" t="inlineStr">
        <is>
          <t>Medium</t>
        </is>
      </c>
      <c r="M3006" s="16" t="inlineStr"/>
      <c r="N3006" s="16" t="inlineStr"/>
      <c r="O3006" s="16" t="inlineStr"/>
    </row>
    <row r="3007" ht="72" customHeight="1">
      <c r="A3007" s="16" t="inlineStr">
        <is>
          <t>TC-LO-0010</t>
        </is>
      </c>
      <c r="B3007" s="16" t="inlineStr">
        <is>
          <t>Locale &amp; i18n</t>
        </is>
      </c>
      <c r="C3007" s="16" t="inlineStr">
        <is>
          <t>fr-FR</t>
        </is>
      </c>
      <c r="D3007" s="16" t="inlineStr">
        <is>
          <t>Compatibility</t>
        </is>
      </c>
      <c r="E3007" s="16" t="inlineStr">
        <is>
          <t>Locale fr-FR - number format</t>
        </is>
      </c>
      <c r="F3007" s="16" t="inlineStr">
        <is>
          <t>OS locale fr-FR.</t>
        </is>
      </c>
      <c r="G3007" s="16" t="inlineStr">
        <is>
          <t>1. Inspect numeric fields (response time, size, counts).</t>
        </is>
      </c>
      <c r="H3007" s="16" t="inlineStr">
        <is>
          <t>locale=fr-FR</t>
        </is>
      </c>
      <c r="I3007" s="16" t="inlineStr">
        <is>
          <t>Numbers respect locale grouping/decimal separators (e.g., 1.234,56 vs 1,234.56).</t>
        </is>
      </c>
      <c r="J3007" s="16" t="inlineStr"/>
      <c r="K3007" s="16" t="inlineStr">
        <is>
          <t>Not Run</t>
        </is>
      </c>
      <c r="L3007" s="16" t="inlineStr">
        <is>
          <t>Low</t>
        </is>
      </c>
      <c r="M3007" s="16" t="inlineStr"/>
      <c r="N3007" s="16" t="inlineStr"/>
      <c r="O3007" s="16" t="inlineStr"/>
    </row>
    <row r="3008" ht="72" customHeight="1">
      <c r="A3008" s="16" t="inlineStr">
        <is>
          <t>TC-LO-0011</t>
        </is>
      </c>
      <c r="B3008" s="16" t="inlineStr">
        <is>
          <t>Locale &amp; i18n</t>
        </is>
      </c>
      <c r="C3008" s="16" t="inlineStr">
        <is>
          <t>es-ES</t>
        </is>
      </c>
      <c r="D3008" s="16" t="inlineStr">
        <is>
          <t>Compatibility</t>
        </is>
      </c>
      <c r="E3008" s="16" t="inlineStr">
        <is>
          <t>Locale es-ES - date/time format</t>
        </is>
      </c>
      <c r="F3008" s="16" t="inlineStr">
        <is>
          <t>OS locale es-ES.</t>
        </is>
      </c>
      <c r="G3008" s="16" t="inlineStr">
        <is>
          <t>1. Send a request; inspect history timestamp; inspect date displays.</t>
        </is>
      </c>
      <c r="H3008" s="16" t="inlineStr">
        <is>
          <t>locale=es-ES</t>
        </is>
      </c>
      <c r="I3008" s="16" t="inlineStr">
        <is>
          <t>Dates formatted per locale (DD/MM/YYYY); times respect 12/24h; relative phrases ('2m ago') localized if i18n supported.</t>
        </is>
      </c>
      <c r="J3008" s="16" t="inlineStr"/>
      <c r="K3008" s="16" t="inlineStr">
        <is>
          <t>Not Run</t>
        </is>
      </c>
      <c r="L3008" s="16" t="inlineStr">
        <is>
          <t>Medium</t>
        </is>
      </c>
      <c r="M3008" s="16" t="inlineStr"/>
      <c r="N3008" s="16" t="inlineStr"/>
      <c r="O3008" s="16" t="inlineStr"/>
    </row>
    <row r="3009" ht="72" customHeight="1">
      <c r="A3009" s="16" t="inlineStr">
        <is>
          <t>TC-LO-0012</t>
        </is>
      </c>
      <c r="B3009" s="16" t="inlineStr">
        <is>
          <t>Locale &amp; i18n</t>
        </is>
      </c>
      <c r="C3009" s="16" t="inlineStr">
        <is>
          <t>es-ES</t>
        </is>
      </c>
      <c r="D3009" s="16" t="inlineStr">
        <is>
          <t>Compatibility</t>
        </is>
      </c>
      <c r="E3009" s="16" t="inlineStr">
        <is>
          <t>Locale es-ES - number format</t>
        </is>
      </c>
      <c r="F3009" s="16" t="inlineStr">
        <is>
          <t>OS locale es-ES.</t>
        </is>
      </c>
      <c r="G3009" s="16" t="inlineStr">
        <is>
          <t>1. Inspect numeric fields (response time, size, counts).</t>
        </is>
      </c>
      <c r="H3009" s="16" t="inlineStr">
        <is>
          <t>locale=es-ES</t>
        </is>
      </c>
      <c r="I3009" s="16" t="inlineStr">
        <is>
          <t>Numbers respect locale grouping/decimal separators (e.g., 1.234,56 vs 1,234.56).</t>
        </is>
      </c>
      <c r="J3009" s="16" t="inlineStr"/>
      <c r="K3009" s="16" t="inlineStr">
        <is>
          <t>Not Run</t>
        </is>
      </c>
      <c r="L3009" s="16" t="inlineStr">
        <is>
          <t>Low</t>
        </is>
      </c>
      <c r="M3009" s="16" t="inlineStr"/>
      <c r="N3009" s="16" t="inlineStr"/>
      <c r="O3009" s="16" t="inlineStr"/>
    </row>
    <row r="3010" ht="72" customHeight="1">
      <c r="A3010" s="16" t="inlineStr">
        <is>
          <t>TC-LO-0013</t>
        </is>
      </c>
      <c r="B3010" s="16" t="inlineStr">
        <is>
          <t>Locale &amp; i18n</t>
        </is>
      </c>
      <c r="C3010" s="16" t="inlineStr">
        <is>
          <t>zh-CN</t>
        </is>
      </c>
      <c r="D3010" s="16" t="inlineStr">
        <is>
          <t>Compatibility</t>
        </is>
      </c>
      <c r="E3010" s="16" t="inlineStr">
        <is>
          <t>Locale zh-CN - date/time format</t>
        </is>
      </c>
      <c r="F3010" s="16" t="inlineStr">
        <is>
          <t>OS locale zh-CN.</t>
        </is>
      </c>
      <c r="G3010" s="16" t="inlineStr">
        <is>
          <t>1. Send a request; inspect history timestamp; inspect date displays.</t>
        </is>
      </c>
      <c r="H3010" s="16" t="inlineStr">
        <is>
          <t>locale=zh-CN</t>
        </is>
      </c>
      <c r="I3010" s="16" t="inlineStr">
        <is>
          <t>Dates formatted per locale (YYYY/MM/DD); times respect 12/24h; relative phrases ('2m ago') localized if i18n supported.</t>
        </is>
      </c>
      <c r="J3010" s="16" t="inlineStr"/>
      <c r="K3010" s="16" t="inlineStr">
        <is>
          <t>Not Run</t>
        </is>
      </c>
      <c r="L3010" s="16" t="inlineStr">
        <is>
          <t>Medium</t>
        </is>
      </c>
      <c r="M3010" s="16" t="inlineStr"/>
      <c r="N3010" s="16" t="inlineStr"/>
      <c r="O3010" s="16" t="inlineStr"/>
    </row>
    <row r="3011" ht="72" customHeight="1">
      <c r="A3011" s="16" t="inlineStr">
        <is>
          <t>TC-LO-0014</t>
        </is>
      </c>
      <c r="B3011" s="16" t="inlineStr">
        <is>
          <t>Locale &amp; i18n</t>
        </is>
      </c>
      <c r="C3011" s="16" t="inlineStr">
        <is>
          <t>zh-CN</t>
        </is>
      </c>
      <c r="D3011" s="16" t="inlineStr">
        <is>
          <t>Compatibility</t>
        </is>
      </c>
      <c r="E3011" s="16" t="inlineStr">
        <is>
          <t>Locale zh-CN - number format</t>
        </is>
      </c>
      <c r="F3011" s="16" t="inlineStr">
        <is>
          <t>OS locale zh-CN.</t>
        </is>
      </c>
      <c r="G3011" s="16" t="inlineStr">
        <is>
          <t>1. Inspect numeric fields (response time, size, counts).</t>
        </is>
      </c>
      <c r="H3011" s="16" t="inlineStr">
        <is>
          <t>locale=zh-CN</t>
        </is>
      </c>
      <c r="I3011" s="16" t="inlineStr">
        <is>
          <t>Numbers respect locale grouping/decimal separators (e.g., 1.234,56 vs 1,234.56).</t>
        </is>
      </c>
      <c r="J3011" s="16" t="inlineStr"/>
      <c r="K3011" s="16" t="inlineStr">
        <is>
          <t>Not Run</t>
        </is>
      </c>
      <c r="L3011" s="16" t="inlineStr">
        <is>
          <t>Low</t>
        </is>
      </c>
      <c r="M3011" s="16" t="inlineStr"/>
      <c r="N3011" s="16" t="inlineStr"/>
      <c r="O3011" s="16" t="inlineStr"/>
    </row>
    <row r="3012" ht="72" customHeight="1">
      <c r="A3012" s="16" t="inlineStr">
        <is>
          <t>TC-LO-0015</t>
        </is>
      </c>
      <c r="B3012" s="16" t="inlineStr">
        <is>
          <t>Locale &amp; i18n</t>
        </is>
      </c>
      <c r="C3012" s="16" t="inlineStr">
        <is>
          <t>ar-EG</t>
        </is>
      </c>
      <c r="D3012" s="16" t="inlineStr">
        <is>
          <t>Compatibility</t>
        </is>
      </c>
      <c r="E3012" s="16" t="inlineStr">
        <is>
          <t>Locale ar-EG - date/time format</t>
        </is>
      </c>
      <c r="F3012" s="16" t="inlineStr">
        <is>
          <t>OS locale ar-EG.</t>
        </is>
      </c>
      <c r="G3012" s="16" t="inlineStr">
        <is>
          <t>1. Send a request; inspect history timestamp; inspect date displays.</t>
        </is>
      </c>
      <c r="H3012" s="16" t="inlineStr">
        <is>
          <t>locale=ar-EG</t>
        </is>
      </c>
      <c r="I3012" s="16" t="inlineStr">
        <is>
          <t>Dates formatted per locale (RTL); times respect 12/24h; relative phrases ('2m ago') localized if i18n supported.</t>
        </is>
      </c>
      <c r="J3012" s="16" t="inlineStr"/>
      <c r="K3012" s="16" t="inlineStr">
        <is>
          <t>Not Run</t>
        </is>
      </c>
      <c r="L3012" s="16" t="inlineStr">
        <is>
          <t>Medium</t>
        </is>
      </c>
      <c r="M3012" s="16" t="inlineStr"/>
      <c r="N3012" s="16" t="inlineStr"/>
      <c r="O3012" s="16" t="inlineStr"/>
    </row>
    <row r="3013" ht="72" customHeight="1">
      <c r="A3013" s="16" t="inlineStr">
        <is>
          <t>TC-LO-0016</t>
        </is>
      </c>
      <c r="B3013" s="16" t="inlineStr">
        <is>
          <t>Locale &amp; i18n</t>
        </is>
      </c>
      <c r="C3013" s="16" t="inlineStr">
        <is>
          <t>ar-EG</t>
        </is>
      </c>
      <c r="D3013" s="16" t="inlineStr">
        <is>
          <t>Compatibility</t>
        </is>
      </c>
      <c r="E3013" s="16" t="inlineStr">
        <is>
          <t>Locale ar-EG - number format</t>
        </is>
      </c>
      <c r="F3013" s="16" t="inlineStr">
        <is>
          <t>OS locale ar-EG.</t>
        </is>
      </c>
      <c r="G3013" s="16" t="inlineStr">
        <is>
          <t>1. Inspect numeric fields (response time, size, counts).</t>
        </is>
      </c>
      <c r="H3013" s="16" t="inlineStr">
        <is>
          <t>locale=ar-EG</t>
        </is>
      </c>
      <c r="I3013" s="16" t="inlineStr">
        <is>
          <t>Numbers respect locale grouping/decimal separators (e.g., 1.234,56 vs 1,234.56).</t>
        </is>
      </c>
      <c r="J3013" s="16" t="inlineStr"/>
      <c r="K3013" s="16" t="inlineStr">
        <is>
          <t>Not Run</t>
        </is>
      </c>
      <c r="L3013" s="16" t="inlineStr">
        <is>
          <t>Low</t>
        </is>
      </c>
      <c r="M3013" s="16" t="inlineStr"/>
      <c r="N3013" s="16" t="inlineStr"/>
      <c r="O3013" s="16" t="inlineStr"/>
    </row>
    <row r="3014" ht="72" customHeight="1">
      <c r="A3014" s="16" t="inlineStr">
        <is>
          <t>TC-LO-0017</t>
        </is>
      </c>
      <c r="B3014" s="16" t="inlineStr">
        <is>
          <t>Locale &amp; i18n</t>
        </is>
      </c>
      <c r="C3014" s="16" t="inlineStr">
        <is>
          <t>ar-EG</t>
        </is>
      </c>
      <c r="D3014" s="16" t="inlineStr">
        <is>
          <t>Compatibility</t>
        </is>
      </c>
      <c r="E3014" s="16" t="inlineStr">
        <is>
          <t>Locale ar-EG - RTL layout</t>
        </is>
      </c>
      <c r="F3014" s="16" t="inlineStr">
        <is>
          <t>OS RTL locale.</t>
        </is>
      </c>
      <c r="G3014" s="16" t="inlineStr">
        <is>
          <t>1. Open app; inspect direction of panels, text, scrollbars.</t>
        </is>
      </c>
      <c r="H3014" s="16" t="inlineStr">
        <is>
          <t>locale=ar-EG</t>
        </is>
      </c>
      <c r="I3014" s="16" t="inlineStr">
        <is>
          <t>Layout mirrored; text right-aligned; icons reflect direction; keyboard nav still logical.</t>
        </is>
      </c>
      <c r="J3014" s="16" t="inlineStr"/>
      <c r="K3014" s="16" t="inlineStr">
        <is>
          <t>Not Run</t>
        </is>
      </c>
      <c r="L3014" s="16" t="inlineStr">
        <is>
          <t>Medium</t>
        </is>
      </c>
      <c r="M3014" s="16" t="inlineStr"/>
      <c r="N3014" s="16" t="inlineStr"/>
      <c r="O3014" s="16" t="inlineStr"/>
    </row>
    <row r="3015" ht="72" customHeight="1">
      <c r="A3015" s="16" t="inlineStr">
        <is>
          <t>TC-LO-0018</t>
        </is>
      </c>
      <c r="B3015" s="16" t="inlineStr">
        <is>
          <t>Locale &amp; i18n</t>
        </is>
      </c>
      <c r="C3015" s="16" t="inlineStr">
        <is>
          <t>he-IL</t>
        </is>
      </c>
      <c r="D3015" s="16" t="inlineStr">
        <is>
          <t>Compatibility</t>
        </is>
      </c>
      <c r="E3015" s="16" t="inlineStr">
        <is>
          <t>Locale he-IL - date/time format</t>
        </is>
      </c>
      <c r="F3015" s="16" t="inlineStr">
        <is>
          <t>OS locale he-IL.</t>
        </is>
      </c>
      <c r="G3015" s="16" t="inlineStr">
        <is>
          <t>1. Send a request; inspect history timestamp; inspect date displays.</t>
        </is>
      </c>
      <c r="H3015" s="16" t="inlineStr">
        <is>
          <t>locale=he-IL</t>
        </is>
      </c>
      <c r="I3015" s="16" t="inlineStr">
        <is>
          <t>Dates formatted per locale (RTL); times respect 12/24h; relative phrases ('2m ago') localized if i18n supported.</t>
        </is>
      </c>
      <c r="J3015" s="16" t="inlineStr"/>
      <c r="K3015" s="16" t="inlineStr">
        <is>
          <t>Not Run</t>
        </is>
      </c>
      <c r="L3015" s="16" t="inlineStr">
        <is>
          <t>Medium</t>
        </is>
      </c>
      <c r="M3015" s="16" t="inlineStr"/>
      <c r="N3015" s="16" t="inlineStr"/>
      <c r="O3015" s="16" t="inlineStr"/>
    </row>
    <row r="3016" ht="72" customHeight="1">
      <c r="A3016" s="16" t="inlineStr">
        <is>
          <t>TC-LO-0019</t>
        </is>
      </c>
      <c r="B3016" s="16" t="inlineStr">
        <is>
          <t>Locale &amp; i18n</t>
        </is>
      </c>
      <c r="C3016" s="16" t="inlineStr">
        <is>
          <t>he-IL</t>
        </is>
      </c>
      <c r="D3016" s="16" t="inlineStr">
        <is>
          <t>Compatibility</t>
        </is>
      </c>
      <c r="E3016" s="16" t="inlineStr">
        <is>
          <t>Locale he-IL - number format</t>
        </is>
      </c>
      <c r="F3016" s="16" t="inlineStr">
        <is>
          <t>OS locale he-IL.</t>
        </is>
      </c>
      <c r="G3016" s="16" t="inlineStr">
        <is>
          <t>1. Inspect numeric fields (response time, size, counts).</t>
        </is>
      </c>
      <c r="H3016" s="16" t="inlineStr">
        <is>
          <t>locale=he-IL</t>
        </is>
      </c>
      <c r="I3016" s="16" t="inlineStr">
        <is>
          <t>Numbers respect locale grouping/decimal separators (e.g., 1.234,56 vs 1,234.56).</t>
        </is>
      </c>
      <c r="J3016" s="16" t="inlineStr"/>
      <c r="K3016" s="16" t="inlineStr">
        <is>
          <t>Not Run</t>
        </is>
      </c>
      <c r="L3016" s="16" t="inlineStr">
        <is>
          <t>Low</t>
        </is>
      </c>
      <c r="M3016" s="16" t="inlineStr"/>
      <c r="N3016" s="16" t="inlineStr"/>
      <c r="O3016" s="16" t="inlineStr"/>
    </row>
    <row r="3017" ht="72" customHeight="1">
      <c r="A3017" s="16" t="inlineStr">
        <is>
          <t>TC-LO-0020</t>
        </is>
      </c>
      <c r="B3017" s="16" t="inlineStr">
        <is>
          <t>Locale &amp; i18n</t>
        </is>
      </c>
      <c r="C3017" s="16" t="inlineStr">
        <is>
          <t>he-IL</t>
        </is>
      </c>
      <c r="D3017" s="16" t="inlineStr">
        <is>
          <t>Compatibility</t>
        </is>
      </c>
      <c r="E3017" s="16" t="inlineStr">
        <is>
          <t>Locale he-IL - RTL layout</t>
        </is>
      </c>
      <c r="F3017" s="16" t="inlineStr">
        <is>
          <t>OS RTL locale.</t>
        </is>
      </c>
      <c r="G3017" s="16" t="inlineStr">
        <is>
          <t>1. Open app; inspect direction of panels, text, scrollbars.</t>
        </is>
      </c>
      <c r="H3017" s="16" t="inlineStr">
        <is>
          <t>locale=he-IL</t>
        </is>
      </c>
      <c r="I3017" s="16" t="inlineStr">
        <is>
          <t>Layout mirrored; text right-aligned; icons reflect direction; keyboard nav still logical.</t>
        </is>
      </c>
      <c r="J3017" s="16" t="inlineStr"/>
      <c r="K3017" s="16" t="inlineStr">
        <is>
          <t>Not Run</t>
        </is>
      </c>
      <c r="L3017" s="16" t="inlineStr">
        <is>
          <t>Medium</t>
        </is>
      </c>
      <c r="M3017" s="16" t="inlineStr"/>
      <c r="N3017" s="16" t="inlineStr"/>
      <c r="O3017" s="16" t="inlineStr"/>
    </row>
    <row r="3018" ht="72" customHeight="1">
      <c r="A3018" s="16" t="inlineStr">
        <is>
          <t>TC-LO-0021</t>
        </is>
      </c>
      <c r="B3018" s="16" t="inlineStr">
        <is>
          <t>Locale &amp; i18n</t>
        </is>
      </c>
      <c r="C3018" s="16" t="inlineStr">
        <is>
          <t>pt-BR</t>
        </is>
      </c>
      <c r="D3018" s="16" t="inlineStr">
        <is>
          <t>Compatibility</t>
        </is>
      </c>
      <c r="E3018" s="16" t="inlineStr">
        <is>
          <t>Locale pt-BR - date/time format</t>
        </is>
      </c>
      <c r="F3018" s="16" t="inlineStr">
        <is>
          <t>OS locale pt-BR.</t>
        </is>
      </c>
      <c r="G3018" s="16" t="inlineStr">
        <is>
          <t>1. Send a request; inspect history timestamp; inspect date displays.</t>
        </is>
      </c>
      <c r="H3018" s="16" t="inlineStr">
        <is>
          <t>locale=pt-BR</t>
        </is>
      </c>
      <c r="I3018" s="16" t="inlineStr">
        <is>
          <t>Dates formatted per locale (DD/MM/YYYY); times respect 12/24h; relative phrases ('2m ago') localized if i18n supported.</t>
        </is>
      </c>
      <c r="J3018" s="16" t="inlineStr"/>
      <c r="K3018" s="16" t="inlineStr">
        <is>
          <t>Not Run</t>
        </is>
      </c>
      <c r="L3018" s="16" t="inlineStr">
        <is>
          <t>Medium</t>
        </is>
      </c>
      <c r="M3018" s="16" t="inlineStr"/>
      <c r="N3018" s="16" t="inlineStr"/>
      <c r="O3018" s="16" t="inlineStr"/>
    </row>
    <row r="3019" ht="72" customHeight="1">
      <c r="A3019" s="16" t="inlineStr">
        <is>
          <t>TC-LO-0022</t>
        </is>
      </c>
      <c r="B3019" s="16" t="inlineStr">
        <is>
          <t>Locale &amp; i18n</t>
        </is>
      </c>
      <c r="C3019" s="16" t="inlineStr">
        <is>
          <t>pt-BR</t>
        </is>
      </c>
      <c r="D3019" s="16" t="inlineStr">
        <is>
          <t>Compatibility</t>
        </is>
      </c>
      <c r="E3019" s="16" t="inlineStr">
        <is>
          <t>Locale pt-BR - number format</t>
        </is>
      </c>
      <c r="F3019" s="16" t="inlineStr">
        <is>
          <t>OS locale pt-BR.</t>
        </is>
      </c>
      <c r="G3019" s="16" t="inlineStr">
        <is>
          <t>1. Inspect numeric fields (response time, size, counts).</t>
        </is>
      </c>
      <c r="H3019" s="16" t="inlineStr">
        <is>
          <t>locale=pt-BR</t>
        </is>
      </c>
      <c r="I3019" s="16" t="inlineStr">
        <is>
          <t>Numbers respect locale grouping/decimal separators (e.g., 1.234,56 vs 1,234.56).</t>
        </is>
      </c>
      <c r="J3019" s="16" t="inlineStr"/>
      <c r="K3019" s="16" t="inlineStr">
        <is>
          <t>Not Run</t>
        </is>
      </c>
      <c r="L3019" s="16" t="inlineStr">
        <is>
          <t>Low</t>
        </is>
      </c>
      <c r="M3019" s="16" t="inlineStr"/>
      <c r="N3019" s="16" t="inlineStr"/>
      <c r="O3019" s="16" t="inlineStr"/>
    </row>
    <row r="3020" ht="72" customHeight="1">
      <c r="A3020" s="16" t="inlineStr">
        <is>
          <t>TC-LO-0023</t>
        </is>
      </c>
      <c r="B3020" s="16" t="inlineStr">
        <is>
          <t>Locale &amp; i18n</t>
        </is>
      </c>
      <c r="C3020" s="16" t="inlineStr">
        <is>
          <t>ko-KR</t>
        </is>
      </c>
      <c r="D3020" s="16" t="inlineStr">
        <is>
          <t>Compatibility</t>
        </is>
      </c>
      <c r="E3020" s="16" t="inlineStr">
        <is>
          <t>Locale ko-KR - date/time format</t>
        </is>
      </c>
      <c r="F3020" s="16" t="inlineStr">
        <is>
          <t>OS locale ko-KR.</t>
        </is>
      </c>
      <c r="G3020" s="16" t="inlineStr">
        <is>
          <t>1. Send a request; inspect history timestamp; inspect date displays.</t>
        </is>
      </c>
      <c r="H3020" s="16" t="inlineStr">
        <is>
          <t>locale=ko-KR</t>
        </is>
      </c>
      <c r="I3020" s="16" t="inlineStr">
        <is>
          <t>Dates formatted per locale (YYYY.MM.DD); times respect 12/24h; relative phrases ('2m ago') localized if i18n supported.</t>
        </is>
      </c>
      <c r="J3020" s="16" t="inlineStr"/>
      <c r="K3020" s="16" t="inlineStr">
        <is>
          <t>Not Run</t>
        </is>
      </c>
      <c r="L3020" s="16" t="inlineStr">
        <is>
          <t>Medium</t>
        </is>
      </c>
      <c r="M3020" s="16" t="inlineStr"/>
      <c r="N3020" s="16" t="inlineStr"/>
      <c r="O3020" s="16" t="inlineStr"/>
    </row>
    <row r="3021" ht="72" customHeight="1">
      <c r="A3021" s="16" t="inlineStr">
        <is>
          <t>TC-LO-0024</t>
        </is>
      </c>
      <c r="B3021" s="16" t="inlineStr">
        <is>
          <t>Locale &amp; i18n</t>
        </is>
      </c>
      <c r="C3021" s="16" t="inlineStr">
        <is>
          <t>ko-KR</t>
        </is>
      </c>
      <c r="D3021" s="16" t="inlineStr">
        <is>
          <t>Compatibility</t>
        </is>
      </c>
      <c r="E3021" s="16" t="inlineStr">
        <is>
          <t>Locale ko-KR - number format</t>
        </is>
      </c>
      <c r="F3021" s="16" t="inlineStr">
        <is>
          <t>OS locale ko-KR.</t>
        </is>
      </c>
      <c r="G3021" s="16" t="inlineStr">
        <is>
          <t>1. Inspect numeric fields (response time, size, counts).</t>
        </is>
      </c>
      <c r="H3021" s="16" t="inlineStr">
        <is>
          <t>locale=ko-KR</t>
        </is>
      </c>
      <c r="I3021" s="16" t="inlineStr">
        <is>
          <t>Numbers respect locale grouping/decimal separators (e.g., 1.234,56 vs 1,234.56).</t>
        </is>
      </c>
      <c r="J3021" s="16" t="inlineStr"/>
      <c r="K3021" s="16" t="inlineStr">
        <is>
          <t>Not Run</t>
        </is>
      </c>
      <c r="L3021" s="16" t="inlineStr">
        <is>
          <t>Low</t>
        </is>
      </c>
      <c r="M3021" s="16" t="inlineStr"/>
      <c r="N3021" s="16" t="inlineStr"/>
      <c r="O3021" s="16" t="inlineStr"/>
    </row>
    <row r="3022" ht="72" customHeight="1">
      <c r="A3022" s="16" t="inlineStr">
        <is>
          <t>TC-LO-0025</t>
        </is>
      </c>
      <c r="B3022" s="16" t="inlineStr">
        <is>
          <t>Locale &amp; i18n</t>
        </is>
      </c>
      <c r="C3022" s="16" t="inlineStr">
        <is>
          <t>ru-RU</t>
        </is>
      </c>
      <c r="D3022" s="16" t="inlineStr">
        <is>
          <t>Compatibility</t>
        </is>
      </c>
      <c r="E3022" s="16" t="inlineStr">
        <is>
          <t>Locale ru-RU - date/time format</t>
        </is>
      </c>
      <c r="F3022" s="16" t="inlineStr">
        <is>
          <t>OS locale ru-RU.</t>
        </is>
      </c>
      <c r="G3022" s="16" t="inlineStr">
        <is>
          <t>1. Send a request; inspect history timestamp; inspect date displays.</t>
        </is>
      </c>
      <c r="H3022" s="16" t="inlineStr">
        <is>
          <t>locale=ru-RU</t>
        </is>
      </c>
      <c r="I3022" s="16" t="inlineStr">
        <is>
          <t>Dates formatted per locale (DD.MM.YYYY); times respect 12/24h; relative phrases ('2m ago') localized if i18n supported.</t>
        </is>
      </c>
      <c r="J3022" s="16" t="inlineStr"/>
      <c r="K3022" s="16" t="inlineStr">
        <is>
          <t>Not Run</t>
        </is>
      </c>
      <c r="L3022" s="16" t="inlineStr">
        <is>
          <t>Medium</t>
        </is>
      </c>
      <c r="M3022" s="16" t="inlineStr"/>
      <c r="N3022" s="16" t="inlineStr"/>
      <c r="O3022" s="16" t="inlineStr"/>
    </row>
    <row r="3023" ht="72" customHeight="1">
      <c r="A3023" s="16" t="inlineStr">
        <is>
          <t>TC-LO-0026</t>
        </is>
      </c>
      <c r="B3023" s="16" t="inlineStr">
        <is>
          <t>Locale &amp; i18n</t>
        </is>
      </c>
      <c r="C3023" s="16" t="inlineStr">
        <is>
          <t>ru-RU</t>
        </is>
      </c>
      <c r="D3023" s="16" t="inlineStr">
        <is>
          <t>Compatibility</t>
        </is>
      </c>
      <c r="E3023" s="16" t="inlineStr">
        <is>
          <t>Locale ru-RU - number format</t>
        </is>
      </c>
      <c r="F3023" s="16" t="inlineStr">
        <is>
          <t>OS locale ru-RU.</t>
        </is>
      </c>
      <c r="G3023" s="16" t="inlineStr">
        <is>
          <t>1. Inspect numeric fields (response time, size, counts).</t>
        </is>
      </c>
      <c r="H3023" s="16" t="inlineStr">
        <is>
          <t>locale=ru-RU</t>
        </is>
      </c>
      <c r="I3023" s="16" t="inlineStr">
        <is>
          <t>Numbers respect locale grouping/decimal separators (e.g., 1.234,56 vs 1,234.56).</t>
        </is>
      </c>
      <c r="J3023" s="16" t="inlineStr"/>
      <c r="K3023" s="16" t="inlineStr">
        <is>
          <t>Not Run</t>
        </is>
      </c>
      <c r="L3023" s="16" t="inlineStr">
        <is>
          <t>Low</t>
        </is>
      </c>
      <c r="M3023" s="16" t="inlineStr"/>
      <c r="N3023" s="16" t="inlineStr"/>
      <c r="O3023" s="16" t="inlineStr"/>
    </row>
    <row r="3024" ht="72" customHeight="1">
      <c r="A3024" s="16" t="inlineStr">
        <is>
          <t>TC-LO-0027</t>
        </is>
      </c>
      <c r="B3024" s="16" t="inlineStr">
        <is>
          <t>Locale &amp; i18n</t>
        </is>
      </c>
      <c r="C3024" s="16" t="inlineStr">
        <is>
          <t>Strings</t>
        </is>
      </c>
      <c r="D3024" s="16" t="inlineStr">
        <is>
          <t>Compatibility</t>
        </is>
      </c>
      <c r="E3024" s="16" t="inlineStr">
        <is>
          <t>All visible UI strings translatable</t>
        </is>
      </c>
      <c r="F3024" s="16" t="inlineStr">
        <is>
          <t>i18n manifest exists or planned.</t>
        </is>
      </c>
      <c r="G3024" s="16" t="inlineStr">
        <is>
          <t>1. Audit hardcoded strings.</t>
        </is>
      </c>
      <c r="H3024" s="16" t="inlineStr">
        <is>
          <t>i18n</t>
        </is>
      </c>
      <c r="I3024" s="16" t="inlineStr">
        <is>
          <t>No hardcoded English in components; all keys flow through translation lookup.</t>
        </is>
      </c>
      <c r="J3024" s="16" t="inlineStr"/>
      <c r="K3024" s="16" t="inlineStr">
        <is>
          <t>Not Run</t>
        </is>
      </c>
      <c r="L3024" s="16" t="inlineStr">
        <is>
          <t>Low</t>
        </is>
      </c>
      <c r="M3024" s="16" t="inlineStr"/>
      <c r="N3024" s="16" t="inlineStr"/>
      <c r="O3024" s="16" t="inlineStr"/>
    </row>
    <row r="3025" ht="72" customHeight="1">
      <c r="A3025" s="16" t="inlineStr">
        <is>
          <t>TC-LO-0028</t>
        </is>
      </c>
      <c r="B3025" s="16" t="inlineStr">
        <is>
          <t>Locale &amp; i18n</t>
        </is>
      </c>
      <c r="C3025" s="16" t="inlineStr">
        <is>
          <t>Strings</t>
        </is>
      </c>
      <c r="D3025" s="16" t="inlineStr">
        <is>
          <t>Compatibility</t>
        </is>
      </c>
      <c r="E3025" s="16" t="inlineStr">
        <is>
          <t>Missing translation falls back to English</t>
        </is>
      </c>
      <c r="F3025" s="16" t="inlineStr">
        <is>
          <t>Locale missing keys.</t>
        </is>
      </c>
      <c r="G3025" s="16" t="inlineStr">
        <is>
          <t>1. Switch locale; load.</t>
        </is>
      </c>
      <c r="H3025" s="16" t="inlineStr">
        <is>
          <t>missing-keys</t>
        </is>
      </c>
      <c r="I3025" s="16" t="inlineStr">
        <is>
          <t>Falls back; UI does not show key names; warning logged.</t>
        </is>
      </c>
      <c r="J3025" s="16" t="inlineStr"/>
      <c r="K3025" s="16" t="inlineStr">
        <is>
          <t>Not Run</t>
        </is>
      </c>
      <c r="L3025" s="16" t="inlineStr">
        <is>
          <t>Low</t>
        </is>
      </c>
      <c r="M3025" s="16" t="inlineStr"/>
      <c r="N3025" s="16" t="inlineStr"/>
      <c r="O3025" s="16" t="inlineStr"/>
    </row>
    <row r="3026" ht="72" customHeight="1">
      <c r="A3026" s="16" t="inlineStr">
        <is>
          <t>TC-LO-0029</t>
        </is>
      </c>
      <c r="B3026" s="16" t="inlineStr">
        <is>
          <t>Locale &amp; i18n</t>
        </is>
      </c>
      <c r="C3026" s="16" t="inlineStr">
        <is>
          <t>Strings</t>
        </is>
      </c>
      <c r="D3026" s="16" t="inlineStr">
        <is>
          <t>Edge Case</t>
        </is>
      </c>
      <c r="E3026" s="16" t="inlineStr">
        <is>
          <t>Long translation strings (German)</t>
        </is>
      </c>
      <c r="F3026" s="16" t="inlineStr">
        <is>
          <t>de-DE.</t>
        </is>
      </c>
      <c r="G3026" s="16" t="inlineStr">
        <is>
          <t>1. Inspect button labels.</t>
        </is>
      </c>
      <c r="H3026" s="16" t="inlineStr">
        <is>
          <t>long-text</t>
        </is>
      </c>
      <c r="I3026" s="16" t="inlineStr">
        <is>
          <t>Layout adapts; no clipped text; tooltips for truncation.</t>
        </is>
      </c>
      <c r="J3026" s="16" t="inlineStr"/>
      <c r="K3026" s="16" t="inlineStr">
        <is>
          <t>Not Run</t>
        </is>
      </c>
      <c r="L3026" s="16" t="inlineStr">
        <is>
          <t>Low</t>
        </is>
      </c>
      <c r="M3026" s="16" t="inlineStr"/>
      <c r="N3026" s="16" t="inlineStr"/>
      <c r="O3026" s="16" t="inlineStr"/>
    </row>
    <row r="3027" ht="72" customHeight="1">
      <c r="A3027" s="16" t="inlineStr">
        <is>
          <t>TC-OP-0001</t>
        </is>
      </c>
      <c r="B3027" s="16" t="inlineStr">
        <is>
          <t>OS / Platform Compatibility</t>
        </is>
      </c>
      <c r="C3027" s="16" t="inlineStr">
        <is>
          <t>Chrome stable</t>
        </is>
      </c>
      <c r="D3027" s="16" t="inlineStr">
        <is>
          <t>Compatibility</t>
        </is>
      </c>
      <c r="E3027" s="16" t="inlineStr">
        <is>
          <t>Smoke Chrome stable on Mac</t>
        </is>
      </c>
      <c r="F3027" s="16" t="inlineStr">
        <is>
          <t>Fresh.</t>
        </is>
      </c>
      <c r="G3027" s="16" t="inlineStr">
        <is>
          <t>1. Smoke flow.</t>
        </is>
      </c>
      <c r="H3027" s="16" t="inlineStr">
        <is>
          <t>browser=Chrome stable os=Mac</t>
        </is>
      </c>
      <c r="I3027" s="16" t="inlineStr">
        <is>
          <t>Works; OAuth popup works; persistence stable.</t>
        </is>
      </c>
      <c r="J3027" s="16" t="inlineStr"/>
      <c r="K3027" s="16" t="inlineStr">
        <is>
          <t>Not Run</t>
        </is>
      </c>
      <c r="L3027" s="16" t="inlineStr">
        <is>
          <t>High</t>
        </is>
      </c>
      <c r="M3027" s="16" t="inlineStr"/>
      <c r="N3027" s="16" t="inlineStr"/>
      <c r="O3027" s="16" t="inlineStr"/>
    </row>
    <row r="3028" ht="72" customHeight="1">
      <c r="A3028" s="16" t="inlineStr">
        <is>
          <t>TC-OP-0002</t>
        </is>
      </c>
      <c r="B3028" s="16" t="inlineStr">
        <is>
          <t>OS / Platform Compatibility</t>
        </is>
      </c>
      <c r="C3028" s="16" t="inlineStr">
        <is>
          <t>Chrome stable</t>
        </is>
      </c>
      <c r="D3028" s="16" t="inlineStr">
        <is>
          <t>Compatibility</t>
        </is>
      </c>
      <c r="E3028" s="16" t="inlineStr">
        <is>
          <t>Smoke Chrome stable on Win</t>
        </is>
      </c>
      <c r="F3028" s="16" t="inlineStr">
        <is>
          <t>Fresh.</t>
        </is>
      </c>
      <c r="G3028" s="16" t="inlineStr">
        <is>
          <t>1. Smoke flow.</t>
        </is>
      </c>
      <c r="H3028" s="16" t="inlineStr">
        <is>
          <t>browser=Chrome stable os=Win</t>
        </is>
      </c>
      <c r="I3028" s="16" t="inlineStr">
        <is>
          <t>Works; OAuth popup works; persistence stable.</t>
        </is>
      </c>
      <c r="J3028" s="16" t="inlineStr"/>
      <c r="K3028" s="16" t="inlineStr">
        <is>
          <t>Not Run</t>
        </is>
      </c>
      <c r="L3028" s="16" t="inlineStr">
        <is>
          <t>High</t>
        </is>
      </c>
      <c r="M3028" s="16" t="inlineStr"/>
      <c r="N3028" s="16" t="inlineStr"/>
      <c r="O3028" s="16" t="inlineStr"/>
    </row>
    <row r="3029" ht="72" customHeight="1">
      <c r="A3029" s="16" t="inlineStr">
        <is>
          <t>TC-OP-0003</t>
        </is>
      </c>
      <c r="B3029" s="16" t="inlineStr">
        <is>
          <t>OS / Platform Compatibility</t>
        </is>
      </c>
      <c r="C3029" s="16" t="inlineStr">
        <is>
          <t>Chrome stable</t>
        </is>
      </c>
      <c r="D3029" s="16" t="inlineStr">
        <is>
          <t>Compatibility</t>
        </is>
      </c>
      <c r="E3029" s="16" t="inlineStr">
        <is>
          <t>Smoke Chrome stable on Linux</t>
        </is>
      </c>
      <c r="F3029" s="16" t="inlineStr">
        <is>
          <t>Fresh.</t>
        </is>
      </c>
      <c r="G3029" s="16" t="inlineStr">
        <is>
          <t>1. Smoke flow.</t>
        </is>
      </c>
      <c r="H3029" s="16" t="inlineStr">
        <is>
          <t>browser=Chrome stable os=Linux</t>
        </is>
      </c>
      <c r="I3029" s="16" t="inlineStr">
        <is>
          <t>Works; OAuth popup works; persistence stable.</t>
        </is>
      </c>
      <c r="J3029" s="16" t="inlineStr"/>
      <c r="K3029" s="16" t="inlineStr">
        <is>
          <t>Not Run</t>
        </is>
      </c>
      <c r="L3029" s="16" t="inlineStr">
        <is>
          <t>High</t>
        </is>
      </c>
      <c r="M3029" s="16" t="inlineStr"/>
      <c r="N3029" s="16" t="inlineStr"/>
      <c r="O3029" s="16" t="inlineStr"/>
    </row>
    <row r="3030" ht="72" customHeight="1">
      <c r="A3030" s="16" t="inlineStr">
        <is>
          <t>TC-OP-0004</t>
        </is>
      </c>
      <c r="B3030" s="16" t="inlineStr">
        <is>
          <t>OS / Platform Compatibility</t>
        </is>
      </c>
      <c r="C3030" s="16" t="inlineStr">
        <is>
          <t>Chrome canary</t>
        </is>
      </c>
      <c r="D3030" s="16" t="inlineStr">
        <is>
          <t>Compatibility</t>
        </is>
      </c>
      <c r="E3030" s="16" t="inlineStr">
        <is>
          <t>Smoke Chrome canary on Mac</t>
        </is>
      </c>
      <c r="F3030" s="16" t="inlineStr">
        <is>
          <t>Fresh.</t>
        </is>
      </c>
      <c r="G3030" s="16" t="inlineStr">
        <is>
          <t>1. Smoke flow.</t>
        </is>
      </c>
      <c r="H3030" s="16" t="inlineStr">
        <is>
          <t>browser=Chrome canary os=Mac</t>
        </is>
      </c>
      <c r="I3030" s="16" t="inlineStr">
        <is>
          <t>Works; OAuth popup works; persistence stable.</t>
        </is>
      </c>
      <c r="J3030" s="16" t="inlineStr"/>
      <c r="K3030" s="16" t="inlineStr">
        <is>
          <t>Not Run</t>
        </is>
      </c>
      <c r="L3030" s="16" t="inlineStr">
        <is>
          <t>Low</t>
        </is>
      </c>
      <c r="M3030" s="16" t="inlineStr"/>
      <c r="N3030" s="16" t="inlineStr"/>
      <c r="O3030" s="16" t="inlineStr"/>
    </row>
    <row r="3031" ht="72" customHeight="1">
      <c r="A3031" s="16" t="inlineStr">
        <is>
          <t>TC-OP-0005</t>
        </is>
      </c>
      <c r="B3031" s="16" t="inlineStr">
        <is>
          <t>OS / Platform Compatibility</t>
        </is>
      </c>
      <c r="C3031" s="16" t="inlineStr">
        <is>
          <t>Chrome canary</t>
        </is>
      </c>
      <c r="D3031" s="16" t="inlineStr">
        <is>
          <t>Compatibility</t>
        </is>
      </c>
      <c r="E3031" s="16" t="inlineStr">
        <is>
          <t>Smoke Chrome canary on Win</t>
        </is>
      </c>
      <c r="F3031" s="16" t="inlineStr">
        <is>
          <t>Fresh.</t>
        </is>
      </c>
      <c r="G3031" s="16" t="inlineStr">
        <is>
          <t>1. Smoke flow.</t>
        </is>
      </c>
      <c r="H3031" s="16" t="inlineStr">
        <is>
          <t>browser=Chrome canary os=Win</t>
        </is>
      </c>
      <c r="I3031" s="16" t="inlineStr">
        <is>
          <t>Works; OAuth popup works; persistence stable.</t>
        </is>
      </c>
      <c r="J3031" s="16" t="inlineStr"/>
      <c r="K3031" s="16" t="inlineStr">
        <is>
          <t>Not Run</t>
        </is>
      </c>
      <c r="L3031" s="16" t="inlineStr">
        <is>
          <t>Low</t>
        </is>
      </c>
      <c r="M3031" s="16" t="inlineStr"/>
      <c r="N3031" s="16" t="inlineStr"/>
      <c r="O3031" s="16" t="inlineStr"/>
    </row>
    <row r="3032" ht="72" customHeight="1">
      <c r="A3032" s="16" t="inlineStr">
        <is>
          <t>TC-OP-0006</t>
        </is>
      </c>
      <c r="B3032" s="16" t="inlineStr">
        <is>
          <t>OS / Platform Compatibility</t>
        </is>
      </c>
      <c r="C3032" s="16" t="inlineStr">
        <is>
          <t>Firefox stable</t>
        </is>
      </c>
      <c r="D3032" s="16" t="inlineStr">
        <is>
          <t>Compatibility</t>
        </is>
      </c>
      <c r="E3032" s="16" t="inlineStr">
        <is>
          <t>Smoke Firefox stable on Mac</t>
        </is>
      </c>
      <c r="F3032" s="16" t="inlineStr">
        <is>
          <t>Fresh.</t>
        </is>
      </c>
      <c r="G3032" s="16" t="inlineStr">
        <is>
          <t>1. Smoke flow.</t>
        </is>
      </c>
      <c r="H3032" s="16" t="inlineStr">
        <is>
          <t>browser=Firefox stable os=Mac</t>
        </is>
      </c>
      <c r="I3032" s="16" t="inlineStr">
        <is>
          <t>Works; OAuth popup works; persistence stable.</t>
        </is>
      </c>
      <c r="J3032" s="16" t="inlineStr"/>
      <c r="K3032" s="16" t="inlineStr">
        <is>
          <t>Not Run</t>
        </is>
      </c>
      <c r="L3032" s="16" t="inlineStr">
        <is>
          <t>High</t>
        </is>
      </c>
      <c r="M3032" s="16" t="inlineStr"/>
      <c r="N3032" s="16" t="inlineStr"/>
      <c r="O3032" s="16" t="inlineStr"/>
    </row>
    <row r="3033" ht="72" customHeight="1">
      <c r="A3033" s="16" t="inlineStr">
        <is>
          <t>TC-OP-0007</t>
        </is>
      </c>
      <c r="B3033" s="16" t="inlineStr">
        <is>
          <t>OS / Platform Compatibility</t>
        </is>
      </c>
      <c r="C3033" s="16" t="inlineStr">
        <is>
          <t>Firefox stable</t>
        </is>
      </c>
      <c r="D3033" s="16" t="inlineStr">
        <is>
          <t>Compatibility</t>
        </is>
      </c>
      <c r="E3033" s="16" t="inlineStr">
        <is>
          <t>Smoke Firefox stable on Win</t>
        </is>
      </c>
      <c r="F3033" s="16" t="inlineStr">
        <is>
          <t>Fresh.</t>
        </is>
      </c>
      <c r="G3033" s="16" t="inlineStr">
        <is>
          <t>1. Smoke flow.</t>
        </is>
      </c>
      <c r="H3033" s="16" t="inlineStr">
        <is>
          <t>browser=Firefox stable os=Win</t>
        </is>
      </c>
      <c r="I3033" s="16" t="inlineStr">
        <is>
          <t>Works; OAuth popup works; persistence stable.</t>
        </is>
      </c>
      <c r="J3033" s="16" t="inlineStr"/>
      <c r="K3033" s="16" t="inlineStr">
        <is>
          <t>Not Run</t>
        </is>
      </c>
      <c r="L3033" s="16" t="inlineStr">
        <is>
          <t>High</t>
        </is>
      </c>
      <c r="M3033" s="16" t="inlineStr"/>
      <c r="N3033" s="16" t="inlineStr"/>
      <c r="O3033" s="16" t="inlineStr"/>
    </row>
    <row r="3034" ht="72" customHeight="1">
      <c r="A3034" s="16" t="inlineStr">
        <is>
          <t>TC-OP-0008</t>
        </is>
      </c>
      <c r="B3034" s="16" t="inlineStr">
        <is>
          <t>OS / Platform Compatibility</t>
        </is>
      </c>
      <c r="C3034" s="16" t="inlineStr">
        <is>
          <t>Firefox stable</t>
        </is>
      </c>
      <c r="D3034" s="16" t="inlineStr">
        <is>
          <t>Compatibility</t>
        </is>
      </c>
      <c r="E3034" s="16" t="inlineStr">
        <is>
          <t>Smoke Firefox stable on Linux</t>
        </is>
      </c>
      <c r="F3034" s="16" t="inlineStr">
        <is>
          <t>Fresh.</t>
        </is>
      </c>
      <c r="G3034" s="16" t="inlineStr">
        <is>
          <t>1. Smoke flow.</t>
        </is>
      </c>
      <c r="H3034" s="16" t="inlineStr">
        <is>
          <t>browser=Firefox stable os=Linux</t>
        </is>
      </c>
      <c r="I3034" s="16" t="inlineStr">
        <is>
          <t>Works; OAuth popup works; persistence stable.</t>
        </is>
      </c>
      <c r="J3034" s="16" t="inlineStr"/>
      <c r="K3034" s="16" t="inlineStr">
        <is>
          <t>Not Run</t>
        </is>
      </c>
      <c r="L3034" s="16" t="inlineStr">
        <is>
          <t>High</t>
        </is>
      </c>
      <c r="M3034" s="16" t="inlineStr"/>
      <c r="N3034" s="16" t="inlineStr"/>
      <c r="O3034" s="16" t="inlineStr"/>
    </row>
    <row r="3035" ht="72" customHeight="1">
      <c r="A3035" s="16" t="inlineStr">
        <is>
          <t>TC-OP-0009</t>
        </is>
      </c>
      <c r="B3035" s="16" t="inlineStr">
        <is>
          <t>OS / Platform Compatibility</t>
        </is>
      </c>
      <c r="C3035" s="16" t="inlineStr">
        <is>
          <t>Firefox ESR</t>
        </is>
      </c>
      <c r="D3035" s="16" t="inlineStr">
        <is>
          <t>Compatibility</t>
        </is>
      </c>
      <c r="E3035" s="16" t="inlineStr">
        <is>
          <t>Smoke Firefox ESR on Win</t>
        </is>
      </c>
      <c r="F3035" s="16" t="inlineStr">
        <is>
          <t>Fresh.</t>
        </is>
      </c>
      <c r="G3035" s="16" t="inlineStr">
        <is>
          <t>1. Smoke flow.</t>
        </is>
      </c>
      <c r="H3035" s="16" t="inlineStr">
        <is>
          <t>browser=Firefox ESR os=Win</t>
        </is>
      </c>
      <c r="I3035" s="16" t="inlineStr">
        <is>
          <t>Works; OAuth popup works; persistence stable.</t>
        </is>
      </c>
      <c r="J3035" s="16" t="inlineStr"/>
      <c r="K3035" s="16" t="inlineStr">
        <is>
          <t>Not Run</t>
        </is>
      </c>
      <c r="L3035" s="16" t="inlineStr">
        <is>
          <t>Low</t>
        </is>
      </c>
      <c r="M3035" s="16" t="inlineStr"/>
      <c r="N3035" s="16" t="inlineStr"/>
      <c r="O3035" s="16" t="inlineStr"/>
    </row>
    <row r="3036" ht="72" customHeight="1">
      <c r="A3036" s="16" t="inlineStr">
        <is>
          <t>TC-OP-0010</t>
        </is>
      </c>
      <c r="B3036" s="16" t="inlineStr">
        <is>
          <t>OS / Platform Compatibility</t>
        </is>
      </c>
      <c r="C3036" s="16" t="inlineStr">
        <is>
          <t>Safari</t>
        </is>
      </c>
      <c r="D3036" s="16" t="inlineStr">
        <is>
          <t>Compatibility</t>
        </is>
      </c>
      <c r="E3036" s="16" t="inlineStr">
        <is>
          <t>Smoke Safari on macOS</t>
        </is>
      </c>
      <c r="F3036" s="16" t="inlineStr">
        <is>
          <t>Fresh.</t>
        </is>
      </c>
      <c r="G3036" s="16" t="inlineStr">
        <is>
          <t>1. Smoke flow.</t>
        </is>
      </c>
      <c r="H3036" s="16" t="inlineStr">
        <is>
          <t>browser=Safari os=macOS</t>
        </is>
      </c>
      <c r="I3036" s="16" t="inlineStr">
        <is>
          <t>Works; OAuth popup works; persistence stable.</t>
        </is>
      </c>
      <c r="J3036" s="16" t="inlineStr"/>
      <c r="K3036" s="16" t="inlineStr">
        <is>
          <t>Not Run</t>
        </is>
      </c>
      <c r="L3036" s="16" t="inlineStr">
        <is>
          <t>High</t>
        </is>
      </c>
      <c r="M3036" s="16" t="inlineStr"/>
      <c r="N3036" s="16" t="inlineStr"/>
      <c r="O3036" s="16" t="inlineStr"/>
    </row>
    <row r="3037" ht="72" customHeight="1">
      <c r="A3037" s="16" t="inlineStr">
        <is>
          <t>TC-OP-0011</t>
        </is>
      </c>
      <c r="B3037" s="16" t="inlineStr">
        <is>
          <t>OS / Platform Compatibility</t>
        </is>
      </c>
      <c r="C3037" s="16" t="inlineStr">
        <is>
          <t>Edge stable</t>
        </is>
      </c>
      <c r="D3037" s="16" t="inlineStr">
        <is>
          <t>Compatibility</t>
        </is>
      </c>
      <c r="E3037" s="16" t="inlineStr">
        <is>
          <t>Smoke Edge stable on Mac</t>
        </is>
      </c>
      <c r="F3037" s="16" t="inlineStr">
        <is>
          <t>Fresh.</t>
        </is>
      </c>
      <c r="G3037" s="16" t="inlineStr">
        <is>
          <t>1. Smoke flow.</t>
        </is>
      </c>
      <c r="H3037" s="16" t="inlineStr">
        <is>
          <t>browser=Edge stable os=Mac</t>
        </is>
      </c>
      <c r="I3037" s="16" t="inlineStr">
        <is>
          <t>Works; OAuth popup works; persistence stable.</t>
        </is>
      </c>
      <c r="J3037" s="16" t="inlineStr"/>
      <c r="K3037" s="16" t="inlineStr">
        <is>
          <t>Not Run</t>
        </is>
      </c>
      <c r="L3037" s="16" t="inlineStr">
        <is>
          <t>High</t>
        </is>
      </c>
      <c r="M3037" s="16" t="inlineStr"/>
      <c r="N3037" s="16" t="inlineStr"/>
      <c r="O3037" s="16" t="inlineStr"/>
    </row>
    <row r="3038" ht="72" customHeight="1">
      <c r="A3038" s="16" t="inlineStr">
        <is>
          <t>TC-OP-0012</t>
        </is>
      </c>
      <c r="B3038" s="16" t="inlineStr">
        <is>
          <t>OS / Platform Compatibility</t>
        </is>
      </c>
      <c r="C3038" s="16" t="inlineStr">
        <is>
          <t>Edge stable</t>
        </is>
      </c>
      <c r="D3038" s="16" t="inlineStr">
        <is>
          <t>Compatibility</t>
        </is>
      </c>
      <c r="E3038" s="16" t="inlineStr">
        <is>
          <t>Smoke Edge stable on Win</t>
        </is>
      </c>
      <c r="F3038" s="16" t="inlineStr">
        <is>
          <t>Fresh.</t>
        </is>
      </c>
      <c r="G3038" s="16" t="inlineStr">
        <is>
          <t>1. Smoke flow.</t>
        </is>
      </c>
      <c r="H3038" s="16" t="inlineStr">
        <is>
          <t>browser=Edge stable os=Win</t>
        </is>
      </c>
      <c r="I3038" s="16" t="inlineStr">
        <is>
          <t>Works; OAuth popup works; persistence stable.</t>
        </is>
      </c>
      <c r="J3038" s="16" t="inlineStr"/>
      <c r="K3038" s="16" t="inlineStr">
        <is>
          <t>Not Run</t>
        </is>
      </c>
      <c r="L3038" s="16" t="inlineStr">
        <is>
          <t>High</t>
        </is>
      </c>
      <c r="M3038" s="16" t="inlineStr"/>
      <c r="N3038" s="16" t="inlineStr"/>
      <c r="O3038" s="16" t="inlineStr"/>
    </row>
    <row r="3039" ht="72" customHeight="1">
      <c r="A3039" s="16" t="inlineStr">
        <is>
          <t>TC-LV-0001</t>
        </is>
      </c>
      <c r="B3039" s="16" t="inlineStr">
        <is>
          <t>Linked Workspace Versioning</t>
        </is>
      </c>
      <c r="C3039" s="16" t="inlineStr">
        <is>
          <t>Link to latest version</t>
        </is>
      </c>
      <c r="D3039" s="16" t="inlineStr">
        <is>
          <t>Functional</t>
        </is>
      </c>
      <c r="E3039" s="16" t="inlineStr">
        <is>
          <t>Linked versioning: Link to latest version</t>
        </is>
      </c>
      <c r="F3039" s="16" t="inlineStr">
        <is>
          <t>-</t>
        </is>
      </c>
      <c r="G3039" s="16" t="inlineStr">
        <is>
          <t>1. Link without pinning.</t>
        </is>
      </c>
      <c r="H3039" s="16" t="inlineStr">
        <is>
          <t>Link to latest version</t>
        </is>
      </c>
      <c r="I3039" s="16" t="inlineStr">
        <is>
          <t>Tracks latest published release.</t>
        </is>
      </c>
      <c r="J3039" s="16" t="inlineStr"/>
      <c r="K3039" s="16" t="inlineStr">
        <is>
          <t>Not Run</t>
        </is>
      </c>
      <c r="L3039" s="16" t="inlineStr">
        <is>
          <t>High</t>
        </is>
      </c>
      <c r="M3039" s="16" t="inlineStr"/>
      <c r="N3039" s="16" t="inlineStr"/>
      <c r="O3039" s="16" t="inlineStr"/>
    </row>
    <row r="3040" ht="72" customHeight="1">
      <c r="A3040" s="16" t="inlineStr">
        <is>
          <t>TC-LV-0002</t>
        </is>
      </c>
      <c r="B3040" s="16" t="inlineStr">
        <is>
          <t>Linked Workspace Versioning</t>
        </is>
      </c>
      <c r="C3040" s="16" t="inlineStr">
        <is>
          <t>Pin to specific version</t>
        </is>
      </c>
      <c r="D3040" s="16" t="inlineStr">
        <is>
          <t>Functional</t>
        </is>
      </c>
      <c r="E3040" s="16" t="inlineStr">
        <is>
          <t>Linked versioning: Pin to specific version</t>
        </is>
      </c>
      <c r="F3040" s="16" t="inlineStr">
        <is>
          <t>-</t>
        </is>
      </c>
      <c r="G3040" s="16" t="inlineStr">
        <is>
          <t>1. Pin v1.2.0.</t>
        </is>
      </c>
      <c r="H3040" s="16" t="inlineStr">
        <is>
          <t>Pin to specific version</t>
        </is>
      </c>
      <c r="I3040" s="16" t="inlineStr">
        <is>
          <t>Stays on v1.2.0 even when v1.3.0 published.</t>
        </is>
      </c>
      <c r="J3040" s="16" t="inlineStr"/>
      <c r="K3040" s="16" t="inlineStr">
        <is>
          <t>Not Run</t>
        </is>
      </c>
      <c r="L3040" s="16" t="inlineStr">
        <is>
          <t>High</t>
        </is>
      </c>
      <c r="M3040" s="16" t="inlineStr"/>
      <c r="N3040" s="16" t="inlineStr"/>
      <c r="O3040" s="16" t="inlineStr"/>
    </row>
    <row r="3041" ht="72" customHeight="1">
      <c r="A3041" s="16" t="inlineStr">
        <is>
          <t>TC-LV-0003</t>
        </is>
      </c>
      <c r="B3041" s="16" t="inlineStr">
        <is>
          <t>Linked Workspace Versioning</t>
        </is>
      </c>
      <c r="C3041" s="16" t="inlineStr">
        <is>
          <t>Update banner when source publishes new version</t>
        </is>
      </c>
      <c r="D3041" s="16" t="inlineStr">
        <is>
          <t>Functional</t>
        </is>
      </c>
      <c r="E3041" s="16" t="inlineStr">
        <is>
          <t>Linked versioning: Update banner when source publishes new version</t>
        </is>
      </c>
      <c r="F3041" s="16" t="inlineStr">
        <is>
          <t>-</t>
        </is>
      </c>
      <c r="G3041" s="16" t="inlineStr">
        <is>
          <t>1. Source publishes v2.</t>
        </is>
      </c>
      <c r="H3041" s="16" t="inlineStr">
        <is>
          <t>Update banner when source publishes new version</t>
        </is>
      </c>
      <c r="I3041" s="16" t="inlineStr">
        <is>
          <t>Banner 'v2 available'; preview diff.</t>
        </is>
      </c>
      <c r="J3041" s="16" t="inlineStr"/>
      <c r="K3041" s="16" t="inlineStr">
        <is>
          <t>Not Run</t>
        </is>
      </c>
      <c r="L3041" s="16" t="inlineStr">
        <is>
          <t>High</t>
        </is>
      </c>
      <c r="M3041" s="16" t="inlineStr"/>
      <c r="N3041" s="16" t="inlineStr"/>
      <c r="O3041" s="16" t="inlineStr"/>
    </row>
    <row r="3042" ht="72" customHeight="1">
      <c r="A3042" s="16" t="inlineStr">
        <is>
          <t>TC-LV-0004</t>
        </is>
      </c>
      <c r="B3042" s="16" t="inlineStr">
        <is>
          <t>Linked Workspace Versioning</t>
        </is>
      </c>
      <c r="C3042" s="16" t="inlineStr">
        <is>
          <t>Adopt new version</t>
        </is>
      </c>
      <c r="D3042" s="16" t="inlineStr">
        <is>
          <t>Functional</t>
        </is>
      </c>
      <c r="E3042" s="16" t="inlineStr">
        <is>
          <t>Linked versioning: Adopt new version</t>
        </is>
      </c>
      <c r="F3042" s="16" t="inlineStr">
        <is>
          <t>-</t>
        </is>
      </c>
      <c r="G3042" s="16" t="inlineStr">
        <is>
          <t>1. Click adopt; review changes.</t>
        </is>
      </c>
      <c r="H3042" s="16" t="inlineStr">
        <is>
          <t>Adopt new version</t>
        </is>
      </c>
      <c r="I3042" s="16" t="inlineStr">
        <is>
          <t>Local workspace updates references; existing overrides preserved when keys still exist.</t>
        </is>
      </c>
      <c r="J3042" s="16" t="inlineStr"/>
      <c r="K3042" s="16" t="inlineStr">
        <is>
          <t>Not Run</t>
        </is>
      </c>
      <c r="L3042" s="16" t="inlineStr">
        <is>
          <t>High</t>
        </is>
      </c>
      <c r="M3042" s="16" t="inlineStr"/>
      <c r="N3042" s="16" t="inlineStr"/>
      <c r="O3042" s="16" t="inlineStr"/>
    </row>
    <row r="3043" ht="72" customHeight="1">
      <c r="A3043" s="16" t="inlineStr">
        <is>
          <t>TC-LV-0005</t>
        </is>
      </c>
      <c r="B3043" s="16" t="inlineStr">
        <is>
          <t>Linked Workspace Versioning</t>
        </is>
      </c>
      <c r="C3043" s="16" t="inlineStr">
        <is>
          <t>Decline new version (stay pinned)</t>
        </is>
      </c>
      <c r="D3043" s="16" t="inlineStr">
        <is>
          <t>Functional</t>
        </is>
      </c>
      <c r="E3043" s="16" t="inlineStr">
        <is>
          <t>Linked versioning: Decline new version (stay pinned)</t>
        </is>
      </c>
      <c r="F3043" s="16" t="inlineStr">
        <is>
          <t>-</t>
        </is>
      </c>
      <c r="G3043" s="16" t="inlineStr">
        <is>
          <t>1. Decline.</t>
        </is>
      </c>
      <c r="H3043" s="16" t="inlineStr">
        <is>
          <t>Decline new version (stay pinned)</t>
        </is>
      </c>
      <c r="I3043" s="16" t="inlineStr">
        <is>
          <t>No change.</t>
        </is>
      </c>
      <c r="J3043" s="16" t="inlineStr"/>
      <c r="K3043" s="16" t="inlineStr">
        <is>
          <t>Not Run</t>
        </is>
      </c>
      <c r="L3043" s="16" t="inlineStr">
        <is>
          <t>Medium</t>
        </is>
      </c>
      <c r="M3043" s="16" t="inlineStr"/>
      <c r="N3043" s="16" t="inlineStr"/>
      <c r="O3043" s="16" t="inlineStr"/>
    </row>
    <row r="3044" ht="72" customHeight="1">
      <c r="A3044" s="16" t="inlineStr">
        <is>
          <t>TC-LV-0006</t>
        </is>
      </c>
      <c r="B3044" s="16" t="inlineStr">
        <is>
          <t>Linked Workspace Versioning</t>
        </is>
      </c>
      <c r="C3044" s="16" t="inlineStr">
        <is>
          <t>Breaking change in new version (removed env var)</t>
        </is>
      </c>
      <c r="D3044" s="16" t="inlineStr">
        <is>
          <t>Negative</t>
        </is>
      </c>
      <c r="E3044" s="16" t="inlineStr">
        <is>
          <t>Linked versioning: Breaking change in new version (removed env var)</t>
        </is>
      </c>
      <c r="F3044" s="16" t="inlineStr">
        <is>
          <t>-</t>
        </is>
      </c>
      <c r="G3044" s="16" t="inlineStr">
        <is>
          <t>1. Source removes var.</t>
        </is>
      </c>
      <c r="H3044" s="16" t="inlineStr">
        <is>
          <t>Breaking change in new version (removed env var)</t>
        </is>
      </c>
      <c r="I3044" s="16" t="inlineStr">
        <is>
          <t>Banner flags breaking; consumer warned which overrides break.</t>
        </is>
      </c>
      <c r="J3044" s="16" t="inlineStr"/>
      <c r="K3044" s="16" t="inlineStr">
        <is>
          <t>Not Run</t>
        </is>
      </c>
      <c r="L3044" s="16" t="inlineStr">
        <is>
          <t>High</t>
        </is>
      </c>
      <c r="M3044" s="16" t="inlineStr"/>
      <c r="N3044" s="16" t="inlineStr"/>
      <c r="O3044" s="16" t="inlineStr"/>
    </row>
    <row r="3045" ht="72" customHeight="1">
      <c r="A3045" s="16" t="inlineStr">
        <is>
          <t>TC-LV-0007</t>
        </is>
      </c>
      <c r="B3045" s="16" t="inlineStr">
        <is>
          <t>Linked Workspace Versioning</t>
        </is>
      </c>
      <c r="C3045" s="16" t="inlineStr">
        <is>
          <t>Renamed entity in new version</t>
        </is>
      </c>
      <c r="D3045" s="16" t="inlineStr">
        <is>
          <t>Edge Case</t>
        </is>
      </c>
      <c r="E3045" s="16" t="inlineStr">
        <is>
          <t>Linked versioning: Renamed entity in new version</t>
        </is>
      </c>
      <c r="F3045" s="16" t="inlineStr">
        <is>
          <t>-</t>
        </is>
      </c>
      <c r="G3045" s="16" t="inlineStr">
        <is>
          <t>1. Source renames request.</t>
        </is>
      </c>
      <c r="H3045" s="16" t="inlineStr">
        <is>
          <t>Renamed entity in new version</t>
        </is>
      </c>
      <c r="I3045" s="16" t="inlineStr">
        <is>
          <t>Override migrates if rename detected, else flagged.</t>
        </is>
      </c>
      <c r="J3045" s="16" t="inlineStr"/>
      <c r="K3045" s="16" t="inlineStr">
        <is>
          <t>Not Run</t>
        </is>
      </c>
      <c r="L3045" s="16" t="inlineStr">
        <is>
          <t>Medium</t>
        </is>
      </c>
      <c r="M3045" s="16" t="inlineStr"/>
      <c r="N3045" s="16" t="inlineStr"/>
      <c r="O3045" s="16" t="inlineStr"/>
    </row>
    <row r="3046" ht="72" customHeight="1">
      <c r="A3046" s="16" t="inlineStr">
        <is>
          <t>TC-LV-0008</t>
        </is>
      </c>
      <c r="B3046" s="16" t="inlineStr">
        <is>
          <t>Linked Workspace Versioning</t>
        </is>
      </c>
      <c r="C3046" s="16" t="inlineStr">
        <is>
          <t>Multiple linked workspaces with conflicting var names</t>
        </is>
      </c>
      <c r="D3046" s="16" t="inlineStr">
        <is>
          <t>Edge Case</t>
        </is>
      </c>
      <c r="E3046" s="16" t="inlineStr">
        <is>
          <t>Linked versioning: Multiple linked workspaces with conflicting var names</t>
        </is>
      </c>
      <c r="F3046" s="16" t="inlineStr">
        <is>
          <t>-</t>
        </is>
      </c>
      <c r="G3046" s="16" t="inlineStr">
        <is>
          <t>1. Two linked WS define 'token'.</t>
        </is>
      </c>
      <c r="H3046" s="16" t="inlineStr">
        <is>
          <t>Multiple linked workspaces with conflicting var names</t>
        </is>
      </c>
      <c r="I3046" s="16" t="inlineStr">
        <is>
          <t>Resolution follows priority order; UI shows source per var.</t>
        </is>
      </c>
      <c r="J3046" s="16" t="inlineStr"/>
      <c r="K3046" s="16" t="inlineStr">
        <is>
          <t>Not Run</t>
        </is>
      </c>
      <c r="L3046" s="16" t="inlineStr">
        <is>
          <t>Medium</t>
        </is>
      </c>
      <c r="M3046" s="16" t="inlineStr"/>
      <c r="N3046" s="16" t="inlineStr"/>
      <c r="O3046" s="16" t="inlineStr"/>
    </row>
    <row r="3047" ht="72" customHeight="1">
      <c r="A3047" s="16" t="inlineStr">
        <is>
          <t>TC-LV-0009</t>
        </is>
      </c>
      <c r="B3047" s="16" t="inlineStr">
        <is>
          <t>Linked Workspace Versioning</t>
        </is>
      </c>
      <c r="C3047" s="16" t="inlineStr">
        <is>
          <t>Override per linked-version</t>
        </is>
      </c>
      <c r="D3047" s="16" t="inlineStr">
        <is>
          <t>Functional</t>
        </is>
      </c>
      <c r="E3047" s="16" t="inlineStr">
        <is>
          <t>Linked versioning: Override per linked-version</t>
        </is>
      </c>
      <c r="F3047" s="16" t="inlineStr">
        <is>
          <t>-</t>
        </is>
      </c>
      <c r="G3047" s="16" t="inlineStr">
        <is>
          <t>1. Pin v1 with overrides; switch to v2.</t>
        </is>
      </c>
      <c r="H3047" s="16" t="inlineStr">
        <is>
          <t>Override per linked-version</t>
        </is>
      </c>
      <c r="I3047" s="16" t="inlineStr">
        <is>
          <t>Either v2-scoped overrides or warning to re-apply; documented.</t>
        </is>
      </c>
      <c r="J3047" s="16" t="inlineStr"/>
      <c r="K3047" s="16" t="inlineStr">
        <is>
          <t>Not Run</t>
        </is>
      </c>
      <c r="L3047" s="16" t="inlineStr">
        <is>
          <t>Medium</t>
        </is>
      </c>
      <c r="M3047" s="16" t="inlineStr"/>
      <c r="N3047" s="16" t="inlineStr"/>
      <c r="O3047" s="16" t="inlineStr"/>
    </row>
    <row r="3048" ht="72" customHeight="1">
      <c r="A3048" s="16" t="inlineStr">
        <is>
          <t>TC-LV-0010</t>
        </is>
      </c>
      <c r="B3048" s="16" t="inlineStr">
        <is>
          <t>Linked Workspace Versioning</t>
        </is>
      </c>
      <c r="C3048" s="16" t="inlineStr">
        <is>
          <t>Unlink preserves local copies (optional)</t>
        </is>
      </c>
      <c r="D3048" s="16" t="inlineStr">
        <is>
          <t>Edge Case</t>
        </is>
      </c>
      <c r="E3048" s="16" t="inlineStr">
        <is>
          <t>Linked versioning: Unlink preserves local copies (optional)</t>
        </is>
      </c>
      <c r="F3048" s="16" t="inlineStr">
        <is>
          <t>-</t>
        </is>
      </c>
      <c r="G3048" s="16" t="inlineStr">
        <is>
          <t>1. Unlink with 'keep local copies' on.</t>
        </is>
      </c>
      <c r="H3048" s="16" t="inlineStr">
        <is>
          <t>Unlink preserves local copies (optional)</t>
        </is>
      </c>
      <c r="I3048" s="16" t="inlineStr">
        <is>
          <t>Linked resources duplicated into workspace as native entities.</t>
        </is>
      </c>
      <c r="J3048" s="16" t="inlineStr"/>
      <c r="K3048" s="16" t="inlineStr">
        <is>
          <t>Not Run</t>
        </is>
      </c>
      <c r="L3048" s="16" t="inlineStr">
        <is>
          <t>Medium</t>
        </is>
      </c>
      <c r="M3048" s="16" t="inlineStr"/>
      <c r="N3048" s="16" t="inlineStr"/>
      <c r="O3048" s="16" t="inlineStr"/>
    </row>
    <row r="3049" ht="72" customHeight="1">
      <c r="A3049" s="16" t="inlineStr">
        <is>
          <t>TC-LV-0011</t>
        </is>
      </c>
      <c r="B3049" s="16" t="inlineStr">
        <is>
          <t>Linked Workspace Versioning</t>
        </is>
      </c>
      <c r="C3049" s="16" t="inlineStr">
        <is>
          <t>Source unpublished a version we pinned</t>
        </is>
      </c>
      <c r="D3049" s="16" t="inlineStr">
        <is>
          <t>Negative</t>
        </is>
      </c>
      <c r="E3049" s="16" t="inlineStr">
        <is>
          <t>Linked versioning: Source unpublished a version we pinned</t>
        </is>
      </c>
      <c r="F3049" s="16" t="inlineStr">
        <is>
          <t>-</t>
        </is>
      </c>
      <c r="G3049" s="16" t="inlineStr">
        <is>
          <t>1. Source unpublishes v1.2.0.</t>
        </is>
      </c>
      <c r="H3049" s="16" t="inlineStr">
        <is>
          <t>Source unpublished a version we pinned</t>
        </is>
      </c>
      <c r="I3049" s="16" t="inlineStr">
        <is>
          <t>Consumer warned; current data still usable; cannot re-fetch.</t>
        </is>
      </c>
      <c r="J3049" s="16" t="inlineStr"/>
      <c r="K3049" s="16" t="inlineStr">
        <is>
          <t>Not Run</t>
        </is>
      </c>
      <c r="L3049" s="16" t="inlineStr">
        <is>
          <t>Medium</t>
        </is>
      </c>
      <c r="M3049" s="16" t="inlineStr"/>
      <c r="N3049" s="16" t="inlineStr"/>
      <c r="O3049" s="16" t="inlineStr"/>
    </row>
    <row r="3050" ht="72" customHeight="1">
      <c r="A3050" s="16" t="inlineStr">
        <is>
          <t>TC-LV-0012</t>
        </is>
      </c>
      <c r="B3050" s="16" t="inlineStr">
        <is>
          <t>Linked Workspace Versioning</t>
        </is>
      </c>
      <c r="C3050" s="16" t="inlineStr">
        <is>
          <t>Linked release ledger refresh</t>
        </is>
      </c>
      <c r="D3050" s="16" t="inlineStr">
        <is>
          <t>Functional</t>
        </is>
      </c>
      <c r="E3050" s="16" t="inlineStr">
        <is>
          <t>Linked versioning: Linked release ledger refresh</t>
        </is>
      </c>
      <c r="F3050" s="16" t="inlineStr">
        <is>
          <t>-</t>
        </is>
      </c>
      <c r="G3050" s="16" t="inlineStr">
        <is>
          <t>1. Refresh.</t>
        </is>
      </c>
      <c r="H3050" s="16" t="inlineStr">
        <is>
          <t>Linked release ledger refresh</t>
        </is>
      </c>
      <c r="I3050" s="16" t="inlineStr">
        <is>
          <t>Ledger cache updates; new version visible.</t>
        </is>
      </c>
      <c r="J3050" s="16" t="inlineStr"/>
      <c r="K3050" s="16" t="inlineStr">
        <is>
          <t>Not Run</t>
        </is>
      </c>
      <c r="L3050" s="16" t="inlineStr">
        <is>
          <t>Medium</t>
        </is>
      </c>
      <c r="M3050" s="16" t="inlineStr"/>
      <c r="N3050" s="16" t="inlineStr"/>
      <c r="O3050" s="16" t="inlineStr"/>
    </row>
    <row r="3051" ht="72" customHeight="1">
      <c r="A3051" s="16" t="inlineStr">
        <is>
          <t>TC-LV-0013</t>
        </is>
      </c>
      <c r="B3051" s="16" t="inlineStr">
        <is>
          <t>Linked Workspace Versioning</t>
        </is>
      </c>
      <c r="C3051" s="16" t="inlineStr">
        <is>
          <t>Compare diff between linked versions</t>
        </is>
      </c>
      <c r="D3051" s="16" t="inlineStr">
        <is>
          <t>UX/UI</t>
        </is>
      </c>
      <c r="E3051" s="16" t="inlineStr">
        <is>
          <t>Linked versioning: Compare diff between linked versions</t>
        </is>
      </c>
      <c r="F3051" s="16" t="inlineStr">
        <is>
          <t>-</t>
        </is>
      </c>
      <c r="G3051" s="16" t="inlineStr">
        <is>
          <t>1. Open version diff.</t>
        </is>
      </c>
      <c r="H3051" s="16" t="inlineStr">
        <is>
          <t>Compare diff between linked versions</t>
        </is>
      </c>
      <c r="I3051" s="16" t="inlineStr">
        <is>
          <t>Side-by-side or change list.</t>
        </is>
      </c>
      <c r="J3051" s="16" t="inlineStr"/>
      <c r="K3051" s="16" t="inlineStr">
        <is>
          <t>Not Run</t>
        </is>
      </c>
      <c r="L3051" s="16" t="inlineStr">
        <is>
          <t>Medium</t>
        </is>
      </c>
      <c r="M3051" s="16" t="inlineStr"/>
      <c r="N3051" s="16" t="inlineStr"/>
      <c r="O3051" s="16" t="inlineStr"/>
    </row>
    <row r="3052" ht="72" customHeight="1">
      <c r="A3052" s="16" t="inlineStr">
        <is>
          <t>TC-LV-0014</t>
        </is>
      </c>
      <c r="B3052" s="16" t="inlineStr">
        <is>
          <t>Linked Workspace Versioning</t>
        </is>
      </c>
      <c r="C3052" s="16" t="inlineStr">
        <is>
          <t>Release notes Markdown rendered</t>
        </is>
      </c>
      <c r="D3052" s="16" t="inlineStr">
        <is>
          <t>UX/UI</t>
        </is>
      </c>
      <c r="E3052" s="16" t="inlineStr">
        <is>
          <t>Linked versioning: Release notes Markdown rendered</t>
        </is>
      </c>
      <c r="F3052" s="16" t="inlineStr">
        <is>
          <t>-</t>
        </is>
      </c>
      <c r="G3052" s="16" t="inlineStr">
        <is>
          <t>1. View release notes.</t>
        </is>
      </c>
      <c r="H3052" s="16" t="inlineStr">
        <is>
          <t>Release notes Markdown rendered</t>
        </is>
      </c>
      <c r="I3052" s="16" t="inlineStr">
        <is>
          <t>Markdown safely rendered.</t>
        </is>
      </c>
      <c r="J3052" s="16" t="inlineStr"/>
      <c r="K3052" s="16" t="inlineStr">
        <is>
          <t>Not Run</t>
        </is>
      </c>
      <c r="L3052" s="16" t="inlineStr">
        <is>
          <t>Low</t>
        </is>
      </c>
      <c r="M3052" s="16" t="inlineStr"/>
      <c r="N3052" s="16" t="inlineStr"/>
      <c r="O3052" s="16" t="inlineStr"/>
    </row>
    <row r="3053" ht="72" customHeight="1">
      <c r="A3053" s="16" t="inlineStr">
        <is>
          <t>TC-LV-0015</t>
        </is>
      </c>
      <c r="B3053" s="16" t="inlineStr">
        <is>
          <t>Linked Workspace Versioning</t>
        </is>
      </c>
      <c r="C3053" s="16" t="inlineStr">
        <is>
          <t>Linked WS that itself links to another WS (chain)</t>
        </is>
      </c>
      <c r="D3053" s="16" t="inlineStr">
        <is>
          <t>Edge Case</t>
        </is>
      </c>
      <c r="E3053" s="16" t="inlineStr">
        <is>
          <t>Linked versioning: Linked WS that itself links to another WS (chain)</t>
        </is>
      </c>
      <c r="F3053" s="16" t="inlineStr">
        <is>
          <t>-</t>
        </is>
      </c>
      <c r="G3053" s="16" t="inlineStr">
        <is>
          <t>1. A -&gt; B -&gt; C.</t>
        </is>
      </c>
      <c r="H3053" s="16" t="inlineStr">
        <is>
          <t>Linked WS that itself links to another WS (chain)</t>
        </is>
      </c>
      <c r="I3053" s="16" t="inlineStr">
        <is>
          <t>Transitive references resolved or blocked at depth N.</t>
        </is>
      </c>
      <c r="J3053" s="16" t="inlineStr"/>
      <c r="K3053" s="16" t="inlineStr">
        <is>
          <t>Not Run</t>
        </is>
      </c>
      <c r="L3053" s="16" t="inlineStr">
        <is>
          <t>Low</t>
        </is>
      </c>
      <c r="M3053" s="16" t="inlineStr"/>
      <c r="N3053" s="16" t="inlineStr"/>
      <c r="O3053" s="16" t="inlineStr"/>
    </row>
    <row r="3054" ht="72" customHeight="1">
      <c r="A3054" s="16" t="inlineStr">
        <is>
          <t>TC-WK-0001</t>
        </is>
      </c>
      <c r="B3054" s="16" t="inlineStr">
        <is>
          <t>WebSocket / SSE / Streaming</t>
        </is>
      </c>
      <c r="C3054" s="16" t="inlineStr">
        <is>
          <t>WS connect to ws://</t>
        </is>
      </c>
      <c r="D3054" s="16" t="inlineStr">
        <is>
          <t>Functional</t>
        </is>
      </c>
      <c r="E3054" s="16" t="inlineStr">
        <is>
          <t>Streaming: WS connect to ws://</t>
        </is>
      </c>
      <c r="F3054" s="16" t="inlineStr">
        <is>
          <t>-</t>
        </is>
      </c>
      <c r="G3054" s="16" t="inlineStr">
        <is>
          <t>1. New WS request; ws://echo.
2. Connect.</t>
        </is>
      </c>
      <c r="H3054" s="16" t="inlineStr">
        <is>
          <t>WS connect to ws://</t>
        </is>
      </c>
      <c r="I3054" s="16" t="inlineStr">
        <is>
          <t>Status Connected; ping/pong; chat panel ready.</t>
        </is>
      </c>
      <c r="J3054" s="16" t="inlineStr"/>
      <c r="K3054" s="16" t="inlineStr">
        <is>
          <t>Not Run</t>
        </is>
      </c>
      <c r="L3054" s="16" t="inlineStr">
        <is>
          <t>Medium</t>
        </is>
      </c>
      <c r="M3054" s="16" t="inlineStr"/>
      <c r="N3054" s="16" t="inlineStr"/>
      <c r="O3054" s="16" t="inlineStr"/>
    </row>
    <row r="3055" ht="72" customHeight="1">
      <c r="A3055" s="16" t="inlineStr">
        <is>
          <t>TC-WK-0002</t>
        </is>
      </c>
      <c r="B3055" s="16" t="inlineStr">
        <is>
          <t>WebSocket / SSE / Streaming</t>
        </is>
      </c>
      <c r="C3055" s="16" t="inlineStr">
        <is>
          <t>WS connect to wss://</t>
        </is>
      </c>
      <c r="D3055" s="16" t="inlineStr">
        <is>
          <t>Functional</t>
        </is>
      </c>
      <c r="E3055" s="16" t="inlineStr">
        <is>
          <t>Streaming: WS connect to wss://</t>
        </is>
      </c>
      <c r="F3055" s="16" t="inlineStr">
        <is>
          <t>-</t>
        </is>
      </c>
      <c r="G3055" s="16" t="inlineStr">
        <is>
          <t>1. wss endpoint.</t>
        </is>
      </c>
      <c r="H3055" s="16" t="inlineStr">
        <is>
          <t>WS connect to wss://</t>
        </is>
      </c>
      <c r="I3055" s="16" t="inlineStr">
        <is>
          <t>Connected.</t>
        </is>
      </c>
      <c r="J3055" s="16" t="inlineStr"/>
      <c r="K3055" s="16" t="inlineStr">
        <is>
          <t>Not Run</t>
        </is>
      </c>
      <c r="L3055" s="16" t="inlineStr">
        <is>
          <t>High</t>
        </is>
      </c>
      <c r="M3055" s="16" t="inlineStr"/>
      <c r="N3055" s="16" t="inlineStr"/>
      <c r="O3055" s="16" t="inlineStr"/>
    </row>
    <row r="3056" ht="72" customHeight="1">
      <c r="A3056" s="16" t="inlineStr">
        <is>
          <t>TC-WK-0003</t>
        </is>
      </c>
      <c r="B3056" s="16" t="inlineStr">
        <is>
          <t>WebSocket / SSE / Streaming</t>
        </is>
      </c>
      <c r="C3056" s="16" t="inlineStr">
        <is>
          <t>WS send text frame</t>
        </is>
      </c>
      <c r="D3056" s="16" t="inlineStr">
        <is>
          <t>Functional</t>
        </is>
      </c>
      <c r="E3056" s="16" t="inlineStr">
        <is>
          <t>Streaming: WS send text frame</t>
        </is>
      </c>
      <c r="F3056" s="16" t="inlineStr">
        <is>
          <t>-</t>
        </is>
      </c>
      <c r="G3056" s="16" t="inlineStr">
        <is>
          <t>1. Send 'hello'.</t>
        </is>
      </c>
      <c r="H3056" s="16" t="inlineStr">
        <is>
          <t>WS send text frame</t>
        </is>
      </c>
      <c r="I3056" s="16" t="inlineStr">
        <is>
          <t>Echo received.</t>
        </is>
      </c>
      <c r="J3056" s="16" t="inlineStr"/>
      <c r="K3056" s="16" t="inlineStr">
        <is>
          <t>Not Run</t>
        </is>
      </c>
      <c r="L3056" s="16" t="inlineStr">
        <is>
          <t>High</t>
        </is>
      </c>
      <c r="M3056" s="16" t="inlineStr"/>
      <c r="N3056" s="16" t="inlineStr"/>
      <c r="O3056" s="16" t="inlineStr"/>
    </row>
    <row r="3057" ht="72" customHeight="1">
      <c r="A3057" s="16" t="inlineStr">
        <is>
          <t>TC-WK-0004</t>
        </is>
      </c>
      <c r="B3057" s="16" t="inlineStr">
        <is>
          <t>WebSocket / SSE / Streaming</t>
        </is>
      </c>
      <c r="C3057" s="16" t="inlineStr">
        <is>
          <t>WS send binary frame</t>
        </is>
      </c>
      <c r="D3057" s="16" t="inlineStr">
        <is>
          <t>Functional</t>
        </is>
      </c>
      <c r="E3057" s="16" t="inlineStr">
        <is>
          <t>Streaming: WS send binary frame</t>
        </is>
      </c>
      <c r="F3057" s="16" t="inlineStr">
        <is>
          <t>-</t>
        </is>
      </c>
      <c r="G3057" s="16" t="inlineStr">
        <is>
          <t>1. Send binary.</t>
        </is>
      </c>
      <c r="H3057" s="16" t="inlineStr">
        <is>
          <t>WS send binary frame</t>
        </is>
      </c>
      <c r="I3057" s="16" t="inlineStr">
        <is>
          <t>Echo received as binary.</t>
        </is>
      </c>
      <c r="J3057" s="16" t="inlineStr"/>
      <c r="K3057" s="16" t="inlineStr">
        <is>
          <t>Not Run</t>
        </is>
      </c>
      <c r="L3057" s="16" t="inlineStr">
        <is>
          <t>Medium</t>
        </is>
      </c>
      <c r="M3057" s="16" t="inlineStr"/>
      <c r="N3057" s="16" t="inlineStr"/>
      <c r="O3057" s="16" t="inlineStr"/>
    </row>
    <row r="3058" ht="72" customHeight="1">
      <c r="A3058" s="16" t="inlineStr">
        <is>
          <t>TC-WK-0005</t>
        </is>
      </c>
      <c r="B3058" s="16" t="inlineStr">
        <is>
          <t>WebSocket / SSE / Streaming</t>
        </is>
      </c>
      <c r="C3058" s="16" t="inlineStr">
        <is>
          <t>WS receive server-pushed frames</t>
        </is>
      </c>
      <c r="D3058" s="16" t="inlineStr">
        <is>
          <t>Functional</t>
        </is>
      </c>
      <c r="E3058" s="16" t="inlineStr">
        <is>
          <t>Streaming: WS receive server-pushed frames</t>
        </is>
      </c>
      <c r="F3058" s="16" t="inlineStr">
        <is>
          <t>-</t>
        </is>
      </c>
      <c r="G3058" s="16" t="inlineStr">
        <is>
          <t>1. Subscribe.</t>
        </is>
      </c>
      <c r="H3058" s="16" t="inlineStr">
        <is>
          <t>WS receive server-pushed frames</t>
        </is>
      </c>
      <c r="I3058" s="16" t="inlineStr">
        <is>
          <t>Frames stream into panel.</t>
        </is>
      </c>
      <c r="J3058" s="16" t="inlineStr"/>
      <c r="K3058" s="16" t="inlineStr">
        <is>
          <t>Not Run</t>
        </is>
      </c>
      <c r="L3058" s="16" t="inlineStr">
        <is>
          <t>Medium</t>
        </is>
      </c>
      <c r="M3058" s="16" t="inlineStr"/>
      <c r="N3058" s="16" t="inlineStr"/>
      <c r="O3058" s="16" t="inlineStr"/>
    </row>
    <row r="3059" ht="72" customHeight="1">
      <c r="A3059" s="16" t="inlineStr">
        <is>
          <t>TC-WK-0006</t>
        </is>
      </c>
      <c r="B3059" s="16" t="inlineStr">
        <is>
          <t>WebSocket / SSE / Streaming</t>
        </is>
      </c>
      <c r="C3059" s="16" t="inlineStr">
        <is>
          <t>WS subprotocol negotiation</t>
        </is>
      </c>
      <c r="D3059" s="16" t="inlineStr">
        <is>
          <t>Edge Case</t>
        </is>
      </c>
      <c r="E3059" s="16" t="inlineStr">
        <is>
          <t>Streaming: WS subprotocol negotiation</t>
        </is>
      </c>
      <c r="F3059" s="16" t="inlineStr">
        <is>
          <t>-</t>
        </is>
      </c>
      <c r="G3059" s="16" t="inlineStr">
        <is>
          <t>1. Sec-WebSocket-Protocol on connect.</t>
        </is>
      </c>
      <c r="H3059" s="16" t="inlineStr">
        <is>
          <t>WS subprotocol negotiation</t>
        </is>
      </c>
      <c r="I3059" s="16" t="inlineStr">
        <is>
          <t>Server-chosen subprotocol shown.</t>
        </is>
      </c>
      <c r="J3059" s="16" t="inlineStr"/>
      <c r="K3059" s="16" t="inlineStr">
        <is>
          <t>Not Run</t>
        </is>
      </c>
      <c r="L3059" s="16" t="inlineStr">
        <is>
          <t>Low</t>
        </is>
      </c>
      <c r="M3059" s="16" t="inlineStr"/>
      <c r="N3059" s="16" t="inlineStr"/>
      <c r="O3059" s="16" t="inlineStr"/>
    </row>
    <row r="3060" ht="72" customHeight="1">
      <c r="A3060" s="16" t="inlineStr">
        <is>
          <t>TC-WK-0007</t>
        </is>
      </c>
      <c r="B3060" s="16" t="inlineStr">
        <is>
          <t>WebSocket / SSE / Streaming</t>
        </is>
      </c>
      <c r="C3060" s="16" t="inlineStr">
        <is>
          <t>WS auth via header on upgrade</t>
        </is>
      </c>
      <c r="D3060" s="16" t="inlineStr">
        <is>
          <t>Functional</t>
        </is>
      </c>
      <c r="E3060" s="16" t="inlineStr">
        <is>
          <t>Streaming: WS auth via header on upgrade</t>
        </is>
      </c>
      <c r="F3060" s="16" t="inlineStr">
        <is>
          <t>-</t>
        </is>
      </c>
      <c r="G3060" s="16" t="inlineStr">
        <is>
          <t>1. Authorization header.</t>
        </is>
      </c>
      <c r="H3060" s="16" t="inlineStr">
        <is>
          <t>WS auth via header on upgrade</t>
        </is>
      </c>
      <c r="I3060" s="16" t="inlineStr">
        <is>
          <t>Server accepts.</t>
        </is>
      </c>
      <c r="J3060" s="16" t="inlineStr"/>
      <c r="K3060" s="16" t="inlineStr">
        <is>
          <t>Not Run</t>
        </is>
      </c>
      <c r="L3060" s="16" t="inlineStr">
        <is>
          <t>Medium</t>
        </is>
      </c>
      <c r="M3060" s="16" t="inlineStr"/>
      <c r="N3060" s="16" t="inlineStr"/>
      <c r="O3060" s="16" t="inlineStr"/>
    </row>
    <row r="3061" ht="72" customHeight="1">
      <c r="A3061" s="16" t="inlineStr">
        <is>
          <t>TC-WK-0008</t>
        </is>
      </c>
      <c r="B3061" s="16" t="inlineStr">
        <is>
          <t>WebSocket / SSE / Streaming</t>
        </is>
      </c>
      <c r="C3061" s="16" t="inlineStr">
        <is>
          <t>WS auth via cookie</t>
        </is>
      </c>
      <c r="D3061" s="16" t="inlineStr">
        <is>
          <t>Functional</t>
        </is>
      </c>
      <c r="E3061" s="16" t="inlineStr">
        <is>
          <t>Streaming: WS auth via cookie</t>
        </is>
      </c>
      <c r="F3061" s="16" t="inlineStr">
        <is>
          <t>-</t>
        </is>
      </c>
      <c r="G3061" s="16" t="inlineStr">
        <is>
          <t>1. Cookie sent on upgrade.</t>
        </is>
      </c>
      <c r="H3061" s="16" t="inlineStr">
        <is>
          <t>WS auth via cookie</t>
        </is>
      </c>
      <c r="I3061" s="16" t="inlineStr">
        <is>
          <t>Auth works.</t>
        </is>
      </c>
      <c r="J3061" s="16" t="inlineStr"/>
      <c r="K3061" s="16" t="inlineStr">
        <is>
          <t>Not Run</t>
        </is>
      </c>
      <c r="L3061" s="16" t="inlineStr">
        <is>
          <t>Medium</t>
        </is>
      </c>
      <c r="M3061" s="16" t="inlineStr"/>
      <c r="N3061" s="16" t="inlineStr"/>
      <c r="O3061" s="16" t="inlineStr"/>
    </row>
    <row r="3062" ht="72" customHeight="1">
      <c r="A3062" s="16" t="inlineStr">
        <is>
          <t>TC-WK-0009</t>
        </is>
      </c>
      <c r="B3062" s="16" t="inlineStr">
        <is>
          <t>WebSocket / SSE / Streaming</t>
        </is>
      </c>
      <c r="C3062" s="16" t="inlineStr">
        <is>
          <t>WS auto-reconnect on drop</t>
        </is>
      </c>
      <c r="D3062" s="16" t="inlineStr">
        <is>
          <t>Edge Case</t>
        </is>
      </c>
      <c r="E3062" s="16" t="inlineStr">
        <is>
          <t>Streaming: WS auto-reconnect on drop</t>
        </is>
      </c>
      <c r="F3062" s="16" t="inlineStr">
        <is>
          <t>-</t>
        </is>
      </c>
      <c r="G3062" s="16" t="inlineStr">
        <is>
          <t>1. Drop connection.</t>
        </is>
      </c>
      <c r="H3062" s="16" t="inlineStr">
        <is>
          <t>WS auto-reconnect on drop</t>
        </is>
      </c>
      <c r="I3062" s="16" t="inlineStr">
        <is>
          <t>If supported, reconnects with backoff.</t>
        </is>
      </c>
      <c r="J3062" s="16" t="inlineStr"/>
      <c r="K3062" s="16" t="inlineStr">
        <is>
          <t>Not Run</t>
        </is>
      </c>
      <c r="L3062" s="16" t="inlineStr">
        <is>
          <t>Low</t>
        </is>
      </c>
      <c r="M3062" s="16" t="inlineStr"/>
      <c r="N3062" s="16" t="inlineStr"/>
      <c r="O3062" s="16" t="inlineStr"/>
    </row>
    <row r="3063" ht="72" customHeight="1">
      <c r="A3063" s="16" t="inlineStr">
        <is>
          <t>TC-WK-0010</t>
        </is>
      </c>
      <c r="B3063" s="16" t="inlineStr">
        <is>
          <t>WebSocket / SSE / Streaming</t>
        </is>
      </c>
      <c r="C3063" s="16" t="inlineStr">
        <is>
          <t>WS close 1000 vs 1006</t>
        </is>
      </c>
      <c r="D3063" s="16" t="inlineStr">
        <is>
          <t>Negative</t>
        </is>
      </c>
      <c r="E3063" s="16" t="inlineStr">
        <is>
          <t>Streaming: WS close 1000 vs 1006</t>
        </is>
      </c>
      <c r="F3063" s="16" t="inlineStr">
        <is>
          <t>-</t>
        </is>
      </c>
      <c r="G3063" s="16" t="inlineStr">
        <is>
          <t>1. Compare normal vs abnormal close.</t>
        </is>
      </c>
      <c r="H3063" s="16" t="inlineStr">
        <is>
          <t>WS close 1000 vs 1006</t>
        </is>
      </c>
      <c r="I3063" s="16" t="inlineStr">
        <is>
          <t>Reason shown.</t>
        </is>
      </c>
      <c r="J3063" s="16" t="inlineStr"/>
      <c r="K3063" s="16" t="inlineStr">
        <is>
          <t>Not Run</t>
        </is>
      </c>
      <c r="L3063" s="16" t="inlineStr">
        <is>
          <t>Low</t>
        </is>
      </c>
      <c r="M3063" s="16" t="inlineStr"/>
      <c r="N3063" s="16" t="inlineStr"/>
      <c r="O3063" s="16" t="inlineStr"/>
    </row>
    <row r="3064" ht="72" customHeight="1">
      <c r="A3064" s="16" t="inlineStr">
        <is>
          <t>TC-WK-0011</t>
        </is>
      </c>
      <c r="B3064" s="16" t="inlineStr">
        <is>
          <t>WebSocket / SSE / Streaming</t>
        </is>
      </c>
      <c r="C3064" s="16" t="inlineStr">
        <is>
          <t>WS large frame (1MB)</t>
        </is>
      </c>
      <c r="D3064" s="16" t="inlineStr">
        <is>
          <t>Performance</t>
        </is>
      </c>
      <c r="E3064" s="16" t="inlineStr">
        <is>
          <t>Streaming: WS large frame (1MB)</t>
        </is>
      </c>
      <c r="F3064" s="16" t="inlineStr">
        <is>
          <t>-</t>
        </is>
      </c>
      <c r="G3064" s="16" t="inlineStr">
        <is>
          <t>1. Send.</t>
        </is>
      </c>
      <c r="H3064" s="16" t="inlineStr">
        <is>
          <t>WS large frame (1MB)</t>
        </is>
      </c>
      <c r="I3064" s="16" t="inlineStr">
        <is>
          <t>Works; buffered correctly.</t>
        </is>
      </c>
      <c r="J3064" s="16" t="inlineStr"/>
      <c r="K3064" s="16" t="inlineStr">
        <is>
          <t>Not Run</t>
        </is>
      </c>
      <c r="L3064" s="16" t="inlineStr">
        <is>
          <t>Low</t>
        </is>
      </c>
      <c r="M3064" s="16" t="inlineStr"/>
      <c r="N3064" s="16" t="inlineStr"/>
      <c r="O3064" s="16" t="inlineStr"/>
    </row>
    <row r="3065" ht="72" customHeight="1">
      <c r="A3065" s="16" t="inlineStr">
        <is>
          <t>TC-WK-0012</t>
        </is>
      </c>
      <c r="B3065" s="16" t="inlineStr">
        <is>
          <t>WebSocket / SSE / Streaming</t>
        </is>
      </c>
      <c r="C3065" s="16" t="inlineStr">
        <is>
          <t>WS history persisted</t>
        </is>
      </c>
      <c r="D3065" s="16" t="inlineStr">
        <is>
          <t>Functional</t>
        </is>
      </c>
      <c r="E3065" s="16" t="inlineStr">
        <is>
          <t>Streaming: WS history persisted</t>
        </is>
      </c>
      <c r="F3065" s="16" t="inlineStr">
        <is>
          <t>-</t>
        </is>
      </c>
      <c r="G3065" s="16" t="inlineStr">
        <is>
          <t>1. Send messages; reload.</t>
        </is>
      </c>
      <c r="H3065" s="16" t="inlineStr">
        <is>
          <t>WS history persisted</t>
        </is>
      </c>
      <c r="I3065" s="16" t="inlineStr">
        <is>
          <t>Per-session history visible.</t>
        </is>
      </c>
      <c r="J3065" s="16" t="inlineStr"/>
      <c r="K3065" s="16" t="inlineStr">
        <is>
          <t>Not Run</t>
        </is>
      </c>
      <c r="L3065" s="16" t="inlineStr">
        <is>
          <t>Medium</t>
        </is>
      </c>
      <c r="M3065" s="16" t="inlineStr"/>
      <c r="N3065" s="16" t="inlineStr"/>
      <c r="O3065" s="16" t="inlineStr"/>
    </row>
    <row r="3066" ht="72" customHeight="1">
      <c r="A3066" s="16" t="inlineStr">
        <is>
          <t>TC-WK-0013</t>
        </is>
      </c>
      <c r="B3066" s="16" t="inlineStr">
        <is>
          <t>WebSocket / SSE / Streaming</t>
        </is>
      </c>
      <c r="C3066" s="16" t="inlineStr">
        <is>
          <t>SSE connect</t>
        </is>
      </c>
      <c r="D3066" s="16" t="inlineStr">
        <is>
          <t>Functional</t>
        </is>
      </c>
      <c r="E3066" s="16" t="inlineStr">
        <is>
          <t>Streaming: SSE connect</t>
        </is>
      </c>
      <c r="F3066" s="16" t="inlineStr">
        <is>
          <t>-</t>
        </is>
      </c>
      <c r="G3066" s="16" t="inlineStr">
        <is>
          <t>1. text/event-stream endpoint.</t>
        </is>
      </c>
      <c r="H3066" s="16" t="inlineStr">
        <is>
          <t>SSE connect</t>
        </is>
      </c>
      <c r="I3066" s="16" t="inlineStr">
        <is>
          <t>Stream open; events arrive.</t>
        </is>
      </c>
      <c r="J3066" s="16" t="inlineStr"/>
      <c r="K3066" s="16" t="inlineStr">
        <is>
          <t>Not Run</t>
        </is>
      </c>
      <c r="L3066" s="16" t="inlineStr">
        <is>
          <t>Medium</t>
        </is>
      </c>
      <c r="M3066" s="16" t="inlineStr"/>
      <c r="N3066" s="16" t="inlineStr"/>
      <c r="O3066" s="16" t="inlineStr"/>
    </row>
    <row r="3067" ht="72" customHeight="1">
      <c r="A3067" s="16" t="inlineStr">
        <is>
          <t>TC-WK-0014</t>
        </is>
      </c>
      <c r="B3067" s="16" t="inlineStr">
        <is>
          <t>WebSocket / SSE / Streaming</t>
        </is>
      </c>
      <c r="C3067" s="16" t="inlineStr">
        <is>
          <t>SSE event with id and reconnect</t>
        </is>
      </c>
      <c r="D3067" s="16" t="inlineStr">
        <is>
          <t>Functional</t>
        </is>
      </c>
      <c r="E3067" s="16" t="inlineStr">
        <is>
          <t>Streaming: SSE event with id and reconnect</t>
        </is>
      </c>
      <c r="F3067" s="16" t="inlineStr">
        <is>
          <t>-</t>
        </is>
      </c>
      <c r="G3067" s="16" t="inlineStr">
        <is>
          <t>1. Drop; reconnect.</t>
        </is>
      </c>
      <c r="H3067" s="16" t="inlineStr">
        <is>
          <t>SSE event with id and reconnect</t>
        </is>
      </c>
      <c r="I3067" s="16" t="inlineStr">
        <is>
          <t>Last-Event-Id sent on reconnect.</t>
        </is>
      </c>
      <c r="J3067" s="16" t="inlineStr"/>
      <c r="K3067" s="16" t="inlineStr">
        <is>
          <t>Not Run</t>
        </is>
      </c>
      <c r="L3067" s="16" t="inlineStr">
        <is>
          <t>Medium</t>
        </is>
      </c>
      <c r="M3067" s="16" t="inlineStr"/>
      <c r="N3067" s="16" t="inlineStr"/>
      <c r="O3067" s="16" t="inlineStr"/>
    </row>
    <row r="3068" ht="72" customHeight="1">
      <c r="A3068" s="16" t="inlineStr">
        <is>
          <t>TC-WK-0015</t>
        </is>
      </c>
      <c r="B3068" s="16" t="inlineStr">
        <is>
          <t>WebSocket / SSE / Streaming</t>
        </is>
      </c>
      <c r="C3068" s="16" t="inlineStr">
        <is>
          <t>SSE multiline data</t>
        </is>
      </c>
      <c r="D3068" s="16" t="inlineStr">
        <is>
          <t>Edge Case</t>
        </is>
      </c>
      <c r="E3068" s="16" t="inlineStr">
        <is>
          <t>Streaming: SSE multiline data</t>
        </is>
      </c>
      <c r="F3068" s="16" t="inlineStr">
        <is>
          <t>-</t>
        </is>
      </c>
      <c r="G3068" s="16" t="inlineStr">
        <is>
          <t>1. Server sends multi-data lines.</t>
        </is>
      </c>
      <c r="H3068" s="16" t="inlineStr">
        <is>
          <t>SSE multiline data</t>
        </is>
      </c>
      <c r="I3068" s="16" t="inlineStr">
        <is>
          <t>Reassembled per spec.</t>
        </is>
      </c>
      <c r="J3068" s="16" t="inlineStr"/>
      <c r="K3068" s="16" t="inlineStr">
        <is>
          <t>Not Run</t>
        </is>
      </c>
      <c r="L3068" s="16" t="inlineStr">
        <is>
          <t>Low</t>
        </is>
      </c>
      <c r="M3068" s="16" t="inlineStr"/>
      <c r="N3068" s="16" t="inlineStr"/>
      <c r="O3068" s="16" t="inlineStr"/>
    </row>
    <row r="3069" ht="72" customHeight="1">
      <c r="A3069" s="16" t="inlineStr">
        <is>
          <t>TC-WK-0016</t>
        </is>
      </c>
      <c r="B3069" s="16" t="inlineStr">
        <is>
          <t>WebSocket / SSE / Streaming</t>
        </is>
      </c>
      <c r="C3069" s="16" t="inlineStr">
        <is>
          <t>gRPC unary call (if supported)</t>
        </is>
      </c>
      <c r="D3069" s="16" t="inlineStr">
        <is>
          <t>Functional</t>
        </is>
      </c>
      <c r="E3069" s="16" t="inlineStr">
        <is>
          <t>Streaming: gRPC unary call (if supported)</t>
        </is>
      </c>
      <c r="F3069" s="16" t="inlineStr">
        <is>
          <t>-</t>
        </is>
      </c>
      <c r="G3069" s="16" t="inlineStr">
        <is>
          <t>1. .proto loaded; unary call.</t>
        </is>
      </c>
      <c r="H3069" s="16" t="inlineStr">
        <is>
          <t>gRPC unary call (if supported)</t>
        </is>
      </c>
      <c r="I3069" s="16" t="inlineStr">
        <is>
          <t>Response decoded.</t>
        </is>
      </c>
      <c r="J3069" s="16" t="inlineStr"/>
      <c r="K3069" s="16" t="inlineStr">
        <is>
          <t>Not Run</t>
        </is>
      </c>
      <c r="L3069" s="16" t="inlineStr">
        <is>
          <t>Medium</t>
        </is>
      </c>
      <c r="M3069" s="16" t="inlineStr"/>
      <c r="N3069" s="16" t="inlineStr"/>
      <c r="O3069" s="16" t="inlineStr"/>
    </row>
    <row r="3070" ht="72" customHeight="1">
      <c r="A3070" s="16" t="inlineStr">
        <is>
          <t>TC-WK-0017</t>
        </is>
      </c>
      <c r="B3070" s="16" t="inlineStr">
        <is>
          <t>WebSocket / SSE / Streaming</t>
        </is>
      </c>
      <c r="C3070" s="16" t="inlineStr">
        <is>
          <t>gRPC server streaming</t>
        </is>
      </c>
      <c r="D3070" s="16" t="inlineStr">
        <is>
          <t>Functional</t>
        </is>
      </c>
      <c r="E3070" s="16" t="inlineStr">
        <is>
          <t>Streaming: gRPC server streaming</t>
        </is>
      </c>
      <c r="F3070" s="16" t="inlineStr">
        <is>
          <t>-</t>
        </is>
      </c>
      <c r="G3070" s="16" t="inlineStr">
        <is>
          <t>1. Server stream.</t>
        </is>
      </c>
      <c r="H3070" s="16" t="inlineStr">
        <is>
          <t>gRPC server streaming</t>
        </is>
      </c>
      <c r="I3070" s="16" t="inlineStr">
        <is>
          <t>Frames stream into UI.</t>
        </is>
      </c>
      <c r="J3070" s="16" t="inlineStr"/>
      <c r="K3070" s="16" t="inlineStr">
        <is>
          <t>Not Run</t>
        </is>
      </c>
      <c r="L3070" s="16" t="inlineStr">
        <is>
          <t>Medium</t>
        </is>
      </c>
      <c r="M3070" s="16" t="inlineStr"/>
      <c r="N3070" s="16" t="inlineStr"/>
      <c r="O3070" s="16" t="inlineStr"/>
    </row>
    <row r="3071" ht="72" customHeight="1">
      <c r="A3071" s="16" t="inlineStr">
        <is>
          <t>TC-WK-0018</t>
        </is>
      </c>
      <c r="B3071" s="16" t="inlineStr">
        <is>
          <t>WebSocket / SSE / Streaming</t>
        </is>
      </c>
      <c r="C3071" s="16" t="inlineStr">
        <is>
          <t>gRPC client streaming</t>
        </is>
      </c>
      <c r="D3071" s="16" t="inlineStr">
        <is>
          <t>Functional</t>
        </is>
      </c>
      <c r="E3071" s="16" t="inlineStr">
        <is>
          <t>Streaming: gRPC client streaming</t>
        </is>
      </c>
      <c r="F3071" s="16" t="inlineStr">
        <is>
          <t>-</t>
        </is>
      </c>
      <c r="G3071" s="16" t="inlineStr">
        <is>
          <t>1. Send multiple frames.</t>
        </is>
      </c>
      <c r="H3071" s="16" t="inlineStr">
        <is>
          <t>gRPC client streaming</t>
        </is>
      </c>
      <c r="I3071" s="16" t="inlineStr">
        <is>
          <t>Server final response.</t>
        </is>
      </c>
      <c r="J3071" s="16" t="inlineStr"/>
      <c r="K3071" s="16" t="inlineStr">
        <is>
          <t>Not Run</t>
        </is>
      </c>
      <c r="L3071" s="16" t="inlineStr">
        <is>
          <t>Medium</t>
        </is>
      </c>
      <c r="M3071" s="16" t="inlineStr"/>
      <c r="N3071" s="16" t="inlineStr"/>
      <c r="O3071" s="16" t="inlineStr"/>
    </row>
    <row r="3072" ht="72" customHeight="1">
      <c r="A3072" s="16" t="inlineStr">
        <is>
          <t>TC-WK-0019</t>
        </is>
      </c>
      <c r="B3072" s="16" t="inlineStr">
        <is>
          <t>WebSocket / SSE / Streaming</t>
        </is>
      </c>
      <c r="C3072" s="16" t="inlineStr">
        <is>
          <t>gRPC bidirectional</t>
        </is>
      </c>
      <c r="D3072" s="16" t="inlineStr">
        <is>
          <t>Functional</t>
        </is>
      </c>
      <c r="E3072" s="16" t="inlineStr">
        <is>
          <t>Streaming: gRPC bidirectional</t>
        </is>
      </c>
      <c r="F3072" s="16" t="inlineStr">
        <is>
          <t>-</t>
        </is>
      </c>
      <c r="G3072" s="16" t="inlineStr">
        <is>
          <t>1. Bidi.</t>
        </is>
      </c>
      <c r="H3072" s="16" t="inlineStr">
        <is>
          <t>gRPC bidirectional</t>
        </is>
      </c>
      <c r="I3072" s="16" t="inlineStr">
        <is>
          <t>Both directions stream.</t>
        </is>
      </c>
      <c r="J3072" s="16" t="inlineStr"/>
      <c r="K3072" s="16" t="inlineStr">
        <is>
          <t>Not Run</t>
        </is>
      </c>
      <c r="L3072" s="16" t="inlineStr">
        <is>
          <t>Medium</t>
        </is>
      </c>
      <c r="M3072" s="16" t="inlineStr"/>
      <c r="N3072" s="16" t="inlineStr"/>
      <c r="O3072" s="16" t="inlineStr"/>
    </row>
    <row r="3073" ht="72" customHeight="1">
      <c r="A3073" s="16" t="inlineStr">
        <is>
          <t>TC-WK-0020</t>
        </is>
      </c>
      <c r="B3073" s="16" t="inlineStr">
        <is>
          <t>WebSocket / SSE / Streaming</t>
        </is>
      </c>
      <c r="C3073" s="16" t="inlineStr">
        <is>
          <t>gRPC reflection</t>
        </is>
      </c>
      <c r="D3073" s="16" t="inlineStr">
        <is>
          <t>Functional</t>
        </is>
      </c>
      <c r="E3073" s="16" t="inlineStr">
        <is>
          <t>Streaming: gRPC reflection</t>
        </is>
      </c>
      <c r="F3073" s="16" t="inlineStr">
        <is>
          <t>-</t>
        </is>
      </c>
      <c r="G3073" s="16" t="inlineStr">
        <is>
          <t>1. Server with reflection enabled.</t>
        </is>
      </c>
      <c r="H3073" s="16" t="inlineStr">
        <is>
          <t>gRPC reflection</t>
        </is>
      </c>
      <c r="I3073" s="16" t="inlineStr">
        <is>
          <t>Method list discovered.</t>
        </is>
      </c>
      <c r="J3073" s="16" t="inlineStr"/>
      <c r="K3073" s="16" t="inlineStr">
        <is>
          <t>Not Run</t>
        </is>
      </c>
      <c r="L3073" s="16" t="inlineStr">
        <is>
          <t>Low</t>
        </is>
      </c>
      <c r="M3073" s="16" t="inlineStr"/>
      <c r="N3073" s="16" t="inlineStr"/>
      <c r="O3073" s="16" t="inlineStr"/>
    </row>
    <row r="3074" ht="72" customHeight="1">
      <c r="A3074" s="16" t="inlineStr">
        <is>
          <t>TC-WK-0021</t>
        </is>
      </c>
      <c r="B3074" s="16" t="inlineStr">
        <is>
          <t>WebSocket / SSE / Streaming</t>
        </is>
      </c>
      <c r="C3074" s="16" t="inlineStr">
        <is>
          <t>gRPC over TLS</t>
        </is>
      </c>
      <c r="D3074" s="16" t="inlineStr">
        <is>
          <t>Security</t>
        </is>
      </c>
      <c r="E3074" s="16" t="inlineStr">
        <is>
          <t>Streaming: gRPC over TLS</t>
        </is>
      </c>
      <c r="F3074" s="16" t="inlineStr">
        <is>
          <t>-</t>
        </is>
      </c>
      <c r="G3074" s="16" t="inlineStr">
        <is>
          <t>1. TLS endpoint.</t>
        </is>
      </c>
      <c r="H3074" s="16" t="inlineStr">
        <is>
          <t>gRPC over TLS</t>
        </is>
      </c>
      <c r="I3074" s="16" t="inlineStr">
        <is>
          <t>Handshake OK; calls succeed.</t>
        </is>
      </c>
      <c r="J3074" s="16" t="inlineStr"/>
      <c r="K3074" s="16" t="inlineStr">
        <is>
          <t>Not Run</t>
        </is>
      </c>
      <c r="L3074" s="16" t="inlineStr">
        <is>
          <t>Medium</t>
        </is>
      </c>
      <c r="M3074" s="16" t="inlineStr"/>
      <c r="N3074" s="16" t="inlineStr"/>
      <c r="O3074" s="16" t="inlineStr"/>
    </row>
    <row r="3075" ht="72" customHeight="1">
      <c r="A3075" s="16" t="inlineStr">
        <is>
          <t>TC-CA-0001</t>
        </is>
      </c>
      <c r="B3075" s="16" t="inlineStr">
        <is>
          <t>Caching / ETag / Conditional</t>
        </is>
      </c>
      <c r="C3075" s="16" t="inlineStr">
        <is>
          <t>If-None-Match with stored ETag</t>
        </is>
      </c>
      <c r="D3075" s="16" t="inlineStr">
        <is>
          <t>Functional</t>
        </is>
      </c>
      <c r="E3075" s="16" t="inlineStr">
        <is>
          <t>Caching: If-None-Match with stored ETag</t>
        </is>
      </c>
      <c r="F3075" s="16" t="inlineStr">
        <is>
          <t>-</t>
        </is>
      </c>
      <c r="G3075" s="16" t="inlineStr">
        <is>
          <t>1. First send stores ETag.
2. Send again with If-None-Match.</t>
        </is>
      </c>
      <c r="H3075" s="16" t="inlineStr">
        <is>
          <t>If-None-Match with stored ETag</t>
        </is>
      </c>
      <c r="I3075" s="16" t="inlineStr">
        <is>
          <t>304 Not Modified or 200 with new ETag.</t>
        </is>
      </c>
      <c r="J3075" s="16" t="inlineStr"/>
      <c r="K3075" s="16" t="inlineStr">
        <is>
          <t>Not Run</t>
        </is>
      </c>
      <c r="L3075" s="16" t="inlineStr">
        <is>
          <t>Medium</t>
        </is>
      </c>
      <c r="M3075" s="16" t="inlineStr"/>
      <c r="N3075" s="16" t="inlineStr"/>
      <c r="O3075" s="16" t="inlineStr"/>
    </row>
    <row r="3076" ht="72" customHeight="1">
      <c r="A3076" s="16" t="inlineStr">
        <is>
          <t>TC-CA-0002</t>
        </is>
      </c>
      <c r="B3076" s="16" t="inlineStr">
        <is>
          <t>Caching / ETag / Conditional</t>
        </is>
      </c>
      <c r="C3076" s="16" t="inlineStr">
        <is>
          <t>If-Modified-Since</t>
        </is>
      </c>
      <c r="D3076" s="16" t="inlineStr">
        <is>
          <t>Functional</t>
        </is>
      </c>
      <c r="E3076" s="16" t="inlineStr">
        <is>
          <t>Caching: If-Modified-Since</t>
        </is>
      </c>
      <c r="F3076" s="16" t="inlineStr">
        <is>
          <t>-</t>
        </is>
      </c>
      <c r="G3076" s="16" t="inlineStr">
        <is>
          <t>1. Send.</t>
        </is>
      </c>
      <c r="H3076" s="16" t="inlineStr">
        <is>
          <t>If-Modified-Since</t>
        </is>
      </c>
      <c r="I3076" s="16" t="inlineStr">
        <is>
          <t>Server returns 304 if not modified.</t>
        </is>
      </c>
      <c r="J3076" s="16" t="inlineStr"/>
      <c r="K3076" s="16" t="inlineStr">
        <is>
          <t>Not Run</t>
        </is>
      </c>
      <c r="L3076" s="16" t="inlineStr">
        <is>
          <t>Medium</t>
        </is>
      </c>
      <c r="M3076" s="16" t="inlineStr"/>
      <c r="N3076" s="16" t="inlineStr"/>
      <c r="O3076" s="16" t="inlineStr"/>
    </row>
    <row r="3077" ht="72" customHeight="1">
      <c r="A3077" s="16" t="inlineStr">
        <is>
          <t>TC-CA-0003</t>
        </is>
      </c>
      <c r="B3077" s="16" t="inlineStr">
        <is>
          <t>Caching / ETag / Conditional</t>
        </is>
      </c>
      <c r="C3077" s="16" t="inlineStr">
        <is>
          <t>Cache-Control: no-store respected</t>
        </is>
      </c>
      <c r="D3077" s="16" t="inlineStr">
        <is>
          <t>Functional</t>
        </is>
      </c>
      <c r="E3077" s="16" t="inlineStr">
        <is>
          <t>Caching: Cache-Control: no-store respected</t>
        </is>
      </c>
      <c r="F3077" s="16" t="inlineStr">
        <is>
          <t>-</t>
        </is>
      </c>
      <c r="G3077" s="16" t="inlineStr">
        <is>
          <t>1. Inspect history.</t>
        </is>
      </c>
      <c r="H3077" s="16" t="inlineStr">
        <is>
          <t>Cache-Control: no-store respected</t>
        </is>
      </c>
      <c r="I3077" s="16" t="inlineStr">
        <is>
          <t>Response not cached or marked accordingly.</t>
        </is>
      </c>
      <c r="J3077" s="16" t="inlineStr"/>
      <c r="K3077" s="16" t="inlineStr">
        <is>
          <t>Not Run</t>
        </is>
      </c>
      <c r="L3077" s="16" t="inlineStr">
        <is>
          <t>Low</t>
        </is>
      </c>
      <c r="M3077" s="16" t="inlineStr"/>
      <c r="N3077" s="16" t="inlineStr"/>
      <c r="O3077" s="16" t="inlineStr"/>
    </row>
    <row r="3078" ht="72" customHeight="1">
      <c r="A3078" s="16" t="inlineStr">
        <is>
          <t>TC-CA-0004</t>
        </is>
      </c>
      <c r="B3078" s="16" t="inlineStr">
        <is>
          <t>Caching / ETag / Conditional</t>
        </is>
      </c>
      <c r="C3078" s="16" t="inlineStr">
        <is>
          <t>Cache-Control: private vs public</t>
        </is>
      </c>
      <c r="D3078" s="16" t="inlineStr">
        <is>
          <t>Edge Case</t>
        </is>
      </c>
      <c r="E3078" s="16" t="inlineStr">
        <is>
          <t>Caching: Cache-Control: private vs public</t>
        </is>
      </c>
      <c r="F3078" s="16" t="inlineStr">
        <is>
          <t>-</t>
        </is>
      </c>
      <c r="G3078" s="16" t="inlineStr">
        <is>
          <t>1. Inspect.</t>
        </is>
      </c>
      <c r="H3078" s="16" t="inlineStr">
        <is>
          <t>Cache-Control: private vs public</t>
        </is>
      </c>
      <c r="I3078" s="16" t="inlineStr">
        <is>
          <t>Documented behavior.</t>
        </is>
      </c>
      <c r="J3078" s="16" t="inlineStr"/>
      <c r="K3078" s="16" t="inlineStr">
        <is>
          <t>Not Run</t>
        </is>
      </c>
      <c r="L3078" s="16" t="inlineStr">
        <is>
          <t>Low</t>
        </is>
      </c>
      <c r="M3078" s="16" t="inlineStr"/>
      <c r="N3078" s="16" t="inlineStr"/>
      <c r="O3078" s="16" t="inlineStr"/>
    </row>
    <row r="3079" ht="72" customHeight="1">
      <c r="A3079" s="16" t="inlineStr">
        <is>
          <t>TC-CA-0005</t>
        </is>
      </c>
      <c r="B3079" s="16" t="inlineStr">
        <is>
          <t>Caching / ETag / Conditional</t>
        </is>
      </c>
      <c r="C3079" s="16" t="inlineStr">
        <is>
          <t>Vary header tracked</t>
        </is>
      </c>
      <c r="D3079" s="16" t="inlineStr">
        <is>
          <t>Edge Case</t>
        </is>
      </c>
      <c r="E3079" s="16" t="inlineStr">
        <is>
          <t>Caching: Vary header tracked</t>
        </is>
      </c>
      <c r="F3079" s="16" t="inlineStr">
        <is>
          <t>-</t>
        </is>
      </c>
      <c r="G3079" s="16" t="inlineStr">
        <is>
          <t>1. Send with different Accept.</t>
        </is>
      </c>
      <c r="H3079" s="16" t="inlineStr">
        <is>
          <t>Vary header tracked</t>
        </is>
      </c>
      <c r="I3079" s="16" t="inlineStr">
        <is>
          <t>Cached entries keyed by Vary.</t>
        </is>
      </c>
      <c r="J3079" s="16" t="inlineStr"/>
      <c r="K3079" s="16" t="inlineStr">
        <is>
          <t>Not Run</t>
        </is>
      </c>
      <c r="L3079" s="16" t="inlineStr">
        <is>
          <t>Low</t>
        </is>
      </c>
      <c r="M3079" s="16" t="inlineStr"/>
      <c r="N3079" s="16" t="inlineStr"/>
      <c r="O3079" s="16" t="inlineStr"/>
    </row>
    <row r="3080" ht="72" customHeight="1">
      <c r="A3080" s="16" t="inlineStr">
        <is>
          <t>TC-CA-0006</t>
        </is>
      </c>
      <c r="B3080" s="16" t="inlineStr">
        <is>
          <t>Caching / ETag / Conditional</t>
        </is>
      </c>
      <c r="C3080" s="16" t="inlineStr">
        <is>
          <t>ETag changes on body change</t>
        </is>
      </c>
      <c r="D3080" s="16" t="inlineStr">
        <is>
          <t>Regression</t>
        </is>
      </c>
      <c r="E3080" s="16" t="inlineStr">
        <is>
          <t>Caching: ETag changes on body change</t>
        </is>
      </c>
      <c r="F3080" s="16" t="inlineStr">
        <is>
          <t>-</t>
        </is>
      </c>
      <c r="G3080" s="16" t="inlineStr">
        <is>
          <t>1. Re-send; compare.</t>
        </is>
      </c>
      <c r="H3080" s="16" t="inlineStr">
        <is>
          <t>ETag changes on body change</t>
        </is>
      </c>
      <c r="I3080" s="16" t="inlineStr">
        <is>
          <t>ETag rotates appropriately.</t>
        </is>
      </c>
      <c r="J3080" s="16" t="inlineStr"/>
      <c r="K3080" s="16" t="inlineStr">
        <is>
          <t>Not Run</t>
        </is>
      </c>
      <c r="L3080" s="16" t="inlineStr">
        <is>
          <t>Low</t>
        </is>
      </c>
      <c r="M3080" s="16" t="inlineStr"/>
      <c r="N3080" s="16" t="inlineStr"/>
      <c r="O3080" s="16" t="inlineStr"/>
    </row>
    <row r="3081" ht="72" customHeight="1">
      <c r="A3081" s="16" t="inlineStr">
        <is>
          <t>TC-CA-0007</t>
        </is>
      </c>
      <c r="B3081" s="16" t="inlineStr">
        <is>
          <t>Caching / ETag / Conditional</t>
        </is>
      </c>
      <c r="C3081" s="16" t="inlineStr">
        <is>
          <t>If-Match for optimistic concurrency</t>
        </is>
      </c>
      <c r="D3081" s="16" t="inlineStr">
        <is>
          <t>Functional</t>
        </is>
      </c>
      <c r="E3081" s="16" t="inlineStr">
        <is>
          <t>Caching: If-Match for optimistic concurrency</t>
        </is>
      </c>
      <c r="F3081" s="16" t="inlineStr">
        <is>
          <t>-</t>
        </is>
      </c>
      <c r="G3081" s="16" t="inlineStr">
        <is>
          <t>1. PUT with If-Match.</t>
        </is>
      </c>
      <c r="H3081" s="16" t="inlineStr">
        <is>
          <t>If-Match for optimistic concurrency</t>
        </is>
      </c>
      <c r="I3081" s="16" t="inlineStr">
        <is>
          <t>412 Precondition Failed handled.</t>
        </is>
      </c>
      <c r="J3081" s="16" t="inlineStr"/>
      <c r="K3081" s="16" t="inlineStr">
        <is>
          <t>Not Run</t>
        </is>
      </c>
      <c r="L3081" s="16" t="inlineStr">
        <is>
          <t>Medium</t>
        </is>
      </c>
      <c r="M3081" s="16" t="inlineStr"/>
      <c r="N3081" s="16" t="inlineStr"/>
      <c r="O3081" s="16" t="inlineStr"/>
    </row>
    <row r="3082" ht="72" customHeight="1">
      <c r="A3082" s="16" t="inlineStr">
        <is>
          <t>TC-CA-0008</t>
        </is>
      </c>
      <c r="B3082" s="16" t="inlineStr">
        <is>
          <t>Caching / ETag / Conditional</t>
        </is>
      </c>
      <c r="C3082" s="16" t="inlineStr">
        <is>
          <t>Stale-while-revalidate (if respected)</t>
        </is>
      </c>
      <c r="D3082" s="16" t="inlineStr">
        <is>
          <t>Edge Case</t>
        </is>
      </c>
      <c r="E3082" s="16" t="inlineStr">
        <is>
          <t>Caching: Stale-while-revalidate (if respected)</t>
        </is>
      </c>
      <c r="F3082" s="16" t="inlineStr">
        <is>
          <t>-</t>
        </is>
      </c>
      <c r="G3082" s="16" t="inlineStr">
        <is>
          <t>1. Stale entry.</t>
        </is>
      </c>
      <c r="H3082" s="16" t="inlineStr">
        <is>
          <t>Stale-while-revalidate (if respected)</t>
        </is>
      </c>
      <c r="I3082" s="16" t="inlineStr">
        <is>
          <t>Used while revalidating per RFC 5861.</t>
        </is>
      </c>
      <c r="J3082" s="16" t="inlineStr"/>
      <c r="K3082" s="16" t="inlineStr">
        <is>
          <t>Not Run</t>
        </is>
      </c>
      <c r="L3082" s="16" t="inlineStr">
        <is>
          <t>Low</t>
        </is>
      </c>
      <c r="M3082" s="16" t="inlineStr"/>
      <c r="N3082" s="16" t="inlineStr"/>
      <c r="O3082" s="16" t="inlineStr"/>
    </row>
    <row r="3083" ht="72" customHeight="1">
      <c r="A3083" s="16" t="inlineStr">
        <is>
          <t>TC-CA-0009</t>
        </is>
      </c>
      <c r="B3083" s="16" t="inlineStr">
        <is>
          <t>Caching / ETag / Conditional</t>
        </is>
      </c>
      <c r="C3083" s="16" t="inlineStr">
        <is>
          <t>Expires header old (HTTP/1.0)</t>
        </is>
      </c>
      <c r="D3083" s="16" t="inlineStr">
        <is>
          <t>Edge Case</t>
        </is>
      </c>
      <c r="E3083" s="16" t="inlineStr">
        <is>
          <t>Caching: Expires header old (HTTP/1.0)</t>
        </is>
      </c>
      <c r="F3083" s="16" t="inlineStr">
        <is>
          <t>-</t>
        </is>
      </c>
      <c r="G3083" s="16" t="inlineStr">
        <is>
          <t>1. Send.</t>
        </is>
      </c>
      <c r="H3083" s="16" t="inlineStr">
        <is>
          <t>Expires header old (HTTP/1.0)</t>
        </is>
      </c>
      <c r="I3083" s="16" t="inlineStr">
        <is>
          <t>Honored.</t>
        </is>
      </c>
      <c r="J3083" s="16" t="inlineStr"/>
      <c r="K3083" s="16" t="inlineStr">
        <is>
          <t>Not Run</t>
        </is>
      </c>
      <c r="L3083" s="16" t="inlineStr">
        <is>
          <t>Low</t>
        </is>
      </c>
      <c r="M3083" s="16" t="inlineStr"/>
      <c r="N3083" s="16" t="inlineStr"/>
      <c r="O3083" s="16" t="inlineStr"/>
    </row>
    <row r="3084" ht="72" customHeight="1">
      <c r="A3084" s="16" t="inlineStr">
        <is>
          <t>TC-CA-0010</t>
        </is>
      </c>
      <c r="B3084" s="16" t="inlineStr">
        <is>
          <t>Caching / ETag / Conditional</t>
        </is>
      </c>
      <c r="C3084" s="16" t="inlineStr">
        <is>
          <t>304 with no body shown correctly</t>
        </is>
      </c>
      <c r="D3084" s="16" t="inlineStr">
        <is>
          <t>UX/UI</t>
        </is>
      </c>
      <c r="E3084" s="16" t="inlineStr">
        <is>
          <t>Caching: 304 with no body shown correctly</t>
        </is>
      </c>
      <c r="F3084" s="16" t="inlineStr">
        <is>
          <t>-</t>
        </is>
      </c>
      <c r="G3084" s="16" t="inlineStr">
        <is>
          <t>1. 304 response.</t>
        </is>
      </c>
      <c r="H3084" s="16" t="inlineStr">
        <is>
          <t>304 with no body shown correctly</t>
        </is>
      </c>
      <c r="I3084" s="16" t="inlineStr">
        <is>
          <t>Status shown; body section explains.</t>
        </is>
      </c>
      <c r="J3084" s="16" t="inlineStr"/>
      <c r="K3084" s="16" t="inlineStr">
        <is>
          <t>Not Run</t>
        </is>
      </c>
      <c r="L3084" s="16" t="inlineStr">
        <is>
          <t>Low</t>
        </is>
      </c>
      <c r="M3084" s="16" t="inlineStr"/>
      <c r="N3084" s="16" t="inlineStr"/>
      <c r="O3084" s="16" t="inlineStr"/>
    </row>
    <row r="3085" ht="72" customHeight="1">
      <c r="A3085" s="16" t="inlineStr">
        <is>
          <t>TC-CA-0011</t>
        </is>
      </c>
      <c r="B3085" s="16" t="inlineStr">
        <is>
          <t>Caching / ETag / Conditional</t>
        </is>
      </c>
      <c r="C3085" s="16" t="inlineStr">
        <is>
          <t>Disable cache per request</t>
        </is>
      </c>
      <c r="D3085" s="16" t="inlineStr">
        <is>
          <t>Functional</t>
        </is>
      </c>
      <c r="E3085" s="16" t="inlineStr">
        <is>
          <t>Caching: Disable cache per request</t>
        </is>
      </c>
      <c r="F3085" s="16" t="inlineStr">
        <is>
          <t>-</t>
        </is>
      </c>
      <c r="G3085" s="16" t="inlineStr">
        <is>
          <t>1. Toggle 'fresh-only'.</t>
        </is>
      </c>
      <c r="H3085" s="16" t="inlineStr">
        <is>
          <t>Disable cache per request</t>
        </is>
      </c>
      <c r="I3085" s="16" t="inlineStr">
        <is>
          <t>If-None-Match not sent; force network.</t>
        </is>
      </c>
      <c r="J3085" s="16" t="inlineStr"/>
      <c r="K3085" s="16" t="inlineStr">
        <is>
          <t>Not Run</t>
        </is>
      </c>
      <c r="L3085" s="16" t="inlineStr">
        <is>
          <t>Medium</t>
        </is>
      </c>
      <c r="M3085" s="16" t="inlineStr"/>
      <c r="N3085" s="16" t="inlineStr"/>
      <c r="O3085" s="16" t="inlineStr"/>
    </row>
    <row r="3086" ht="72" customHeight="1">
      <c r="A3086" s="16" t="inlineStr">
        <is>
          <t>TC-TP-0001</t>
        </is>
      </c>
      <c r="B3086" s="16" t="inlineStr">
        <is>
          <t>Telemetry &amp; Privacy</t>
        </is>
      </c>
      <c r="C3086" s="16" t="inlineStr">
        <is>
          <t>Telemetry default off (or first-run consent)</t>
        </is>
      </c>
      <c r="D3086" s="16" t="inlineStr">
        <is>
          <t>Security</t>
        </is>
      </c>
      <c r="E3086" s="16" t="inlineStr">
        <is>
          <t>Telemetry: Telemetry default off (or first-run consent)</t>
        </is>
      </c>
      <c r="F3086" s="16" t="inlineStr">
        <is>
          <t>-</t>
        </is>
      </c>
      <c r="G3086" s="16" t="inlineStr">
        <is>
          <t>1. Fresh install.</t>
        </is>
      </c>
      <c r="H3086" s="16" t="inlineStr">
        <is>
          <t>Telemetry default off (or first-run consent)</t>
        </is>
      </c>
      <c r="I3086" s="16" t="inlineStr">
        <is>
          <t>Either no events or explicit consent prompt before any event.</t>
        </is>
      </c>
      <c r="J3086" s="16" t="inlineStr"/>
      <c r="K3086" s="16" t="inlineStr">
        <is>
          <t>Not Run</t>
        </is>
      </c>
      <c r="L3086" s="16" t="inlineStr">
        <is>
          <t>High</t>
        </is>
      </c>
      <c r="M3086" s="16" t="inlineStr"/>
      <c r="N3086" s="16" t="inlineStr"/>
      <c r="O3086" s="16" t="inlineStr"/>
    </row>
    <row r="3087" ht="72" customHeight="1">
      <c r="A3087" s="16" t="inlineStr">
        <is>
          <t>TC-TP-0002</t>
        </is>
      </c>
      <c r="B3087" s="16" t="inlineStr">
        <is>
          <t>Telemetry &amp; Privacy</t>
        </is>
      </c>
      <c r="C3087" s="16" t="inlineStr">
        <is>
          <t>Disable telemetry from settings</t>
        </is>
      </c>
      <c r="D3087" s="16" t="inlineStr">
        <is>
          <t>Functional</t>
        </is>
      </c>
      <c r="E3087" s="16" t="inlineStr">
        <is>
          <t>Telemetry: Disable telemetry from settings</t>
        </is>
      </c>
      <c r="F3087" s="16" t="inlineStr">
        <is>
          <t>-</t>
        </is>
      </c>
      <c r="G3087" s="16" t="inlineStr">
        <is>
          <t>1. Toggle off.</t>
        </is>
      </c>
      <c r="H3087" s="16" t="inlineStr">
        <is>
          <t>Disable telemetry from settings</t>
        </is>
      </c>
      <c r="I3087" s="16" t="inlineStr">
        <is>
          <t>No events sent; setting persists.</t>
        </is>
      </c>
      <c r="J3087" s="16" t="inlineStr"/>
      <c r="K3087" s="16" t="inlineStr">
        <is>
          <t>Not Run</t>
        </is>
      </c>
      <c r="L3087" s="16" t="inlineStr">
        <is>
          <t>High</t>
        </is>
      </c>
      <c r="M3087" s="16" t="inlineStr"/>
      <c r="N3087" s="16" t="inlineStr"/>
      <c r="O3087" s="16" t="inlineStr"/>
    </row>
    <row r="3088" ht="72" customHeight="1">
      <c r="A3088" s="16" t="inlineStr">
        <is>
          <t>TC-TP-0003</t>
        </is>
      </c>
      <c r="B3088" s="16" t="inlineStr">
        <is>
          <t>Telemetry &amp; Privacy</t>
        </is>
      </c>
      <c r="C3088" s="16" t="inlineStr">
        <is>
          <t>Event payload contains no PII</t>
        </is>
      </c>
      <c r="D3088" s="16" t="inlineStr">
        <is>
          <t>Security</t>
        </is>
      </c>
      <c r="E3088" s="16" t="inlineStr">
        <is>
          <t>Telemetry: Event payload contains no PII</t>
        </is>
      </c>
      <c r="F3088" s="16" t="inlineStr">
        <is>
          <t>-</t>
        </is>
      </c>
      <c r="G3088" s="16" t="inlineStr">
        <is>
          <t>1. Inspect events (DevTools/proxy).</t>
        </is>
      </c>
      <c r="H3088" s="16" t="inlineStr">
        <is>
          <t>Event payload contains no PII</t>
        </is>
      </c>
      <c r="I3088" s="16" t="inlineStr">
        <is>
          <t>No URLs/bodies/secrets/PII; only counts, error class names, durations.</t>
        </is>
      </c>
      <c r="J3088" s="16" t="inlineStr"/>
      <c r="K3088" s="16" t="inlineStr">
        <is>
          <t>Not Run</t>
        </is>
      </c>
      <c r="L3088" s="16" t="inlineStr">
        <is>
          <t>High</t>
        </is>
      </c>
      <c r="M3088" s="16" t="inlineStr"/>
      <c r="N3088" s="16" t="inlineStr"/>
      <c r="O3088" s="16" t="inlineStr"/>
    </row>
    <row r="3089" ht="72" customHeight="1">
      <c r="A3089" s="16" t="inlineStr">
        <is>
          <t>TC-TP-0004</t>
        </is>
      </c>
      <c r="B3089" s="16" t="inlineStr">
        <is>
          <t>Telemetry &amp; Privacy</t>
        </is>
      </c>
      <c r="C3089" s="16" t="inlineStr">
        <is>
          <t>Crash reports opt-in</t>
        </is>
      </c>
      <c r="D3089" s="16" t="inlineStr">
        <is>
          <t>Security</t>
        </is>
      </c>
      <c r="E3089" s="16" t="inlineStr">
        <is>
          <t>Telemetry: Crash reports opt-in</t>
        </is>
      </c>
      <c r="F3089" s="16" t="inlineStr">
        <is>
          <t>-</t>
        </is>
      </c>
      <c r="G3089" s="16" t="inlineStr">
        <is>
          <t>1. Trigger crash with reporting off.</t>
        </is>
      </c>
      <c r="H3089" s="16" t="inlineStr">
        <is>
          <t>Crash reports opt-in</t>
        </is>
      </c>
      <c r="I3089" s="16" t="inlineStr">
        <is>
          <t>No upload; setting respected.</t>
        </is>
      </c>
      <c r="J3089" s="16" t="inlineStr"/>
      <c r="K3089" s="16" t="inlineStr">
        <is>
          <t>Not Run</t>
        </is>
      </c>
      <c r="L3089" s="16" t="inlineStr">
        <is>
          <t>High</t>
        </is>
      </c>
      <c r="M3089" s="16" t="inlineStr"/>
      <c r="N3089" s="16" t="inlineStr"/>
      <c r="O3089" s="16" t="inlineStr"/>
    </row>
    <row r="3090" ht="72" customHeight="1">
      <c r="A3090" s="16" t="inlineStr">
        <is>
          <t>TC-TP-0005</t>
        </is>
      </c>
      <c r="B3090" s="16" t="inlineStr">
        <is>
          <t>Telemetry &amp; Privacy</t>
        </is>
      </c>
      <c r="C3090" s="16" t="inlineStr">
        <is>
          <t>Crash reports include stack but no user data</t>
        </is>
      </c>
      <c r="D3090" s="16" t="inlineStr">
        <is>
          <t>Security</t>
        </is>
      </c>
      <c r="E3090" s="16" t="inlineStr">
        <is>
          <t>Telemetry: Crash reports include stack but no user data</t>
        </is>
      </c>
      <c r="F3090" s="16" t="inlineStr">
        <is>
          <t>-</t>
        </is>
      </c>
      <c r="G3090" s="16" t="inlineStr">
        <is>
          <t>1. Trigger crash with reporting on.</t>
        </is>
      </c>
      <c r="H3090" s="16" t="inlineStr">
        <is>
          <t>Crash reports include stack but no user data</t>
        </is>
      </c>
      <c r="I3090" s="16" t="inlineStr">
        <is>
          <t>Stack and version uploaded; no workspace data or secrets.</t>
        </is>
      </c>
      <c r="J3090" s="16" t="inlineStr"/>
      <c r="K3090" s="16" t="inlineStr">
        <is>
          <t>Not Run</t>
        </is>
      </c>
      <c r="L3090" s="16" t="inlineStr">
        <is>
          <t>High</t>
        </is>
      </c>
      <c r="M3090" s="16" t="inlineStr"/>
      <c r="N3090" s="16" t="inlineStr"/>
      <c r="O3090" s="16" t="inlineStr"/>
    </row>
    <row r="3091" ht="72" customHeight="1">
      <c r="A3091" s="16" t="inlineStr">
        <is>
          <t>TC-TP-0006</t>
        </is>
      </c>
      <c r="B3091" s="16" t="inlineStr">
        <is>
          <t>Telemetry &amp; Privacy</t>
        </is>
      </c>
      <c r="C3091" s="16" t="inlineStr">
        <is>
          <t>Anonymous install id</t>
        </is>
      </c>
      <c r="D3091" s="16" t="inlineStr">
        <is>
          <t>Security</t>
        </is>
      </c>
      <c r="E3091" s="16" t="inlineStr">
        <is>
          <t>Telemetry: Anonymous install id</t>
        </is>
      </c>
      <c r="F3091" s="16" t="inlineStr">
        <is>
          <t>-</t>
        </is>
      </c>
      <c r="G3091" s="16" t="inlineStr">
        <is>
          <t>1. Inspect persisted id.</t>
        </is>
      </c>
      <c r="H3091" s="16" t="inlineStr">
        <is>
          <t>Anonymous install id</t>
        </is>
      </c>
      <c r="I3091" s="16" t="inlineStr">
        <is>
          <t>UUID v4 with no derivation from email/machine; can be reset.</t>
        </is>
      </c>
      <c r="J3091" s="16" t="inlineStr"/>
      <c r="K3091" s="16" t="inlineStr">
        <is>
          <t>Not Run</t>
        </is>
      </c>
      <c r="L3091" s="16" t="inlineStr">
        <is>
          <t>Medium</t>
        </is>
      </c>
      <c r="M3091" s="16" t="inlineStr"/>
      <c r="N3091" s="16" t="inlineStr"/>
      <c r="O3091" s="16" t="inlineStr"/>
    </row>
    <row r="3092" ht="72" customHeight="1">
      <c r="A3092" s="16" t="inlineStr">
        <is>
          <t>TC-TP-0007</t>
        </is>
      </c>
      <c r="B3092" s="16" t="inlineStr">
        <is>
          <t>Telemetry &amp; Privacy</t>
        </is>
      </c>
      <c r="C3092" s="16" t="inlineStr">
        <is>
          <t>Reset install id</t>
        </is>
      </c>
      <c r="D3092" s="16" t="inlineStr">
        <is>
          <t>Functional</t>
        </is>
      </c>
      <c r="E3092" s="16" t="inlineStr">
        <is>
          <t>Telemetry: Reset install id</t>
        </is>
      </c>
      <c r="F3092" s="16" t="inlineStr">
        <is>
          <t>-</t>
        </is>
      </c>
      <c r="G3092" s="16" t="inlineStr">
        <is>
          <t>1. Settings -&gt; Reset.</t>
        </is>
      </c>
      <c r="H3092" s="16" t="inlineStr">
        <is>
          <t>Reset install id</t>
        </is>
      </c>
      <c r="I3092" s="16" t="inlineStr">
        <is>
          <t>New id; old events not retroactively re-attributed.</t>
        </is>
      </c>
      <c r="J3092" s="16" t="inlineStr"/>
      <c r="K3092" s="16" t="inlineStr">
        <is>
          <t>Not Run</t>
        </is>
      </c>
      <c r="L3092" s="16" t="inlineStr">
        <is>
          <t>Medium</t>
        </is>
      </c>
      <c r="M3092" s="16" t="inlineStr"/>
      <c r="N3092" s="16" t="inlineStr"/>
      <c r="O3092" s="16" t="inlineStr"/>
    </row>
    <row r="3093" ht="72" customHeight="1">
      <c r="A3093" s="16" t="inlineStr">
        <is>
          <t>TC-TP-0008</t>
        </is>
      </c>
      <c r="B3093" s="16" t="inlineStr">
        <is>
          <t>Telemetry &amp; Privacy</t>
        </is>
      </c>
      <c r="C3093" s="16" t="inlineStr">
        <is>
          <t>Network for telemetry only when enabled</t>
        </is>
      </c>
      <c r="D3093" s="16" t="inlineStr">
        <is>
          <t>Security</t>
        </is>
      </c>
      <c r="E3093" s="16" t="inlineStr">
        <is>
          <t>Telemetry: Network for telemetry only when enabled</t>
        </is>
      </c>
      <c r="F3093" s="16" t="inlineStr">
        <is>
          <t>-</t>
        </is>
      </c>
      <c r="G3093" s="16" t="inlineStr">
        <is>
          <t>1. Telemetry off; sniff network.</t>
        </is>
      </c>
      <c r="H3093" s="16" t="inlineStr">
        <is>
          <t>Network for telemetry only when enabled</t>
        </is>
      </c>
      <c r="I3093" s="16" t="inlineStr">
        <is>
          <t>No telemetry endpoint contacted.</t>
        </is>
      </c>
      <c r="J3093" s="16" t="inlineStr"/>
      <c r="K3093" s="16" t="inlineStr">
        <is>
          <t>Not Run</t>
        </is>
      </c>
      <c r="L3093" s="16" t="inlineStr">
        <is>
          <t>High</t>
        </is>
      </c>
      <c r="M3093" s="16" t="inlineStr"/>
      <c r="N3093" s="16" t="inlineStr"/>
      <c r="O3093" s="16" t="inlineStr"/>
    </row>
    <row r="3094" ht="72" customHeight="1">
      <c r="A3094" s="16" t="inlineStr">
        <is>
          <t>TC-TP-0009</t>
        </is>
      </c>
      <c r="B3094" s="16" t="inlineStr">
        <is>
          <t>Telemetry &amp; Privacy</t>
        </is>
      </c>
      <c r="C3094" s="16" t="inlineStr">
        <is>
          <t>Privacy policy link visible</t>
        </is>
      </c>
      <c r="D3094" s="16" t="inlineStr">
        <is>
          <t>UX/UI</t>
        </is>
      </c>
      <c r="E3094" s="16" t="inlineStr">
        <is>
          <t>Telemetry: Privacy policy link visible</t>
        </is>
      </c>
      <c r="F3094" s="16" t="inlineStr">
        <is>
          <t>-</t>
        </is>
      </c>
      <c r="G3094" s="16" t="inlineStr">
        <is>
          <t>1. Settings / About.</t>
        </is>
      </c>
      <c r="H3094" s="16" t="inlineStr">
        <is>
          <t>Privacy policy link visible</t>
        </is>
      </c>
      <c r="I3094" s="16" t="inlineStr">
        <is>
          <t>Link to docs; up-to-date.</t>
        </is>
      </c>
      <c r="J3094" s="16" t="inlineStr"/>
      <c r="K3094" s="16" t="inlineStr">
        <is>
          <t>Not Run</t>
        </is>
      </c>
      <c r="L3094" s="16" t="inlineStr">
        <is>
          <t>Low</t>
        </is>
      </c>
      <c r="M3094" s="16" t="inlineStr"/>
      <c r="N3094" s="16" t="inlineStr"/>
      <c r="O3094" s="16" t="inlineStr"/>
    </row>
    <row r="3095" ht="72" customHeight="1">
      <c r="A3095" s="16" t="inlineStr">
        <is>
          <t>TC-TP-0010</t>
        </is>
      </c>
      <c r="B3095" s="16" t="inlineStr">
        <is>
          <t>Telemetry &amp; Privacy</t>
        </is>
      </c>
      <c r="C3095" s="16" t="inlineStr">
        <is>
          <t>Workspace data never sent to telemetry endpoint</t>
        </is>
      </c>
      <c r="D3095" s="16" t="inlineStr">
        <is>
          <t>Security</t>
        </is>
      </c>
      <c r="E3095" s="16" t="inlineStr">
        <is>
          <t>Telemetry: Workspace data never sent to telemetry endpoint</t>
        </is>
      </c>
      <c r="F3095" s="16" t="inlineStr">
        <is>
          <t>-</t>
        </is>
      </c>
      <c r="G3095" s="16" t="inlineStr">
        <is>
          <t>1. Audit code paths.</t>
        </is>
      </c>
      <c r="H3095" s="16" t="inlineStr">
        <is>
          <t>Workspace data never sent to telemetry endpoint</t>
        </is>
      </c>
      <c r="I3095" s="16" t="inlineStr">
        <is>
          <t>Code reviewed; never sends workspace JSON to telemetry.</t>
        </is>
      </c>
      <c r="J3095" s="16" t="inlineStr"/>
      <c r="K3095" s="16" t="inlineStr">
        <is>
          <t>Not Run</t>
        </is>
      </c>
      <c r="L3095" s="16" t="inlineStr">
        <is>
          <t>High</t>
        </is>
      </c>
      <c r="M3095" s="16" t="inlineStr"/>
      <c r="N3095" s="16" t="inlineStr"/>
      <c r="O3095" s="16" t="inlineStr"/>
    </row>
    <row r="3096" ht="72" customHeight="1">
      <c r="A3096" s="16" t="inlineStr">
        <is>
          <t>TC-BK-0001</t>
        </is>
      </c>
      <c r="B3096" s="16" t="inlineStr">
        <is>
          <t>Backup &amp; Restore</t>
        </is>
      </c>
      <c r="C3096" s="16" t="inlineStr">
        <is>
          <t>Export full workspace JSON (synced)</t>
        </is>
      </c>
      <c r="D3096" s="16" t="inlineStr">
        <is>
          <t>Functional</t>
        </is>
      </c>
      <c r="E3096" s="16" t="inlineStr">
        <is>
          <t>Backup: Export full workspace JSON (synced)</t>
        </is>
      </c>
      <c r="F3096" s="16" t="inlineStr">
        <is>
          <t>-</t>
        </is>
      </c>
      <c r="G3096" s="16" t="inlineStr">
        <is>
          <t>1. Export.</t>
        </is>
      </c>
      <c r="H3096" s="16" t="inlineStr">
        <is>
          <t>Export full workspace JSON (synced)</t>
        </is>
      </c>
      <c r="I3096" s="16" t="inlineStr">
        <is>
          <t>Valid JSON; secrets excluded (or marked).</t>
        </is>
      </c>
      <c r="J3096" s="16" t="inlineStr"/>
      <c r="K3096" s="16" t="inlineStr">
        <is>
          <t>Not Run</t>
        </is>
      </c>
      <c r="L3096" s="16" t="inlineStr">
        <is>
          <t>High</t>
        </is>
      </c>
      <c r="M3096" s="16" t="inlineStr"/>
      <c r="N3096" s="16" t="inlineStr"/>
      <c r="O3096" s="16" t="inlineStr"/>
    </row>
    <row r="3097" ht="72" customHeight="1">
      <c r="A3097" s="16" t="inlineStr">
        <is>
          <t>TC-BK-0002</t>
        </is>
      </c>
      <c r="B3097" s="16" t="inlineStr">
        <is>
          <t>Backup &amp; Restore</t>
        </is>
      </c>
      <c r="C3097" s="16" t="inlineStr">
        <is>
          <t>Export includes attachments (or references)</t>
        </is>
      </c>
      <c r="D3097" s="16" t="inlineStr">
        <is>
          <t>Edge Case</t>
        </is>
      </c>
      <c r="E3097" s="16" t="inlineStr">
        <is>
          <t>Backup: Export includes attachments (or references)</t>
        </is>
      </c>
      <c r="F3097" s="16" t="inlineStr">
        <is>
          <t>-</t>
        </is>
      </c>
      <c r="G3097" s="16" t="inlineStr">
        <is>
          <t>1. Workspace has file attachments; export.</t>
        </is>
      </c>
      <c r="H3097" s="16" t="inlineStr">
        <is>
          <t>Export includes attachments (or references)</t>
        </is>
      </c>
      <c r="I3097" s="16" t="inlineStr">
        <is>
          <t>Either attachments bundled into archive or references listed.</t>
        </is>
      </c>
      <c r="J3097" s="16" t="inlineStr"/>
      <c r="K3097" s="16" t="inlineStr">
        <is>
          <t>Not Run</t>
        </is>
      </c>
      <c r="L3097" s="16" t="inlineStr">
        <is>
          <t>Medium</t>
        </is>
      </c>
      <c r="M3097" s="16" t="inlineStr"/>
      <c r="N3097" s="16" t="inlineStr"/>
      <c r="O3097" s="16" t="inlineStr"/>
    </row>
    <row r="3098" ht="72" customHeight="1">
      <c r="A3098" s="16" t="inlineStr">
        <is>
          <t>TC-BK-0003</t>
        </is>
      </c>
      <c r="B3098" s="16" t="inlineStr">
        <is>
          <t>Backup &amp; Restore</t>
        </is>
      </c>
      <c r="C3098" s="16" t="inlineStr">
        <is>
          <t>Export does not include history (local-only)</t>
        </is>
      </c>
      <c r="D3098" s="16" t="inlineStr">
        <is>
          <t>Regression</t>
        </is>
      </c>
      <c r="E3098" s="16" t="inlineStr">
        <is>
          <t>Backup: Export does not include history (local-only)</t>
        </is>
      </c>
      <c r="F3098" s="16" t="inlineStr">
        <is>
          <t>-</t>
        </is>
      </c>
      <c r="G3098" s="16" t="inlineStr">
        <is>
          <t>1. Export; inspect.</t>
        </is>
      </c>
      <c r="H3098" s="16" t="inlineStr">
        <is>
          <t>Export does not include history (local-only)</t>
        </is>
      </c>
      <c r="I3098" s="16" t="inlineStr">
        <is>
          <t>History excluded.</t>
        </is>
      </c>
      <c r="J3098" s="16" t="inlineStr"/>
      <c r="K3098" s="16" t="inlineStr">
        <is>
          <t>Not Run</t>
        </is>
      </c>
      <c r="L3098" s="16" t="inlineStr">
        <is>
          <t>Medium</t>
        </is>
      </c>
      <c r="M3098" s="16" t="inlineStr"/>
      <c r="N3098" s="16" t="inlineStr"/>
      <c r="O3098" s="16" t="inlineStr"/>
    </row>
    <row r="3099" ht="72" customHeight="1">
      <c r="A3099" s="16" t="inlineStr">
        <is>
          <t>TC-BK-0004</t>
        </is>
      </c>
      <c r="B3099" s="16" t="inlineStr">
        <is>
          <t>Backup &amp; Restore</t>
        </is>
      </c>
      <c r="C3099" s="16" t="inlineStr">
        <is>
          <t>Re-import exported workspace creates equivalent state</t>
        </is>
      </c>
      <c r="D3099" s="16" t="inlineStr">
        <is>
          <t>Functional</t>
        </is>
      </c>
      <c r="E3099" s="16" t="inlineStr">
        <is>
          <t>Backup: Re-import exported workspace creates equivalent state</t>
        </is>
      </c>
      <c r="F3099" s="16" t="inlineStr">
        <is>
          <t>-</t>
        </is>
      </c>
      <c r="G3099" s="16" t="inlineStr">
        <is>
          <t>1. Import the file.</t>
        </is>
      </c>
      <c r="H3099" s="16" t="inlineStr">
        <is>
          <t>Re-import exported workspace creates equivalent state</t>
        </is>
      </c>
      <c r="I3099" s="16" t="inlineStr">
        <is>
          <t>Round-trip equal; ids preserved or remapped consistently.</t>
        </is>
      </c>
      <c r="J3099" s="16" t="inlineStr"/>
      <c r="K3099" s="16" t="inlineStr">
        <is>
          <t>Not Run</t>
        </is>
      </c>
      <c r="L3099" s="16" t="inlineStr">
        <is>
          <t>High</t>
        </is>
      </c>
      <c r="M3099" s="16" t="inlineStr"/>
      <c r="N3099" s="16" t="inlineStr"/>
      <c r="O3099" s="16" t="inlineStr"/>
    </row>
    <row r="3100" ht="72" customHeight="1">
      <c r="A3100" s="16" t="inlineStr">
        <is>
          <t>TC-BK-0005</t>
        </is>
      </c>
      <c r="B3100" s="16" t="inlineStr">
        <is>
          <t>Backup &amp; Restore</t>
        </is>
      </c>
      <c r="C3100" s="16" t="inlineStr">
        <is>
          <t>Import into existing workspace merges vs overwrites</t>
        </is>
      </c>
      <c r="D3100" s="16" t="inlineStr">
        <is>
          <t>Functional</t>
        </is>
      </c>
      <c r="E3100" s="16" t="inlineStr">
        <is>
          <t>Backup: Import into existing workspace merges vs overwrites</t>
        </is>
      </c>
      <c r="F3100" s="16" t="inlineStr">
        <is>
          <t>-</t>
        </is>
      </c>
      <c r="G3100" s="16" t="inlineStr">
        <is>
          <t>1. Import with both options.</t>
        </is>
      </c>
      <c r="H3100" s="16" t="inlineStr">
        <is>
          <t>Import into existing workspace merges vs overwrites</t>
        </is>
      </c>
      <c r="I3100" s="16" t="inlineStr">
        <is>
          <t>Both modes documented; merge preserves existing data.</t>
        </is>
      </c>
      <c r="J3100" s="16" t="inlineStr"/>
      <c r="K3100" s="16" t="inlineStr">
        <is>
          <t>Not Run</t>
        </is>
      </c>
      <c r="L3100" s="16" t="inlineStr">
        <is>
          <t>Medium</t>
        </is>
      </c>
      <c r="M3100" s="16" t="inlineStr"/>
      <c r="N3100" s="16" t="inlineStr"/>
      <c r="O3100" s="16" t="inlineStr"/>
    </row>
    <row r="3101" ht="72" customHeight="1">
      <c r="A3101" s="16" t="inlineStr">
        <is>
          <t>TC-BK-0006</t>
        </is>
      </c>
      <c r="B3101" s="16" t="inlineStr">
        <is>
          <t>Backup &amp; Restore</t>
        </is>
      </c>
      <c r="C3101" s="16" t="inlineStr">
        <is>
          <t>Backup before destructive op (rest workspace, delete)</t>
        </is>
      </c>
      <c r="D3101" s="16" t="inlineStr">
        <is>
          <t>Functional</t>
        </is>
      </c>
      <c r="E3101" s="16" t="inlineStr">
        <is>
          <t>Backup: Backup before destructive op (rest workspace, delete)</t>
        </is>
      </c>
      <c r="F3101" s="16" t="inlineStr">
        <is>
          <t>-</t>
        </is>
      </c>
      <c r="G3101" s="16" t="inlineStr">
        <is>
          <t>1. Trigger destructive; observe.</t>
        </is>
      </c>
      <c r="H3101" s="16" t="inlineStr">
        <is>
          <t>Backup before destructive op (rest workspace, delete)</t>
        </is>
      </c>
      <c r="I3101" s="16" t="inlineStr">
        <is>
          <t>Automatic snapshot created in app-data dir before destructive op.</t>
        </is>
      </c>
      <c r="J3101" s="16" t="inlineStr"/>
      <c r="K3101" s="16" t="inlineStr">
        <is>
          <t>Not Run</t>
        </is>
      </c>
      <c r="L3101" s="16" t="inlineStr">
        <is>
          <t>High</t>
        </is>
      </c>
      <c r="M3101" s="16" t="inlineStr"/>
      <c r="N3101" s="16" t="inlineStr"/>
      <c r="O3101" s="16" t="inlineStr"/>
    </row>
    <row r="3102" ht="72" customHeight="1">
      <c r="A3102" s="16" t="inlineStr">
        <is>
          <t>TC-BK-0007</t>
        </is>
      </c>
      <c r="B3102" s="16" t="inlineStr">
        <is>
          <t>Backup &amp; Restore</t>
        </is>
      </c>
      <c r="C3102" s="16" t="inlineStr">
        <is>
          <t>Restore from auto-snapshot</t>
        </is>
      </c>
      <c r="D3102" s="16" t="inlineStr">
        <is>
          <t>Functional</t>
        </is>
      </c>
      <c r="E3102" s="16" t="inlineStr">
        <is>
          <t>Backup: Restore from auto-snapshot</t>
        </is>
      </c>
      <c r="F3102" s="16" t="inlineStr">
        <is>
          <t>-</t>
        </is>
      </c>
      <c r="G3102" s="16" t="inlineStr">
        <is>
          <t>1. Settings -&gt; Snapshots.</t>
        </is>
      </c>
      <c r="H3102" s="16" t="inlineStr">
        <is>
          <t>Restore from auto-snapshot</t>
        </is>
      </c>
      <c r="I3102" s="16" t="inlineStr">
        <is>
          <t>List of recent snapshots; restore reverts to chosen one.</t>
        </is>
      </c>
      <c r="J3102" s="16" t="inlineStr"/>
      <c r="K3102" s="16" t="inlineStr">
        <is>
          <t>Not Run</t>
        </is>
      </c>
      <c r="L3102" s="16" t="inlineStr">
        <is>
          <t>Medium</t>
        </is>
      </c>
      <c r="M3102" s="16" t="inlineStr"/>
      <c r="N3102" s="16" t="inlineStr"/>
      <c r="O3102" s="16" t="inlineStr"/>
    </row>
    <row r="3103" ht="72" customHeight="1">
      <c r="A3103" s="16" t="inlineStr">
        <is>
          <t>TC-BK-0008</t>
        </is>
      </c>
      <c r="B3103" s="16" t="inlineStr">
        <is>
          <t>Backup &amp; Restore</t>
        </is>
      </c>
      <c r="C3103" s="16" t="inlineStr">
        <is>
          <t>Disk full during export</t>
        </is>
      </c>
      <c r="D3103" s="16" t="inlineStr">
        <is>
          <t>Negative</t>
        </is>
      </c>
      <c r="E3103" s="16" t="inlineStr">
        <is>
          <t>Backup: Disk full during export</t>
        </is>
      </c>
      <c r="F3103" s="16" t="inlineStr">
        <is>
          <t>-</t>
        </is>
      </c>
      <c r="G3103" s="16" t="inlineStr">
        <is>
          <t>1. Simulate.</t>
        </is>
      </c>
      <c r="H3103" s="16" t="inlineStr">
        <is>
          <t>Disk full during export</t>
        </is>
      </c>
      <c r="I3103" s="16" t="inlineStr">
        <is>
          <t>Clear error; partial file cleaned up.</t>
        </is>
      </c>
      <c r="J3103" s="16" t="inlineStr"/>
      <c r="K3103" s="16" t="inlineStr">
        <is>
          <t>Not Run</t>
        </is>
      </c>
      <c r="L3103" s="16" t="inlineStr">
        <is>
          <t>Low</t>
        </is>
      </c>
      <c r="M3103" s="16" t="inlineStr"/>
      <c r="N3103" s="16" t="inlineStr"/>
      <c r="O3103" s="16" t="inlineStr"/>
    </row>
    <row r="3104" ht="72" customHeight="1">
      <c r="A3104" s="16" t="inlineStr">
        <is>
          <t>TC-BK-0009</t>
        </is>
      </c>
      <c r="B3104" s="16" t="inlineStr">
        <is>
          <t>Backup &amp; Restore</t>
        </is>
      </c>
      <c r="C3104" s="16" t="inlineStr">
        <is>
          <t>Selective restore: only environments</t>
        </is>
      </c>
      <c r="D3104" s="16" t="inlineStr">
        <is>
          <t>Functional</t>
        </is>
      </c>
      <c r="E3104" s="16" t="inlineStr">
        <is>
          <t>Backup: Selective restore: only environments</t>
        </is>
      </c>
      <c r="F3104" s="16" t="inlineStr">
        <is>
          <t>-</t>
        </is>
      </c>
      <c r="G3104" s="16" t="inlineStr">
        <is>
          <t>1. Restore env section only.</t>
        </is>
      </c>
      <c r="H3104" s="16" t="inlineStr">
        <is>
          <t>Selective restore: only environments</t>
        </is>
      </c>
      <c r="I3104" s="16" t="inlineStr">
        <is>
          <t>Other sections untouched.</t>
        </is>
      </c>
      <c r="J3104" s="16" t="inlineStr"/>
      <c r="K3104" s="16" t="inlineStr">
        <is>
          <t>Not Run</t>
        </is>
      </c>
      <c r="L3104" s="16" t="inlineStr">
        <is>
          <t>Medium</t>
        </is>
      </c>
      <c r="M3104" s="16" t="inlineStr"/>
      <c r="N3104" s="16" t="inlineStr"/>
      <c r="O3104" s="16" t="inlineStr"/>
    </row>
    <row r="3105" ht="72" customHeight="1">
      <c r="A3105" s="16" t="inlineStr">
        <is>
          <t>TC-BK-0010</t>
        </is>
      </c>
      <c r="B3105" s="16" t="inlineStr">
        <is>
          <t>Backup &amp; Restore</t>
        </is>
      </c>
      <c r="C3105" s="16" t="inlineStr">
        <is>
          <t>Backup encrypted with passphrase</t>
        </is>
      </c>
      <c r="D3105" s="16" t="inlineStr">
        <is>
          <t>Security</t>
        </is>
      </c>
      <c r="E3105" s="16" t="inlineStr">
        <is>
          <t>Backup: Backup encrypted with passphrase</t>
        </is>
      </c>
      <c r="F3105" s="16" t="inlineStr">
        <is>
          <t>-</t>
        </is>
      </c>
      <c r="G3105" s="16" t="inlineStr">
        <is>
          <t>1. Export with 'encrypt with passphrase'.</t>
        </is>
      </c>
      <c r="H3105" s="16" t="inlineStr">
        <is>
          <t>Backup encrypted with passphrase</t>
        </is>
      </c>
      <c r="I3105" s="16" t="inlineStr">
        <is>
          <t>Backup is encrypted blob; import requires passphrase.</t>
        </is>
      </c>
      <c r="J3105" s="16" t="inlineStr"/>
      <c r="K3105" s="16" t="inlineStr">
        <is>
          <t>Not Run</t>
        </is>
      </c>
      <c r="L3105" s="16" t="inlineStr">
        <is>
          <t>High</t>
        </is>
      </c>
      <c r="M3105" s="16" t="inlineStr"/>
      <c r="N3105" s="16" t="inlineStr"/>
      <c r="O3105" s="16" t="inlineStr"/>
    </row>
    <row r="3106" ht="72" customHeight="1">
      <c r="A3106" s="16" t="inlineStr">
        <is>
          <t>TC-BK-0011</t>
        </is>
      </c>
      <c r="B3106" s="16" t="inlineStr">
        <is>
          <t>Backup &amp; Restore</t>
        </is>
      </c>
      <c r="C3106" s="16" t="inlineStr">
        <is>
          <t>Backup file integrity check (checksum)</t>
        </is>
      </c>
      <c r="D3106" s="16" t="inlineStr">
        <is>
          <t>Edge Case</t>
        </is>
      </c>
      <c r="E3106" s="16" t="inlineStr">
        <is>
          <t>Backup: Backup file integrity check (checksum)</t>
        </is>
      </c>
      <c r="F3106" s="16" t="inlineStr">
        <is>
          <t>-</t>
        </is>
      </c>
      <c r="G3106" s="16" t="inlineStr">
        <is>
          <t>1. Truncate backup; import.</t>
        </is>
      </c>
      <c r="H3106" s="16" t="inlineStr">
        <is>
          <t>Backup file integrity check (checksum)</t>
        </is>
      </c>
      <c r="I3106" s="16" t="inlineStr">
        <is>
          <t>Detected via checksum; import refused.</t>
        </is>
      </c>
      <c r="J3106" s="16" t="inlineStr"/>
      <c r="K3106" s="16" t="inlineStr">
        <is>
          <t>Not Run</t>
        </is>
      </c>
      <c r="L3106" s="16" t="inlineStr">
        <is>
          <t>Medium</t>
        </is>
      </c>
      <c r="M3106" s="16" t="inlineStr"/>
      <c r="N3106" s="16" t="inlineStr"/>
      <c r="O3106" s="16" t="inlineStr"/>
    </row>
    <row r="3107" ht="72" customHeight="1">
      <c r="A3107" s="16" t="inlineStr">
        <is>
          <t>TC-BK-0012</t>
        </is>
      </c>
      <c r="B3107" s="16" t="inlineStr">
        <is>
          <t>Backup &amp; Restore</t>
        </is>
      </c>
      <c r="C3107" s="16" t="inlineStr">
        <is>
          <t>Cross-version backup compatibility</t>
        </is>
      </c>
      <c r="D3107" s="16" t="inlineStr">
        <is>
          <t>Compatibility</t>
        </is>
      </c>
      <c r="E3107" s="16" t="inlineStr">
        <is>
          <t>Backup: Cross-version backup compatibility</t>
        </is>
      </c>
      <c r="F3107" s="16" t="inlineStr">
        <is>
          <t>-</t>
        </is>
      </c>
      <c r="G3107" s="16" t="inlineStr">
        <is>
          <t>1. Import backup from older app version.</t>
        </is>
      </c>
      <c r="H3107" s="16" t="inlineStr">
        <is>
          <t>Cross-version backup compatibility</t>
        </is>
      </c>
      <c r="I3107" s="16" t="inlineStr">
        <is>
          <t>Migrated forward at import; warnings shown.</t>
        </is>
      </c>
      <c r="J3107" s="16" t="inlineStr"/>
      <c r="K3107" s="16" t="inlineStr">
        <is>
          <t>Not Run</t>
        </is>
      </c>
      <c r="L3107" s="16" t="inlineStr">
        <is>
          <t>Medium</t>
        </is>
      </c>
      <c r="M3107" s="16" t="inlineStr"/>
      <c r="N3107" s="16" t="inlineStr"/>
      <c r="O3107" s="16" t="inlineStr"/>
    </row>
    <row r="3108" ht="72" customHeight="1">
      <c r="A3108" s="16" t="inlineStr">
        <is>
          <t>TC-CG-0001</t>
        </is>
      </c>
      <c r="B3108" s="16" t="inlineStr">
        <is>
          <t>Code Generation</t>
        </is>
      </c>
      <c r="C3108" s="16" t="inlineStr">
        <is>
          <t>curl</t>
        </is>
      </c>
      <c r="D3108" s="16" t="inlineStr">
        <is>
          <t>Functional</t>
        </is>
      </c>
      <c r="E3108" s="16" t="inlineStr">
        <is>
          <t>Codegen curl: Simple GET</t>
        </is>
      </c>
      <c r="F3108" s="16" t="inlineStr">
        <is>
          <t>-</t>
        </is>
      </c>
      <c r="G3108" s="16" t="inlineStr">
        <is>
          <t>1. Set up request shape: Just URL + method.
2. Generate code for curl (UI Copy-as / MCP generate.code).
3. Run the generated snippet in a curl runtime against the same endpoint.</t>
        </is>
      </c>
      <c r="H3108" s="16" t="inlineStr">
        <is>
          <t>lang=curl shape=Simple GET</t>
        </is>
      </c>
      <c r="I3108" s="16" t="inlineStr">
        <is>
          <t>Generated code is syntactically valid for curl; executes against the same endpoint and produces the same response. Variables are interpolated to their resolved values (not as literal '{{var}}'); secrets are masked or warning shown when copying.</t>
        </is>
      </c>
      <c r="J3108" s="16" t="inlineStr"/>
      <c r="K3108" s="16" t="inlineStr">
        <is>
          <t>Not Run</t>
        </is>
      </c>
      <c r="L3108" s="16" t="inlineStr">
        <is>
          <t>High</t>
        </is>
      </c>
      <c r="M3108" s="16" t="inlineStr"/>
      <c r="N3108" s="16" t="inlineStr"/>
      <c r="O3108" s="16" t="inlineStr"/>
    </row>
    <row r="3109" ht="72" customHeight="1">
      <c r="A3109" s="16" t="inlineStr">
        <is>
          <t>TC-CG-0002</t>
        </is>
      </c>
      <c r="B3109" s="16" t="inlineStr">
        <is>
          <t>Code Generation</t>
        </is>
      </c>
      <c r="C3109" s="16" t="inlineStr">
        <is>
          <t>curl</t>
        </is>
      </c>
      <c r="D3109" s="16" t="inlineStr">
        <is>
          <t>Functional</t>
        </is>
      </c>
      <c r="E3109" s="16" t="inlineStr">
        <is>
          <t>Codegen curl: POST JSON</t>
        </is>
      </c>
      <c r="F3109" s="16" t="inlineStr">
        <is>
          <t>-</t>
        </is>
      </c>
      <c r="G3109" s="16" t="inlineStr">
        <is>
          <t>1. Set up request shape: Body + headers.
2. Generate code for curl (UI Copy-as / MCP generate.code).
3. Run the generated snippet in a curl runtime against the same endpoint.</t>
        </is>
      </c>
      <c r="H3109" s="16" t="inlineStr">
        <is>
          <t>lang=curl shape=POST JSON</t>
        </is>
      </c>
      <c r="I3109" s="16" t="inlineStr">
        <is>
          <t>Generated code is syntactically valid for curl; executes against the same endpoint and produces the same response. Variables are interpolated to their resolved values (not as literal '{{var}}'); secrets are masked or warning shown when copying.</t>
        </is>
      </c>
      <c r="J3109" s="16" t="inlineStr"/>
      <c r="K3109" s="16" t="inlineStr">
        <is>
          <t>Not Run</t>
        </is>
      </c>
      <c r="L3109" s="16" t="inlineStr">
        <is>
          <t>High</t>
        </is>
      </c>
      <c r="M3109" s="16" t="inlineStr"/>
      <c r="N3109" s="16" t="inlineStr"/>
      <c r="O3109" s="16" t="inlineStr"/>
    </row>
    <row r="3110" ht="72" customHeight="1">
      <c r="A3110" s="16" t="inlineStr">
        <is>
          <t>TC-CG-0003</t>
        </is>
      </c>
      <c r="B3110" s="16" t="inlineStr">
        <is>
          <t>Code Generation</t>
        </is>
      </c>
      <c r="C3110" s="16" t="inlineStr">
        <is>
          <t>curl</t>
        </is>
      </c>
      <c r="D3110" s="16" t="inlineStr">
        <is>
          <t>Functional</t>
        </is>
      </c>
      <c r="E3110" s="16" t="inlineStr">
        <is>
          <t>Codegen curl: POST form-data</t>
        </is>
      </c>
      <c r="F3110" s="16" t="inlineStr">
        <is>
          <t>-</t>
        </is>
      </c>
      <c r="G3110" s="16" t="inlineStr">
        <is>
          <t>1. Set up request shape: Multipart.
2. Generate code for curl (UI Copy-as / MCP generate.code).
3. Run the generated snippet in a curl runtime against the same endpoint.</t>
        </is>
      </c>
      <c r="H3110" s="16" t="inlineStr">
        <is>
          <t>lang=curl shape=POST form-data</t>
        </is>
      </c>
      <c r="I3110" s="16" t="inlineStr">
        <is>
          <t>Generated code is syntactically valid for curl; executes against the same endpoint and produces the same response. Variables are interpolated to their resolved values (not as literal '{{var}}'); secrets are masked or warning shown when copying.</t>
        </is>
      </c>
      <c r="J3110" s="16" t="inlineStr"/>
      <c r="K3110" s="16" t="inlineStr">
        <is>
          <t>Not Run</t>
        </is>
      </c>
      <c r="L3110" s="16" t="inlineStr">
        <is>
          <t>Medium</t>
        </is>
      </c>
      <c r="M3110" s="16" t="inlineStr"/>
      <c r="N3110" s="16" t="inlineStr"/>
      <c r="O3110" s="16" t="inlineStr"/>
    </row>
    <row r="3111" ht="72" customHeight="1">
      <c r="A3111" s="16" t="inlineStr">
        <is>
          <t>TC-CG-0004</t>
        </is>
      </c>
      <c r="B3111" s="16" t="inlineStr">
        <is>
          <t>Code Generation</t>
        </is>
      </c>
      <c r="C3111" s="16" t="inlineStr">
        <is>
          <t>curl</t>
        </is>
      </c>
      <c r="D3111" s="16" t="inlineStr">
        <is>
          <t>Functional</t>
        </is>
      </c>
      <c r="E3111" s="16" t="inlineStr">
        <is>
          <t>Codegen curl: POST urlencoded</t>
        </is>
      </c>
      <c r="F3111" s="16" t="inlineStr">
        <is>
          <t>-</t>
        </is>
      </c>
      <c r="G3111" s="16" t="inlineStr">
        <is>
          <t>1. Set up request shape: x-www-form-urlencoded.
2. Generate code for curl (UI Copy-as / MCP generate.code).
3. Run the generated snippet in a curl runtime against the same endpoint.</t>
        </is>
      </c>
      <c r="H3111" s="16" t="inlineStr">
        <is>
          <t>lang=curl shape=POST urlencoded</t>
        </is>
      </c>
      <c r="I3111" s="16" t="inlineStr">
        <is>
          <t>Generated code is syntactically valid for curl; executes against the same endpoint and produces the same response. Variables are interpolated to their resolved values (not as literal '{{var}}'); secrets are masked or warning shown when copying.</t>
        </is>
      </c>
      <c r="J3111" s="16" t="inlineStr"/>
      <c r="K3111" s="16" t="inlineStr">
        <is>
          <t>Not Run</t>
        </is>
      </c>
      <c r="L3111" s="16" t="inlineStr">
        <is>
          <t>Medium</t>
        </is>
      </c>
      <c r="M3111" s="16" t="inlineStr"/>
      <c r="N3111" s="16" t="inlineStr"/>
      <c r="O3111" s="16" t="inlineStr"/>
    </row>
    <row r="3112" ht="72" customHeight="1">
      <c r="A3112" s="16" t="inlineStr">
        <is>
          <t>TC-CG-0005</t>
        </is>
      </c>
      <c r="B3112" s="16" t="inlineStr">
        <is>
          <t>Code Generation</t>
        </is>
      </c>
      <c r="C3112" s="16" t="inlineStr">
        <is>
          <t>curl</t>
        </is>
      </c>
      <c r="D3112" s="16" t="inlineStr">
        <is>
          <t>Functional</t>
        </is>
      </c>
      <c r="E3112" s="16" t="inlineStr">
        <is>
          <t>Codegen curl: File upload</t>
        </is>
      </c>
      <c r="F3112" s="16" t="inlineStr">
        <is>
          <t>-</t>
        </is>
      </c>
      <c r="G3112" s="16" t="inlineStr">
        <is>
          <t>1. Set up request shape: Binary.
2. Generate code for curl (UI Copy-as / MCP generate.code).
3. Run the generated snippet in a curl runtime against the same endpoint.</t>
        </is>
      </c>
      <c r="H3112" s="16" t="inlineStr">
        <is>
          <t>lang=curl shape=File upload</t>
        </is>
      </c>
      <c r="I3112" s="16" t="inlineStr">
        <is>
          <t>Generated code is syntactically valid for curl; executes against the same endpoint and produces the same response. Variables are interpolated to their resolved values (not as literal '{{var}}'); secrets are masked or warning shown when copying.</t>
        </is>
      </c>
      <c r="J3112" s="16" t="inlineStr"/>
      <c r="K3112" s="16" t="inlineStr">
        <is>
          <t>Not Run</t>
        </is>
      </c>
      <c r="L3112" s="16" t="inlineStr">
        <is>
          <t>Medium</t>
        </is>
      </c>
      <c r="M3112" s="16" t="inlineStr"/>
      <c r="N3112" s="16" t="inlineStr"/>
      <c r="O3112" s="16" t="inlineStr"/>
    </row>
    <row r="3113" ht="72" customHeight="1">
      <c r="A3113" s="16" t="inlineStr">
        <is>
          <t>TC-CG-0006</t>
        </is>
      </c>
      <c r="B3113" s="16" t="inlineStr">
        <is>
          <t>Code Generation</t>
        </is>
      </c>
      <c r="C3113" s="16" t="inlineStr">
        <is>
          <t>curl</t>
        </is>
      </c>
      <c r="D3113" s="16" t="inlineStr">
        <is>
          <t>Functional</t>
        </is>
      </c>
      <c r="E3113" s="16" t="inlineStr">
        <is>
          <t>Codegen curl: GraphQL</t>
        </is>
      </c>
      <c r="F3113" s="16" t="inlineStr">
        <is>
          <t>-</t>
        </is>
      </c>
      <c r="G3113" s="16" t="inlineStr">
        <is>
          <t>1. Set up request shape: Query + variables.
2. Generate code for curl (UI Copy-as / MCP generate.code).
3. Run the generated snippet in a curl runtime against the same endpoint.</t>
        </is>
      </c>
      <c r="H3113" s="16" t="inlineStr">
        <is>
          <t>lang=curl shape=GraphQL</t>
        </is>
      </c>
      <c r="I3113" s="16" t="inlineStr">
        <is>
          <t>Generated code is syntactically valid for curl; executes against the same endpoint and produces the same response. Variables are interpolated to their resolved values (not as literal '{{var}}'); secrets are masked or warning shown when copying.</t>
        </is>
      </c>
      <c r="J3113" s="16" t="inlineStr"/>
      <c r="K3113" s="16" t="inlineStr">
        <is>
          <t>Not Run</t>
        </is>
      </c>
      <c r="L3113" s="16" t="inlineStr">
        <is>
          <t>Medium</t>
        </is>
      </c>
      <c r="M3113" s="16" t="inlineStr"/>
      <c r="N3113" s="16" t="inlineStr"/>
      <c r="O3113" s="16" t="inlineStr"/>
    </row>
    <row r="3114" ht="72" customHeight="1">
      <c r="A3114" s="16" t="inlineStr">
        <is>
          <t>TC-CG-0007</t>
        </is>
      </c>
      <c r="B3114" s="16" t="inlineStr">
        <is>
          <t>Code Generation</t>
        </is>
      </c>
      <c r="C3114" s="16" t="inlineStr">
        <is>
          <t>curl</t>
        </is>
      </c>
      <c r="D3114" s="16" t="inlineStr">
        <is>
          <t>Functional</t>
        </is>
      </c>
      <c r="E3114" s="16" t="inlineStr">
        <is>
          <t>Codegen curl: Bearer auth</t>
        </is>
      </c>
      <c r="F3114" s="16" t="inlineStr">
        <is>
          <t>-</t>
        </is>
      </c>
      <c r="G3114" s="16" t="inlineStr">
        <is>
          <t>1. Set up request shape: Authorization header.
2. Generate code for curl (UI Copy-as / MCP generate.code).
3. Run the generated snippet in a curl runtime against the same endpoint.</t>
        </is>
      </c>
      <c r="H3114" s="16" t="inlineStr">
        <is>
          <t>lang=curl shape=Bearer auth</t>
        </is>
      </c>
      <c r="I3114" s="16" t="inlineStr">
        <is>
          <t>Generated code is syntactically valid for curl; executes against the same endpoint and produces the same response. Variables are interpolated to their resolved values (not as literal '{{var}}'); secrets are masked or warning shown when copying.</t>
        </is>
      </c>
      <c r="J3114" s="16" t="inlineStr"/>
      <c r="K3114" s="16" t="inlineStr">
        <is>
          <t>Not Run</t>
        </is>
      </c>
      <c r="L3114" s="16" t="inlineStr">
        <is>
          <t>High</t>
        </is>
      </c>
      <c r="M3114" s="16" t="inlineStr"/>
      <c r="N3114" s="16" t="inlineStr"/>
      <c r="O3114" s="16" t="inlineStr"/>
    </row>
    <row r="3115" ht="72" customHeight="1">
      <c r="A3115" s="16" t="inlineStr">
        <is>
          <t>TC-CG-0008</t>
        </is>
      </c>
      <c r="B3115" s="16" t="inlineStr">
        <is>
          <t>Code Generation</t>
        </is>
      </c>
      <c r="C3115" s="16" t="inlineStr">
        <is>
          <t>curl</t>
        </is>
      </c>
      <c r="D3115" s="16" t="inlineStr">
        <is>
          <t>Functional</t>
        </is>
      </c>
      <c r="E3115" s="16" t="inlineStr">
        <is>
          <t>Codegen curl: Basic auth</t>
        </is>
      </c>
      <c r="F3115" s="16" t="inlineStr">
        <is>
          <t>-</t>
        </is>
      </c>
      <c r="G3115" s="16" t="inlineStr">
        <is>
          <t>1. Set up request shape: user:pass.
2. Generate code for curl (UI Copy-as / MCP generate.code).
3. Run the generated snippet in a curl runtime against the same endpoint.</t>
        </is>
      </c>
      <c r="H3115" s="16" t="inlineStr">
        <is>
          <t>lang=curl shape=Basic auth</t>
        </is>
      </c>
      <c r="I3115" s="16" t="inlineStr">
        <is>
          <t>Generated code is syntactically valid for curl; executes against the same endpoint and produces the same response. Variables are interpolated to their resolved values (not as literal '{{var}}'); secrets are masked or warning shown when copying.</t>
        </is>
      </c>
      <c r="J3115" s="16" t="inlineStr"/>
      <c r="K3115" s="16" t="inlineStr">
        <is>
          <t>Not Run</t>
        </is>
      </c>
      <c r="L3115" s="16" t="inlineStr">
        <is>
          <t>Medium</t>
        </is>
      </c>
      <c r="M3115" s="16" t="inlineStr"/>
      <c r="N3115" s="16" t="inlineStr"/>
      <c r="O3115" s="16" t="inlineStr"/>
    </row>
    <row r="3116" ht="72" customHeight="1">
      <c r="A3116" s="16" t="inlineStr">
        <is>
          <t>TC-CG-0009</t>
        </is>
      </c>
      <c r="B3116" s="16" t="inlineStr">
        <is>
          <t>Code Generation</t>
        </is>
      </c>
      <c r="C3116" s="16" t="inlineStr">
        <is>
          <t>curl</t>
        </is>
      </c>
      <c r="D3116" s="16" t="inlineStr">
        <is>
          <t>Functional</t>
        </is>
      </c>
      <c r="E3116" s="16" t="inlineStr">
        <is>
          <t>Codegen curl: API Key header</t>
        </is>
      </c>
      <c r="F3116" s="16" t="inlineStr">
        <is>
          <t>-</t>
        </is>
      </c>
      <c r="G3116" s="16" t="inlineStr">
        <is>
          <t>1. Set up request shape: Custom header.
2. Generate code for curl (UI Copy-as / MCP generate.code).
3. Run the generated snippet in a curl runtime against the same endpoint.</t>
        </is>
      </c>
      <c r="H3116" s="16" t="inlineStr">
        <is>
          <t>lang=curl shape=API Key header</t>
        </is>
      </c>
      <c r="I3116" s="16" t="inlineStr">
        <is>
          <t>Generated code is syntactically valid for curl; executes against the same endpoint and produces the same response. Variables are interpolated to their resolved values (not as literal '{{var}}'); secrets are masked or warning shown when copying.</t>
        </is>
      </c>
      <c r="J3116" s="16" t="inlineStr"/>
      <c r="K3116" s="16" t="inlineStr">
        <is>
          <t>Not Run</t>
        </is>
      </c>
      <c r="L3116" s="16" t="inlineStr">
        <is>
          <t>Medium</t>
        </is>
      </c>
      <c r="M3116" s="16" t="inlineStr"/>
      <c r="N3116" s="16" t="inlineStr"/>
      <c r="O3116" s="16" t="inlineStr"/>
    </row>
    <row r="3117" ht="72" customHeight="1">
      <c r="A3117" s="16" t="inlineStr">
        <is>
          <t>TC-CG-0010</t>
        </is>
      </c>
      <c r="B3117" s="16" t="inlineStr">
        <is>
          <t>Code Generation</t>
        </is>
      </c>
      <c r="C3117" s="16" t="inlineStr">
        <is>
          <t>curl</t>
        </is>
      </c>
      <c r="D3117" s="16" t="inlineStr">
        <is>
          <t>Functional</t>
        </is>
      </c>
      <c r="E3117" s="16" t="inlineStr">
        <is>
          <t>Codegen curl: API Key query</t>
        </is>
      </c>
      <c r="F3117" s="16" t="inlineStr">
        <is>
          <t>-</t>
        </is>
      </c>
      <c r="G3117" s="16" t="inlineStr">
        <is>
          <t>1. Set up request shape: Query param.
2. Generate code for curl (UI Copy-as / MCP generate.code).
3. Run the generated snippet in a curl runtime against the same endpoint.</t>
        </is>
      </c>
      <c r="H3117" s="16" t="inlineStr">
        <is>
          <t>lang=curl shape=API Key query</t>
        </is>
      </c>
      <c r="I3117" s="16" t="inlineStr">
        <is>
          <t>Generated code is syntactically valid for curl; executes against the same endpoint and produces the same response. Variables are interpolated to their resolved values (not as literal '{{var}}'); secrets are masked or warning shown when copying.</t>
        </is>
      </c>
      <c r="J3117" s="16" t="inlineStr"/>
      <c r="K3117" s="16" t="inlineStr">
        <is>
          <t>Not Run</t>
        </is>
      </c>
      <c r="L3117" s="16" t="inlineStr">
        <is>
          <t>Medium</t>
        </is>
      </c>
      <c r="M3117" s="16" t="inlineStr"/>
      <c r="N3117" s="16" t="inlineStr"/>
      <c r="O3117" s="16" t="inlineStr"/>
    </row>
    <row r="3118" ht="72" customHeight="1">
      <c r="A3118" s="16" t="inlineStr">
        <is>
          <t>TC-CG-0011</t>
        </is>
      </c>
      <c r="B3118" s="16" t="inlineStr">
        <is>
          <t>Code Generation</t>
        </is>
      </c>
      <c r="C3118" s="16" t="inlineStr">
        <is>
          <t>curl</t>
        </is>
      </c>
      <c r="D3118" s="16" t="inlineStr">
        <is>
          <t>Functional</t>
        </is>
      </c>
      <c r="E3118" s="16" t="inlineStr">
        <is>
          <t>Codegen curl: OAuth2 (with token)</t>
        </is>
      </c>
      <c r="F3118" s="16" t="inlineStr">
        <is>
          <t>-</t>
        </is>
      </c>
      <c r="G3118" s="16" t="inlineStr">
        <is>
          <t>1. Set up request shape: Token attached.
2. Generate code for curl (UI Copy-as / MCP generate.code).
3. Run the generated snippet in a curl runtime against the same endpoint.</t>
        </is>
      </c>
      <c r="H3118" s="16" t="inlineStr">
        <is>
          <t>lang=curl shape=OAuth2 (with token)</t>
        </is>
      </c>
      <c r="I3118" s="16" t="inlineStr">
        <is>
          <t>Generated code is syntactically valid for curl; executes against the same endpoint and produces the same response. Variables are interpolated to their resolved values (not as literal '{{var}}'); secrets are masked or warning shown when copying.</t>
        </is>
      </c>
      <c r="J3118" s="16" t="inlineStr"/>
      <c r="K3118" s="16" t="inlineStr">
        <is>
          <t>Not Run</t>
        </is>
      </c>
      <c r="L3118" s="16" t="inlineStr">
        <is>
          <t>High</t>
        </is>
      </c>
      <c r="M3118" s="16" t="inlineStr"/>
      <c r="N3118" s="16" t="inlineStr"/>
      <c r="O3118" s="16" t="inlineStr"/>
    </row>
    <row r="3119" ht="72" customHeight="1">
      <c r="A3119" s="16" t="inlineStr">
        <is>
          <t>TC-CG-0012</t>
        </is>
      </c>
      <c r="B3119" s="16" t="inlineStr">
        <is>
          <t>Code Generation</t>
        </is>
      </c>
      <c r="C3119" s="16" t="inlineStr">
        <is>
          <t>curl</t>
        </is>
      </c>
      <c r="D3119" s="16" t="inlineStr">
        <is>
          <t>Functional</t>
        </is>
      </c>
      <c r="E3119" s="16" t="inlineStr">
        <is>
          <t>Codegen curl: AWS SigV4</t>
        </is>
      </c>
      <c r="F3119" s="16" t="inlineStr">
        <is>
          <t>-</t>
        </is>
      </c>
      <c r="G3119" s="16" t="inlineStr">
        <is>
          <t>1. Set up request shape: Signed request.
2. Generate code for curl (UI Copy-as / MCP generate.code).
3. Run the generated snippet in a curl runtime against the same endpoint.</t>
        </is>
      </c>
      <c r="H3119" s="16" t="inlineStr">
        <is>
          <t>lang=curl shape=AWS SigV4</t>
        </is>
      </c>
      <c r="I3119" s="16" t="inlineStr">
        <is>
          <t>Generated code is syntactically valid for curl; executes against the same endpoint and produces the same response. Variables are interpolated to their resolved values (not as literal '{{var}}'); secrets are masked or warning shown when copying.</t>
        </is>
      </c>
      <c r="J3119" s="16" t="inlineStr"/>
      <c r="K3119" s="16" t="inlineStr">
        <is>
          <t>Not Run</t>
        </is>
      </c>
      <c r="L3119" s="16" t="inlineStr">
        <is>
          <t>Medium</t>
        </is>
      </c>
      <c r="M3119" s="16" t="inlineStr"/>
      <c r="N3119" s="16" t="inlineStr"/>
      <c r="O3119" s="16" t="inlineStr"/>
    </row>
    <row r="3120" ht="72" customHeight="1">
      <c r="A3120" s="16" t="inlineStr">
        <is>
          <t>TC-CG-0013</t>
        </is>
      </c>
      <c r="B3120" s="16" t="inlineStr">
        <is>
          <t>Code Generation</t>
        </is>
      </c>
      <c r="C3120" s="16" t="inlineStr">
        <is>
          <t>curl</t>
        </is>
      </c>
      <c r="D3120" s="16" t="inlineStr">
        <is>
          <t>Functional</t>
        </is>
      </c>
      <c r="E3120" s="16" t="inlineStr">
        <is>
          <t>Codegen curl: Custom headers</t>
        </is>
      </c>
      <c r="F3120" s="16" t="inlineStr">
        <is>
          <t>-</t>
        </is>
      </c>
      <c r="G3120" s="16" t="inlineStr">
        <is>
          <t>1. Set up request shape: User-set.
2. Generate code for curl (UI Copy-as / MCP generate.code).
3. Run the generated snippet in a curl runtime against the same endpoint.</t>
        </is>
      </c>
      <c r="H3120" s="16" t="inlineStr">
        <is>
          <t>lang=curl shape=Custom headers</t>
        </is>
      </c>
      <c r="I3120" s="16" t="inlineStr">
        <is>
          <t>Generated code is syntactically valid for curl; executes against the same endpoint and produces the same response. Variables are interpolated to their resolved values (not as literal '{{var}}'); secrets are masked or warning shown when copying.</t>
        </is>
      </c>
      <c r="J3120" s="16" t="inlineStr"/>
      <c r="K3120" s="16" t="inlineStr">
        <is>
          <t>Not Run</t>
        </is>
      </c>
      <c r="L3120" s="16" t="inlineStr">
        <is>
          <t>Medium</t>
        </is>
      </c>
      <c r="M3120" s="16" t="inlineStr"/>
      <c r="N3120" s="16" t="inlineStr"/>
      <c r="O3120" s="16" t="inlineStr"/>
    </row>
    <row r="3121" ht="72" customHeight="1">
      <c r="A3121" s="16" t="inlineStr">
        <is>
          <t>TC-CG-0014</t>
        </is>
      </c>
      <c r="B3121" s="16" t="inlineStr">
        <is>
          <t>Code Generation</t>
        </is>
      </c>
      <c r="C3121" s="16" t="inlineStr">
        <is>
          <t>curl</t>
        </is>
      </c>
      <c r="D3121" s="16" t="inlineStr">
        <is>
          <t>Functional</t>
        </is>
      </c>
      <c r="E3121" s="16" t="inlineStr">
        <is>
          <t>Codegen curl: Path params</t>
        </is>
      </c>
      <c r="F3121" s="16" t="inlineStr">
        <is>
          <t>-</t>
        </is>
      </c>
      <c r="G3121" s="16" t="inlineStr">
        <is>
          <t>1. Set up request shape: URL with {id}.
2. Generate code for curl (UI Copy-as / MCP generate.code).
3. Run the generated snippet in a curl runtime against the same endpoint.</t>
        </is>
      </c>
      <c r="H3121" s="16" t="inlineStr">
        <is>
          <t>lang=curl shape=Path params</t>
        </is>
      </c>
      <c r="I3121" s="16" t="inlineStr">
        <is>
          <t>Generated code is syntactically valid for curl; executes against the same endpoint and produces the same response. Variables are interpolated to their resolved values (not as literal '{{var}}'); secrets are masked or warning shown when copying.</t>
        </is>
      </c>
      <c r="J3121" s="16" t="inlineStr"/>
      <c r="K3121" s="16" t="inlineStr">
        <is>
          <t>Not Run</t>
        </is>
      </c>
      <c r="L3121" s="16" t="inlineStr">
        <is>
          <t>Medium</t>
        </is>
      </c>
      <c r="M3121" s="16" t="inlineStr"/>
      <c r="N3121" s="16" t="inlineStr"/>
      <c r="O3121" s="16" t="inlineStr"/>
    </row>
    <row r="3122" ht="72" customHeight="1">
      <c r="A3122" s="16" t="inlineStr">
        <is>
          <t>TC-CG-0015</t>
        </is>
      </c>
      <c r="B3122" s="16" t="inlineStr">
        <is>
          <t>Code Generation</t>
        </is>
      </c>
      <c r="C3122" s="16" t="inlineStr">
        <is>
          <t>curl</t>
        </is>
      </c>
      <c r="D3122" s="16" t="inlineStr">
        <is>
          <t>Functional</t>
        </is>
      </c>
      <c r="E3122" s="16" t="inlineStr">
        <is>
          <t>Codegen curl: Query params with arrays</t>
        </is>
      </c>
      <c r="F3122" s="16" t="inlineStr">
        <is>
          <t>-</t>
        </is>
      </c>
      <c r="G3122" s="16" t="inlineStr">
        <is>
          <t>1. Set up request shape: ?a=1&amp;a=2.
2. Generate code for curl (UI Copy-as / MCP generate.code).
3. Run the generated snippet in a curl runtime against the same endpoint.</t>
        </is>
      </c>
      <c r="H3122" s="16" t="inlineStr">
        <is>
          <t>lang=curl shape=Query params with arrays</t>
        </is>
      </c>
      <c r="I3122" s="16" t="inlineStr">
        <is>
          <t>Generated code is syntactically valid for curl; executes against the same endpoint and produces the same response. Variables are interpolated to their resolved values (not as literal '{{var}}'); secrets are masked or warning shown when copying.</t>
        </is>
      </c>
      <c r="J3122" s="16" t="inlineStr"/>
      <c r="K3122" s="16" t="inlineStr">
        <is>
          <t>Not Run</t>
        </is>
      </c>
      <c r="L3122" s="16" t="inlineStr">
        <is>
          <t>Medium</t>
        </is>
      </c>
      <c r="M3122" s="16" t="inlineStr"/>
      <c r="N3122" s="16" t="inlineStr"/>
      <c r="O3122" s="16" t="inlineStr"/>
    </row>
    <row r="3123" ht="72" customHeight="1">
      <c r="A3123" s="16" t="inlineStr">
        <is>
          <t>TC-CG-0016</t>
        </is>
      </c>
      <c r="B3123" s="16" t="inlineStr">
        <is>
          <t>Code Generation</t>
        </is>
      </c>
      <c r="C3123" s="16" t="inlineStr">
        <is>
          <t>curl</t>
        </is>
      </c>
      <c r="D3123" s="16" t="inlineStr">
        <is>
          <t>Functional</t>
        </is>
      </c>
      <c r="E3123" s="16" t="inlineStr">
        <is>
          <t>Codegen curl: Cookies</t>
        </is>
      </c>
      <c r="F3123" s="16" t="inlineStr">
        <is>
          <t>-</t>
        </is>
      </c>
      <c r="G3123" s="16" t="inlineStr">
        <is>
          <t>1. Set up request shape: Cookie header.
2. Generate code for curl (UI Copy-as / MCP generate.code).
3. Run the generated snippet in a curl runtime against the same endpoint.</t>
        </is>
      </c>
      <c r="H3123" s="16" t="inlineStr">
        <is>
          <t>lang=curl shape=Cookies</t>
        </is>
      </c>
      <c r="I3123" s="16" t="inlineStr">
        <is>
          <t>Generated code is syntactically valid for curl; executes against the same endpoint and produces the same response. Variables are interpolated to their resolved values (not as literal '{{var}}'); secrets are masked or warning shown when copying.</t>
        </is>
      </c>
      <c r="J3123" s="16" t="inlineStr"/>
      <c r="K3123" s="16" t="inlineStr">
        <is>
          <t>Not Run</t>
        </is>
      </c>
      <c r="L3123" s="16" t="inlineStr">
        <is>
          <t>Medium</t>
        </is>
      </c>
      <c r="M3123" s="16" t="inlineStr"/>
      <c r="N3123" s="16" t="inlineStr"/>
      <c r="O3123" s="16" t="inlineStr"/>
    </row>
    <row r="3124" ht="72" customHeight="1">
      <c r="A3124" s="16" t="inlineStr">
        <is>
          <t>TC-CG-0017</t>
        </is>
      </c>
      <c r="B3124" s="16" t="inlineStr">
        <is>
          <t>Code Generation</t>
        </is>
      </c>
      <c r="C3124" s="16" t="inlineStr">
        <is>
          <t>curl</t>
        </is>
      </c>
      <c r="D3124" s="16" t="inlineStr">
        <is>
          <t>Functional</t>
        </is>
      </c>
      <c r="E3124" s="16" t="inlineStr">
        <is>
          <t>Codegen curl: Variable interpolation</t>
        </is>
      </c>
      <c r="F3124" s="16" t="inlineStr">
        <is>
          <t>-</t>
        </is>
      </c>
      <c r="G3124" s="16" t="inlineStr">
        <is>
          <t>1. Set up request shape: Resolved values.
2. Generate code for curl (UI Copy-as / MCP generate.code).
3. Run the generated snippet in a curl runtime against the same endpoint.</t>
        </is>
      </c>
      <c r="H3124" s="16" t="inlineStr">
        <is>
          <t>lang=curl shape=Variable interpolation</t>
        </is>
      </c>
      <c r="I3124" s="16" t="inlineStr">
        <is>
          <t>Generated code is syntactically valid for curl; executes against the same endpoint and produces the same response. Variables are interpolated to their resolved values (not as literal '{{var}}'); secrets are masked or warning shown when copying.</t>
        </is>
      </c>
      <c r="J3124" s="16" t="inlineStr"/>
      <c r="K3124" s="16" t="inlineStr">
        <is>
          <t>Not Run</t>
        </is>
      </c>
      <c r="L3124" s="16" t="inlineStr">
        <is>
          <t>Medium</t>
        </is>
      </c>
      <c r="M3124" s="16" t="inlineStr"/>
      <c r="N3124" s="16" t="inlineStr"/>
      <c r="O3124" s="16" t="inlineStr"/>
    </row>
    <row r="3125" ht="72" customHeight="1">
      <c r="A3125" s="16" t="inlineStr">
        <is>
          <t>TC-CG-0018</t>
        </is>
      </c>
      <c r="B3125" s="16" t="inlineStr">
        <is>
          <t>Code Generation</t>
        </is>
      </c>
      <c r="C3125" s="16" t="inlineStr">
        <is>
          <t>fetch (JS)</t>
        </is>
      </c>
      <c r="D3125" s="16" t="inlineStr">
        <is>
          <t>Functional</t>
        </is>
      </c>
      <c r="E3125" s="16" t="inlineStr">
        <is>
          <t>Codegen fetch (JS): Simple GET</t>
        </is>
      </c>
      <c r="F3125" s="16" t="inlineStr">
        <is>
          <t>-</t>
        </is>
      </c>
      <c r="G3125" s="16" t="inlineStr">
        <is>
          <t>1. Set up request shape: Just URL + method.
2. Generate code for fetch (JS) (UI Copy-as / MCP generate.code).
3. Run the generated snippet in a fetch (JS) runtime against the same endpoint.</t>
        </is>
      </c>
      <c r="H3125" s="16" t="inlineStr">
        <is>
          <t>lang=fetch (JS) shape=Simple GET</t>
        </is>
      </c>
      <c r="I3125" s="16" t="inlineStr">
        <is>
          <t>Generated code is syntactically valid for fetch (JS); executes against the same endpoint and produces the same response. Variables are interpolated to their resolved values (not as literal '{{var}}'); secrets are masked or warning shown when copying.</t>
        </is>
      </c>
      <c r="J3125" s="16" t="inlineStr"/>
      <c r="K3125" s="16" t="inlineStr">
        <is>
          <t>Not Run</t>
        </is>
      </c>
      <c r="L3125" s="16" t="inlineStr">
        <is>
          <t>High</t>
        </is>
      </c>
      <c r="M3125" s="16" t="inlineStr"/>
      <c r="N3125" s="16" t="inlineStr"/>
      <c r="O3125" s="16" t="inlineStr"/>
    </row>
    <row r="3126" ht="72" customHeight="1">
      <c r="A3126" s="16" t="inlineStr">
        <is>
          <t>TC-CG-0019</t>
        </is>
      </c>
      <c r="B3126" s="16" t="inlineStr">
        <is>
          <t>Code Generation</t>
        </is>
      </c>
      <c r="C3126" s="16" t="inlineStr">
        <is>
          <t>fetch (JS)</t>
        </is>
      </c>
      <c r="D3126" s="16" t="inlineStr">
        <is>
          <t>Functional</t>
        </is>
      </c>
      <c r="E3126" s="16" t="inlineStr">
        <is>
          <t>Codegen fetch (JS): POST JSON</t>
        </is>
      </c>
      <c r="F3126" s="16" t="inlineStr">
        <is>
          <t>-</t>
        </is>
      </c>
      <c r="G3126" s="16" t="inlineStr">
        <is>
          <t>1. Set up request shape: Body + headers.
2. Generate code for fetch (JS) (UI Copy-as / MCP generate.code).
3. Run the generated snippet in a fetch (JS) runtime against the same endpoint.</t>
        </is>
      </c>
      <c r="H3126" s="16" t="inlineStr">
        <is>
          <t>lang=fetch (JS) shape=POST JSON</t>
        </is>
      </c>
      <c r="I3126" s="16" t="inlineStr">
        <is>
          <t>Generated code is syntactically valid for fetch (JS); executes against the same endpoint and produces the same response. Variables are interpolated to their resolved values (not as literal '{{var}}'); secrets are masked or warning shown when copying.</t>
        </is>
      </c>
      <c r="J3126" s="16" t="inlineStr"/>
      <c r="K3126" s="16" t="inlineStr">
        <is>
          <t>Not Run</t>
        </is>
      </c>
      <c r="L3126" s="16" t="inlineStr">
        <is>
          <t>High</t>
        </is>
      </c>
      <c r="M3126" s="16" t="inlineStr"/>
      <c r="N3126" s="16" t="inlineStr"/>
      <c r="O3126" s="16" t="inlineStr"/>
    </row>
    <row r="3127" ht="72" customHeight="1">
      <c r="A3127" s="16" t="inlineStr">
        <is>
          <t>TC-CG-0020</t>
        </is>
      </c>
      <c r="B3127" s="16" t="inlineStr">
        <is>
          <t>Code Generation</t>
        </is>
      </c>
      <c r="C3127" s="16" t="inlineStr">
        <is>
          <t>fetch (JS)</t>
        </is>
      </c>
      <c r="D3127" s="16" t="inlineStr">
        <is>
          <t>Functional</t>
        </is>
      </c>
      <c r="E3127" s="16" t="inlineStr">
        <is>
          <t>Codegen fetch (JS): POST form-data</t>
        </is>
      </c>
      <c r="F3127" s="16" t="inlineStr">
        <is>
          <t>-</t>
        </is>
      </c>
      <c r="G3127" s="16" t="inlineStr">
        <is>
          <t>1. Set up request shape: Multipart.
2. Generate code for fetch (JS) (UI Copy-as / MCP generate.code).
3. Run the generated snippet in a fetch (JS) runtime against the same endpoint.</t>
        </is>
      </c>
      <c r="H3127" s="16" t="inlineStr">
        <is>
          <t>lang=fetch (JS) shape=POST form-data</t>
        </is>
      </c>
      <c r="I3127" s="16" t="inlineStr">
        <is>
          <t>Generated code is syntactically valid for fetch (JS); executes against the same endpoint and produces the same response. Variables are interpolated to their resolved values (not as literal '{{var}}'); secrets are masked or warning shown when copying.</t>
        </is>
      </c>
      <c r="J3127" s="16" t="inlineStr"/>
      <c r="K3127" s="16" t="inlineStr">
        <is>
          <t>Not Run</t>
        </is>
      </c>
      <c r="L3127" s="16" t="inlineStr">
        <is>
          <t>Medium</t>
        </is>
      </c>
      <c r="M3127" s="16" t="inlineStr"/>
      <c r="N3127" s="16" t="inlineStr"/>
      <c r="O3127" s="16" t="inlineStr"/>
    </row>
    <row r="3128" ht="72" customHeight="1">
      <c r="A3128" s="16" t="inlineStr">
        <is>
          <t>TC-CG-0021</t>
        </is>
      </c>
      <c r="B3128" s="16" t="inlineStr">
        <is>
          <t>Code Generation</t>
        </is>
      </c>
      <c r="C3128" s="16" t="inlineStr">
        <is>
          <t>fetch (JS)</t>
        </is>
      </c>
      <c r="D3128" s="16" t="inlineStr">
        <is>
          <t>Functional</t>
        </is>
      </c>
      <c r="E3128" s="16" t="inlineStr">
        <is>
          <t>Codegen fetch (JS): POST urlencoded</t>
        </is>
      </c>
      <c r="F3128" s="16" t="inlineStr">
        <is>
          <t>-</t>
        </is>
      </c>
      <c r="G3128" s="16" t="inlineStr">
        <is>
          <t>1. Set up request shape: x-www-form-urlencoded.
2. Generate code for fetch (JS) (UI Copy-as / MCP generate.code).
3. Run the generated snippet in a fetch (JS) runtime against the same endpoint.</t>
        </is>
      </c>
      <c r="H3128" s="16" t="inlineStr">
        <is>
          <t>lang=fetch (JS) shape=POST urlencoded</t>
        </is>
      </c>
      <c r="I3128" s="16" t="inlineStr">
        <is>
          <t>Generated code is syntactically valid for fetch (JS); executes against the same endpoint and produces the same response. Variables are interpolated to their resolved values (not as literal '{{var}}'); secrets are masked or warning shown when copying.</t>
        </is>
      </c>
      <c r="J3128" s="16" t="inlineStr"/>
      <c r="K3128" s="16" t="inlineStr">
        <is>
          <t>Not Run</t>
        </is>
      </c>
      <c r="L3128" s="16" t="inlineStr">
        <is>
          <t>Medium</t>
        </is>
      </c>
      <c r="M3128" s="16" t="inlineStr"/>
      <c r="N3128" s="16" t="inlineStr"/>
      <c r="O3128" s="16" t="inlineStr"/>
    </row>
    <row r="3129" ht="72" customHeight="1">
      <c r="A3129" s="16" t="inlineStr">
        <is>
          <t>TC-CG-0022</t>
        </is>
      </c>
      <c r="B3129" s="16" t="inlineStr">
        <is>
          <t>Code Generation</t>
        </is>
      </c>
      <c r="C3129" s="16" t="inlineStr">
        <is>
          <t>fetch (JS)</t>
        </is>
      </c>
      <c r="D3129" s="16" t="inlineStr">
        <is>
          <t>Functional</t>
        </is>
      </c>
      <c r="E3129" s="16" t="inlineStr">
        <is>
          <t>Codegen fetch (JS): File upload</t>
        </is>
      </c>
      <c r="F3129" s="16" t="inlineStr">
        <is>
          <t>-</t>
        </is>
      </c>
      <c r="G3129" s="16" t="inlineStr">
        <is>
          <t>1. Set up request shape: Binary.
2. Generate code for fetch (JS) (UI Copy-as / MCP generate.code).
3. Run the generated snippet in a fetch (JS) runtime against the same endpoint.</t>
        </is>
      </c>
      <c r="H3129" s="16" t="inlineStr">
        <is>
          <t>lang=fetch (JS) shape=File upload</t>
        </is>
      </c>
      <c r="I3129" s="16" t="inlineStr">
        <is>
          <t>Generated code is syntactically valid for fetch (JS); executes against the same endpoint and produces the same response. Variables are interpolated to their resolved values (not as literal '{{var}}'); secrets are masked or warning shown when copying.</t>
        </is>
      </c>
      <c r="J3129" s="16" t="inlineStr"/>
      <c r="K3129" s="16" t="inlineStr">
        <is>
          <t>Not Run</t>
        </is>
      </c>
      <c r="L3129" s="16" t="inlineStr">
        <is>
          <t>Medium</t>
        </is>
      </c>
      <c r="M3129" s="16" t="inlineStr"/>
      <c r="N3129" s="16" t="inlineStr"/>
      <c r="O3129" s="16" t="inlineStr"/>
    </row>
    <row r="3130" ht="72" customHeight="1">
      <c r="A3130" s="16" t="inlineStr">
        <is>
          <t>TC-CG-0023</t>
        </is>
      </c>
      <c r="B3130" s="16" t="inlineStr">
        <is>
          <t>Code Generation</t>
        </is>
      </c>
      <c r="C3130" s="16" t="inlineStr">
        <is>
          <t>fetch (JS)</t>
        </is>
      </c>
      <c r="D3130" s="16" t="inlineStr">
        <is>
          <t>Functional</t>
        </is>
      </c>
      <c r="E3130" s="16" t="inlineStr">
        <is>
          <t>Codegen fetch (JS): GraphQL</t>
        </is>
      </c>
      <c r="F3130" s="16" t="inlineStr">
        <is>
          <t>-</t>
        </is>
      </c>
      <c r="G3130" s="16" t="inlineStr">
        <is>
          <t>1. Set up request shape: Query + variables.
2. Generate code for fetch (JS) (UI Copy-as / MCP generate.code).
3. Run the generated snippet in a fetch (JS) runtime against the same endpoint.</t>
        </is>
      </c>
      <c r="H3130" s="16" t="inlineStr">
        <is>
          <t>lang=fetch (JS) shape=GraphQL</t>
        </is>
      </c>
      <c r="I3130" s="16" t="inlineStr">
        <is>
          <t>Generated code is syntactically valid for fetch (JS); executes against the same endpoint and produces the same response. Variables are interpolated to their resolved values (not as literal '{{var}}'); secrets are masked or warning shown when copying.</t>
        </is>
      </c>
      <c r="J3130" s="16" t="inlineStr"/>
      <c r="K3130" s="16" t="inlineStr">
        <is>
          <t>Not Run</t>
        </is>
      </c>
      <c r="L3130" s="16" t="inlineStr">
        <is>
          <t>Medium</t>
        </is>
      </c>
      <c r="M3130" s="16" t="inlineStr"/>
      <c r="N3130" s="16" t="inlineStr"/>
      <c r="O3130" s="16" t="inlineStr"/>
    </row>
    <row r="3131" ht="72" customHeight="1">
      <c r="A3131" s="16" t="inlineStr">
        <is>
          <t>TC-CG-0024</t>
        </is>
      </c>
      <c r="B3131" s="16" t="inlineStr">
        <is>
          <t>Code Generation</t>
        </is>
      </c>
      <c r="C3131" s="16" t="inlineStr">
        <is>
          <t>fetch (JS)</t>
        </is>
      </c>
      <c r="D3131" s="16" t="inlineStr">
        <is>
          <t>Functional</t>
        </is>
      </c>
      <c r="E3131" s="16" t="inlineStr">
        <is>
          <t>Codegen fetch (JS): Bearer auth</t>
        </is>
      </c>
      <c r="F3131" s="16" t="inlineStr">
        <is>
          <t>-</t>
        </is>
      </c>
      <c r="G3131" s="16" t="inlineStr">
        <is>
          <t>1. Set up request shape: Authorization header.
2. Generate code for fetch (JS) (UI Copy-as / MCP generate.code).
3. Run the generated snippet in a fetch (JS) runtime against the same endpoint.</t>
        </is>
      </c>
      <c r="H3131" s="16" t="inlineStr">
        <is>
          <t>lang=fetch (JS) shape=Bearer auth</t>
        </is>
      </c>
      <c r="I3131" s="16" t="inlineStr">
        <is>
          <t>Generated code is syntactically valid for fetch (JS); executes against the same endpoint and produces the same response. Variables are interpolated to their resolved values (not as literal '{{var}}'); secrets are masked or warning shown when copying.</t>
        </is>
      </c>
      <c r="J3131" s="16" t="inlineStr"/>
      <c r="K3131" s="16" t="inlineStr">
        <is>
          <t>Not Run</t>
        </is>
      </c>
      <c r="L3131" s="16" t="inlineStr">
        <is>
          <t>High</t>
        </is>
      </c>
      <c r="M3131" s="16" t="inlineStr"/>
      <c r="N3131" s="16" t="inlineStr"/>
      <c r="O3131" s="16" t="inlineStr"/>
    </row>
    <row r="3132" ht="72" customHeight="1">
      <c r="A3132" s="16" t="inlineStr">
        <is>
          <t>TC-CG-0025</t>
        </is>
      </c>
      <c r="B3132" s="16" t="inlineStr">
        <is>
          <t>Code Generation</t>
        </is>
      </c>
      <c r="C3132" s="16" t="inlineStr">
        <is>
          <t>fetch (JS)</t>
        </is>
      </c>
      <c r="D3132" s="16" t="inlineStr">
        <is>
          <t>Functional</t>
        </is>
      </c>
      <c r="E3132" s="16" t="inlineStr">
        <is>
          <t>Codegen fetch (JS): Basic auth</t>
        </is>
      </c>
      <c r="F3132" s="16" t="inlineStr">
        <is>
          <t>-</t>
        </is>
      </c>
      <c r="G3132" s="16" t="inlineStr">
        <is>
          <t>1. Set up request shape: user:pass.
2. Generate code for fetch (JS) (UI Copy-as / MCP generate.code).
3. Run the generated snippet in a fetch (JS) runtime against the same endpoint.</t>
        </is>
      </c>
      <c r="H3132" s="16" t="inlineStr">
        <is>
          <t>lang=fetch (JS) shape=Basic auth</t>
        </is>
      </c>
      <c r="I3132" s="16" t="inlineStr">
        <is>
          <t>Generated code is syntactically valid for fetch (JS); executes against the same endpoint and produces the same response. Variables are interpolated to their resolved values (not as literal '{{var}}'); secrets are masked or warning shown when copying.</t>
        </is>
      </c>
      <c r="J3132" s="16" t="inlineStr"/>
      <c r="K3132" s="16" t="inlineStr">
        <is>
          <t>Not Run</t>
        </is>
      </c>
      <c r="L3132" s="16" t="inlineStr">
        <is>
          <t>Medium</t>
        </is>
      </c>
      <c r="M3132" s="16" t="inlineStr"/>
      <c r="N3132" s="16" t="inlineStr"/>
      <c r="O3132" s="16" t="inlineStr"/>
    </row>
    <row r="3133" ht="72" customHeight="1">
      <c r="A3133" s="16" t="inlineStr">
        <is>
          <t>TC-CG-0026</t>
        </is>
      </c>
      <c r="B3133" s="16" t="inlineStr">
        <is>
          <t>Code Generation</t>
        </is>
      </c>
      <c r="C3133" s="16" t="inlineStr">
        <is>
          <t>fetch (JS)</t>
        </is>
      </c>
      <c r="D3133" s="16" t="inlineStr">
        <is>
          <t>Functional</t>
        </is>
      </c>
      <c r="E3133" s="16" t="inlineStr">
        <is>
          <t>Codegen fetch (JS): API Key header</t>
        </is>
      </c>
      <c r="F3133" s="16" t="inlineStr">
        <is>
          <t>-</t>
        </is>
      </c>
      <c r="G3133" s="16" t="inlineStr">
        <is>
          <t>1. Set up request shape: Custom header.
2. Generate code for fetch (JS) (UI Copy-as / MCP generate.code).
3. Run the generated snippet in a fetch (JS) runtime against the same endpoint.</t>
        </is>
      </c>
      <c r="H3133" s="16" t="inlineStr">
        <is>
          <t>lang=fetch (JS) shape=API Key header</t>
        </is>
      </c>
      <c r="I3133" s="16" t="inlineStr">
        <is>
          <t>Generated code is syntactically valid for fetch (JS); executes against the same endpoint and produces the same response. Variables are interpolated to their resolved values (not as literal '{{var}}'); secrets are masked or warning shown when copying.</t>
        </is>
      </c>
      <c r="J3133" s="16" t="inlineStr"/>
      <c r="K3133" s="16" t="inlineStr">
        <is>
          <t>Not Run</t>
        </is>
      </c>
      <c r="L3133" s="16" t="inlineStr">
        <is>
          <t>Medium</t>
        </is>
      </c>
      <c r="M3133" s="16" t="inlineStr"/>
      <c r="N3133" s="16" t="inlineStr"/>
      <c r="O3133" s="16" t="inlineStr"/>
    </row>
    <row r="3134" ht="72" customHeight="1">
      <c r="A3134" s="16" t="inlineStr">
        <is>
          <t>TC-CG-0027</t>
        </is>
      </c>
      <c r="B3134" s="16" t="inlineStr">
        <is>
          <t>Code Generation</t>
        </is>
      </c>
      <c r="C3134" s="16" t="inlineStr">
        <is>
          <t>fetch (JS)</t>
        </is>
      </c>
      <c r="D3134" s="16" t="inlineStr">
        <is>
          <t>Functional</t>
        </is>
      </c>
      <c r="E3134" s="16" t="inlineStr">
        <is>
          <t>Codegen fetch (JS): API Key query</t>
        </is>
      </c>
      <c r="F3134" s="16" t="inlineStr">
        <is>
          <t>-</t>
        </is>
      </c>
      <c r="G3134" s="16" t="inlineStr">
        <is>
          <t>1. Set up request shape: Query param.
2. Generate code for fetch (JS) (UI Copy-as / MCP generate.code).
3. Run the generated snippet in a fetch (JS) runtime against the same endpoint.</t>
        </is>
      </c>
      <c r="H3134" s="16" t="inlineStr">
        <is>
          <t>lang=fetch (JS) shape=API Key query</t>
        </is>
      </c>
      <c r="I3134" s="16" t="inlineStr">
        <is>
          <t>Generated code is syntactically valid for fetch (JS); executes against the same endpoint and produces the same response. Variables are interpolated to their resolved values (not as literal '{{var}}'); secrets are masked or warning shown when copying.</t>
        </is>
      </c>
      <c r="J3134" s="16" t="inlineStr"/>
      <c r="K3134" s="16" t="inlineStr">
        <is>
          <t>Not Run</t>
        </is>
      </c>
      <c r="L3134" s="16" t="inlineStr">
        <is>
          <t>Medium</t>
        </is>
      </c>
      <c r="M3134" s="16" t="inlineStr"/>
      <c r="N3134" s="16" t="inlineStr"/>
      <c r="O3134" s="16" t="inlineStr"/>
    </row>
    <row r="3135" ht="72" customHeight="1">
      <c r="A3135" s="16" t="inlineStr">
        <is>
          <t>TC-CG-0028</t>
        </is>
      </c>
      <c r="B3135" s="16" t="inlineStr">
        <is>
          <t>Code Generation</t>
        </is>
      </c>
      <c r="C3135" s="16" t="inlineStr">
        <is>
          <t>fetch (JS)</t>
        </is>
      </c>
      <c r="D3135" s="16" t="inlineStr">
        <is>
          <t>Functional</t>
        </is>
      </c>
      <c r="E3135" s="16" t="inlineStr">
        <is>
          <t>Codegen fetch (JS): OAuth2 (with token)</t>
        </is>
      </c>
      <c r="F3135" s="16" t="inlineStr">
        <is>
          <t>-</t>
        </is>
      </c>
      <c r="G3135" s="16" t="inlineStr">
        <is>
          <t>1. Set up request shape: Token attached.
2. Generate code for fetch (JS) (UI Copy-as / MCP generate.code).
3. Run the generated snippet in a fetch (JS) runtime against the same endpoint.</t>
        </is>
      </c>
      <c r="H3135" s="16" t="inlineStr">
        <is>
          <t>lang=fetch (JS) shape=OAuth2 (with token)</t>
        </is>
      </c>
      <c r="I3135" s="16" t="inlineStr">
        <is>
          <t>Generated code is syntactically valid for fetch (JS); executes against the same endpoint and produces the same response. Variables are interpolated to their resolved values (not as literal '{{var}}'); secrets are masked or warning shown when copying.</t>
        </is>
      </c>
      <c r="J3135" s="16" t="inlineStr"/>
      <c r="K3135" s="16" t="inlineStr">
        <is>
          <t>Not Run</t>
        </is>
      </c>
      <c r="L3135" s="16" t="inlineStr">
        <is>
          <t>High</t>
        </is>
      </c>
      <c r="M3135" s="16" t="inlineStr"/>
      <c r="N3135" s="16" t="inlineStr"/>
      <c r="O3135" s="16" t="inlineStr"/>
    </row>
    <row r="3136" ht="72" customHeight="1">
      <c r="A3136" s="16" t="inlineStr">
        <is>
          <t>TC-CG-0029</t>
        </is>
      </c>
      <c r="B3136" s="16" t="inlineStr">
        <is>
          <t>Code Generation</t>
        </is>
      </c>
      <c r="C3136" s="16" t="inlineStr">
        <is>
          <t>fetch (JS)</t>
        </is>
      </c>
      <c r="D3136" s="16" t="inlineStr">
        <is>
          <t>Functional</t>
        </is>
      </c>
      <c r="E3136" s="16" t="inlineStr">
        <is>
          <t>Codegen fetch (JS): AWS SigV4</t>
        </is>
      </c>
      <c r="F3136" s="16" t="inlineStr">
        <is>
          <t>-</t>
        </is>
      </c>
      <c r="G3136" s="16" t="inlineStr">
        <is>
          <t>1. Set up request shape: Signed request.
2. Generate code for fetch (JS) (UI Copy-as / MCP generate.code).
3. Run the generated snippet in a fetch (JS) runtime against the same endpoint.</t>
        </is>
      </c>
      <c r="H3136" s="16" t="inlineStr">
        <is>
          <t>lang=fetch (JS) shape=AWS SigV4</t>
        </is>
      </c>
      <c r="I3136" s="16" t="inlineStr">
        <is>
          <t>Generated code is syntactically valid for fetch (JS); executes against the same endpoint and produces the same response. Variables are interpolated to their resolved values (not as literal '{{var}}'); secrets are masked or warning shown when copying.</t>
        </is>
      </c>
      <c r="J3136" s="16" t="inlineStr"/>
      <c r="K3136" s="16" t="inlineStr">
        <is>
          <t>Not Run</t>
        </is>
      </c>
      <c r="L3136" s="16" t="inlineStr">
        <is>
          <t>Medium</t>
        </is>
      </c>
      <c r="M3136" s="16" t="inlineStr"/>
      <c r="N3136" s="16" t="inlineStr"/>
      <c r="O3136" s="16" t="inlineStr"/>
    </row>
    <row r="3137" ht="72" customHeight="1">
      <c r="A3137" s="16" t="inlineStr">
        <is>
          <t>TC-CG-0030</t>
        </is>
      </c>
      <c r="B3137" s="16" t="inlineStr">
        <is>
          <t>Code Generation</t>
        </is>
      </c>
      <c r="C3137" s="16" t="inlineStr">
        <is>
          <t>fetch (JS)</t>
        </is>
      </c>
      <c r="D3137" s="16" t="inlineStr">
        <is>
          <t>Functional</t>
        </is>
      </c>
      <c r="E3137" s="16" t="inlineStr">
        <is>
          <t>Codegen fetch (JS): Custom headers</t>
        </is>
      </c>
      <c r="F3137" s="16" t="inlineStr">
        <is>
          <t>-</t>
        </is>
      </c>
      <c r="G3137" s="16" t="inlineStr">
        <is>
          <t>1. Set up request shape: User-set.
2. Generate code for fetch (JS) (UI Copy-as / MCP generate.code).
3. Run the generated snippet in a fetch (JS) runtime against the same endpoint.</t>
        </is>
      </c>
      <c r="H3137" s="16" t="inlineStr">
        <is>
          <t>lang=fetch (JS) shape=Custom headers</t>
        </is>
      </c>
      <c r="I3137" s="16" t="inlineStr">
        <is>
          <t>Generated code is syntactically valid for fetch (JS); executes against the same endpoint and produces the same response. Variables are interpolated to their resolved values (not as literal '{{var}}'); secrets are masked or warning shown when copying.</t>
        </is>
      </c>
      <c r="J3137" s="16" t="inlineStr"/>
      <c r="K3137" s="16" t="inlineStr">
        <is>
          <t>Not Run</t>
        </is>
      </c>
      <c r="L3137" s="16" t="inlineStr">
        <is>
          <t>Medium</t>
        </is>
      </c>
      <c r="M3137" s="16" t="inlineStr"/>
      <c r="N3137" s="16" t="inlineStr"/>
      <c r="O3137" s="16" t="inlineStr"/>
    </row>
    <row r="3138" ht="72" customHeight="1">
      <c r="A3138" s="16" t="inlineStr">
        <is>
          <t>TC-CG-0031</t>
        </is>
      </c>
      <c r="B3138" s="16" t="inlineStr">
        <is>
          <t>Code Generation</t>
        </is>
      </c>
      <c r="C3138" s="16" t="inlineStr">
        <is>
          <t>fetch (JS)</t>
        </is>
      </c>
      <c r="D3138" s="16" t="inlineStr">
        <is>
          <t>Functional</t>
        </is>
      </c>
      <c r="E3138" s="16" t="inlineStr">
        <is>
          <t>Codegen fetch (JS): Path params</t>
        </is>
      </c>
      <c r="F3138" s="16" t="inlineStr">
        <is>
          <t>-</t>
        </is>
      </c>
      <c r="G3138" s="16" t="inlineStr">
        <is>
          <t>1. Set up request shape: URL with {id}.
2. Generate code for fetch (JS) (UI Copy-as / MCP generate.code).
3. Run the generated snippet in a fetch (JS) runtime against the same endpoint.</t>
        </is>
      </c>
      <c r="H3138" s="16" t="inlineStr">
        <is>
          <t>lang=fetch (JS) shape=Path params</t>
        </is>
      </c>
      <c r="I3138" s="16" t="inlineStr">
        <is>
          <t>Generated code is syntactically valid for fetch (JS); executes against the same endpoint and produces the same response. Variables are interpolated to their resolved values (not as literal '{{var}}'); secrets are masked or warning shown when copying.</t>
        </is>
      </c>
      <c r="J3138" s="16" t="inlineStr"/>
      <c r="K3138" s="16" t="inlineStr">
        <is>
          <t>Not Run</t>
        </is>
      </c>
      <c r="L3138" s="16" t="inlineStr">
        <is>
          <t>Medium</t>
        </is>
      </c>
      <c r="M3138" s="16" t="inlineStr"/>
      <c r="N3138" s="16" t="inlineStr"/>
      <c r="O3138" s="16" t="inlineStr"/>
    </row>
    <row r="3139" ht="72" customHeight="1">
      <c r="A3139" s="16" t="inlineStr">
        <is>
          <t>TC-CG-0032</t>
        </is>
      </c>
      <c r="B3139" s="16" t="inlineStr">
        <is>
          <t>Code Generation</t>
        </is>
      </c>
      <c r="C3139" s="16" t="inlineStr">
        <is>
          <t>fetch (JS)</t>
        </is>
      </c>
      <c r="D3139" s="16" t="inlineStr">
        <is>
          <t>Functional</t>
        </is>
      </c>
      <c r="E3139" s="16" t="inlineStr">
        <is>
          <t>Codegen fetch (JS): Query params with arrays</t>
        </is>
      </c>
      <c r="F3139" s="16" t="inlineStr">
        <is>
          <t>-</t>
        </is>
      </c>
      <c r="G3139" s="16" t="inlineStr">
        <is>
          <t>1. Set up request shape: ?a=1&amp;a=2.
2. Generate code for fetch (JS) (UI Copy-as / MCP generate.code).
3. Run the generated snippet in a fetch (JS) runtime against the same endpoint.</t>
        </is>
      </c>
      <c r="H3139" s="16" t="inlineStr">
        <is>
          <t>lang=fetch (JS) shape=Query params with arrays</t>
        </is>
      </c>
      <c r="I3139" s="16" t="inlineStr">
        <is>
          <t>Generated code is syntactically valid for fetch (JS); executes against the same endpoint and produces the same response. Variables are interpolated to their resolved values (not as literal '{{var}}'); secrets are masked or warning shown when copying.</t>
        </is>
      </c>
      <c r="J3139" s="16" t="inlineStr"/>
      <c r="K3139" s="16" t="inlineStr">
        <is>
          <t>Not Run</t>
        </is>
      </c>
      <c r="L3139" s="16" t="inlineStr">
        <is>
          <t>Medium</t>
        </is>
      </c>
      <c r="M3139" s="16" t="inlineStr"/>
      <c r="N3139" s="16" t="inlineStr"/>
      <c r="O3139" s="16" t="inlineStr"/>
    </row>
    <row r="3140" ht="72" customHeight="1">
      <c r="A3140" s="16" t="inlineStr">
        <is>
          <t>TC-CG-0033</t>
        </is>
      </c>
      <c r="B3140" s="16" t="inlineStr">
        <is>
          <t>Code Generation</t>
        </is>
      </c>
      <c r="C3140" s="16" t="inlineStr">
        <is>
          <t>fetch (JS)</t>
        </is>
      </c>
      <c r="D3140" s="16" t="inlineStr">
        <is>
          <t>Functional</t>
        </is>
      </c>
      <c r="E3140" s="16" t="inlineStr">
        <is>
          <t>Codegen fetch (JS): Cookies</t>
        </is>
      </c>
      <c r="F3140" s="16" t="inlineStr">
        <is>
          <t>-</t>
        </is>
      </c>
      <c r="G3140" s="16" t="inlineStr">
        <is>
          <t>1. Set up request shape: Cookie header.
2. Generate code for fetch (JS) (UI Copy-as / MCP generate.code).
3. Run the generated snippet in a fetch (JS) runtime against the same endpoint.</t>
        </is>
      </c>
      <c r="H3140" s="16" t="inlineStr">
        <is>
          <t>lang=fetch (JS) shape=Cookies</t>
        </is>
      </c>
      <c r="I3140" s="16" t="inlineStr">
        <is>
          <t>Generated code is syntactically valid for fetch (JS); executes against the same endpoint and produces the same response. Variables are interpolated to their resolved values (not as literal '{{var}}'); secrets are masked or warning shown when copying.</t>
        </is>
      </c>
      <c r="J3140" s="16" t="inlineStr"/>
      <c r="K3140" s="16" t="inlineStr">
        <is>
          <t>Not Run</t>
        </is>
      </c>
      <c r="L3140" s="16" t="inlineStr">
        <is>
          <t>Medium</t>
        </is>
      </c>
      <c r="M3140" s="16" t="inlineStr"/>
      <c r="N3140" s="16" t="inlineStr"/>
      <c r="O3140" s="16" t="inlineStr"/>
    </row>
    <row r="3141" ht="72" customHeight="1">
      <c r="A3141" s="16" t="inlineStr">
        <is>
          <t>TC-CG-0034</t>
        </is>
      </c>
      <c r="B3141" s="16" t="inlineStr">
        <is>
          <t>Code Generation</t>
        </is>
      </c>
      <c r="C3141" s="16" t="inlineStr">
        <is>
          <t>fetch (JS)</t>
        </is>
      </c>
      <c r="D3141" s="16" t="inlineStr">
        <is>
          <t>Functional</t>
        </is>
      </c>
      <c r="E3141" s="16" t="inlineStr">
        <is>
          <t>Codegen fetch (JS): Variable interpolation</t>
        </is>
      </c>
      <c r="F3141" s="16" t="inlineStr">
        <is>
          <t>-</t>
        </is>
      </c>
      <c r="G3141" s="16" t="inlineStr">
        <is>
          <t>1. Set up request shape: Resolved values.
2. Generate code for fetch (JS) (UI Copy-as / MCP generate.code).
3. Run the generated snippet in a fetch (JS) runtime against the same endpoint.</t>
        </is>
      </c>
      <c r="H3141" s="16" t="inlineStr">
        <is>
          <t>lang=fetch (JS) shape=Variable interpolation</t>
        </is>
      </c>
      <c r="I3141" s="16" t="inlineStr">
        <is>
          <t>Generated code is syntactically valid for fetch (JS); executes against the same endpoint and produces the same response. Variables are interpolated to their resolved values (not as literal '{{var}}'); secrets are masked or warning shown when copying.</t>
        </is>
      </c>
      <c r="J3141" s="16" t="inlineStr"/>
      <c r="K3141" s="16" t="inlineStr">
        <is>
          <t>Not Run</t>
        </is>
      </c>
      <c r="L3141" s="16" t="inlineStr">
        <is>
          <t>Medium</t>
        </is>
      </c>
      <c r="M3141" s="16" t="inlineStr"/>
      <c r="N3141" s="16" t="inlineStr"/>
      <c r="O3141" s="16" t="inlineStr"/>
    </row>
    <row r="3142" ht="72" customHeight="1">
      <c r="A3142" s="16" t="inlineStr">
        <is>
          <t>TC-CG-0035</t>
        </is>
      </c>
      <c r="B3142" s="16" t="inlineStr">
        <is>
          <t>Code Generation</t>
        </is>
      </c>
      <c r="C3142" s="16" t="inlineStr">
        <is>
          <t>axios (JS)</t>
        </is>
      </c>
      <c r="D3142" s="16" t="inlineStr">
        <is>
          <t>Functional</t>
        </is>
      </c>
      <c r="E3142" s="16" t="inlineStr">
        <is>
          <t>Codegen axios (JS): Simple GET</t>
        </is>
      </c>
      <c r="F3142" s="16" t="inlineStr">
        <is>
          <t>-</t>
        </is>
      </c>
      <c r="G3142" s="16" t="inlineStr">
        <is>
          <t>1. Set up request shape: Just URL + method.
2. Generate code for axios (JS) (UI Copy-as / MCP generate.code).
3. Run the generated snippet in a axios (JS) runtime against the same endpoint.</t>
        </is>
      </c>
      <c r="H3142" s="16" t="inlineStr">
        <is>
          <t>lang=axios (JS) shape=Simple GET</t>
        </is>
      </c>
      <c r="I3142" s="16" t="inlineStr">
        <is>
          <t>Generated code is syntactically valid for axios (JS); executes against the same endpoint and produces the same response. Variables are interpolated to their resolved values (not as literal '{{var}}'); secrets are masked or warning shown when copying.</t>
        </is>
      </c>
      <c r="J3142" s="16" t="inlineStr"/>
      <c r="K3142" s="16" t="inlineStr">
        <is>
          <t>Not Run</t>
        </is>
      </c>
      <c r="L3142" s="16" t="inlineStr">
        <is>
          <t>Medium</t>
        </is>
      </c>
      <c r="M3142" s="16" t="inlineStr"/>
      <c r="N3142" s="16" t="inlineStr"/>
      <c r="O3142" s="16" t="inlineStr"/>
    </row>
    <row r="3143" ht="72" customHeight="1">
      <c r="A3143" s="16" t="inlineStr">
        <is>
          <t>TC-CG-0036</t>
        </is>
      </c>
      <c r="B3143" s="16" t="inlineStr">
        <is>
          <t>Code Generation</t>
        </is>
      </c>
      <c r="C3143" s="16" t="inlineStr">
        <is>
          <t>axios (JS)</t>
        </is>
      </c>
      <c r="D3143" s="16" t="inlineStr">
        <is>
          <t>Functional</t>
        </is>
      </c>
      <c r="E3143" s="16" t="inlineStr">
        <is>
          <t>Codegen axios (JS): POST JSON</t>
        </is>
      </c>
      <c r="F3143" s="16" t="inlineStr">
        <is>
          <t>-</t>
        </is>
      </c>
      <c r="G3143" s="16" t="inlineStr">
        <is>
          <t>1. Set up request shape: Body + headers.
2. Generate code for axios (JS) (UI Copy-as / MCP generate.code).
3. Run the generated snippet in a axios (JS) runtime against the same endpoint.</t>
        </is>
      </c>
      <c r="H3143" s="16" t="inlineStr">
        <is>
          <t>lang=axios (JS) shape=POST JSON</t>
        </is>
      </c>
      <c r="I3143" s="16" t="inlineStr">
        <is>
          <t>Generated code is syntactically valid for axios (JS); executes against the same endpoint and produces the same response. Variables are interpolated to their resolved values (not as literal '{{var}}'); secrets are masked or warning shown when copying.</t>
        </is>
      </c>
      <c r="J3143" s="16" t="inlineStr"/>
      <c r="K3143" s="16" t="inlineStr">
        <is>
          <t>Not Run</t>
        </is>
      </c>
      <c r="L3143" s="16" t="inlineStr">
        <is>
          <t>Medium</t>
        </is>
      </c>
      <c r="M3143" s="16" t="inlineStr"/>
      <c r="N3143" s="16" t="inlineStr"/>
      <c r="O3143" s="16" t="inlineStr"/>
    </row>
    <row r="3144" ht="72" customHeight="1">
      <c r="A3144" s="16" t="inlineStr">
        <is>
          <t>TC-CG-0037</t>
        </is>
      </c>
      <c r="B3144" s="16" t="inlineStr">
        <is>
          <t>Code Generation</t>
        </is>
      </c>
      <c r="C3144" s="16" t="inlineStr">
        <is>
          <t>axios (JS)</t>
        </is>
      </c>
      <c r="D3144" s="16" t="inlineStr">
        <is>
          <t>Functional</t>
        </is>
      </c>
      <c r="E3144" s="16" t="inlineStr">
        <is>
          <t>Codegen axios (JS): POST form-data</t>
        </is>
      </c>
      <c r="F3144" s="16" t="inlineStr">
        <is>
          <t>-</t>
        </is>
      </c>
      <c r="G3144" s="16" t="inlineStr">
        <is>
          <t>1. Set up request shape: Multipart.
2. Generate code for axios (JS) (UI Copy-as / MCP generate.code).
3. Run the generated snippet in a axios (JS) runtime against the same endpoint.</t>
        </is>
      </c>
      <c r="H3144" s="16" t="inlineStr">
        <is>
          <t>lang=axios (JS) shape=POST form-data</t>
        </is>
      </c>
      <c r="I3144" s="16" t="inlineStr">
        <is>
          <t>Generated code is syntactically valid for axios (JS); executes against the same endpoint and produces the same response. Variables are interpolated to their resolved values (not as literal '{{var}}'); secrets are masked or warning shown when copying.</t>
        </is>
      </c>
      <c r="J3144" s="16" t="inlineStr"/>
      <c r="K3144" s="16" t="inlineStr">
        <is>
          <t>Not Run</t>
        </is>
      </c>
      <c r="L3144" s="16" t="inlineStr">
        <is>
          <t>Medium</t>
        </is>
      </c>
      <c r="M3144" s="16" t="inlineStr"/>
      <c r="N3144" s="16" t="inlineStr"/>
      <c r="O3144" s="16" t="inlineStr"/>
    </row>
    <row r="3145" ht="72" customHeight="1">
      <c r="A3145" s="16" t="inlineStr">
        <is>
          <t>TC-CG-0038</t>
        </is>
      </c>
      <c r="B3145" s="16" t="inlineStr">
        <is>
          <t>Code Generation</t>
        </is>
      </c>
      <c r="C3145" s="16" t="inlineStr">
        <is>
          <t>axios (JS)</t>
        </is>
      </c>
      <c r="D3145" s="16" t="inlineStr">
        <is>
          <t>Functional</t>
        </is>
      </c>
      <c r="E3145" s="16" t="inlineStr">
        <is>
          <t>Codegen axios (JS): POST urlencoded</t>
        </is>
      </c>
      <c r="F3145" s="16" t="inlineStr">
        <is>
          <t>-</t>
        </is>
      </c>
      <c r="G3145" s="16" t="inlineStr">
        <is>
          <t>1. Set up request shape: x-www-form-urlencoded.
2. Generate code for axios (JS) (UI Copy-as / MCP generate.code).
3. Run the generated snippet in a axios (JS) runtime against the same endpoint.</t>
        </is>
      </c>
      <c r="H3145" s="16" t="inlineStr">
        <is>
          <t>lang=axios (JS) shape=POST urlencoded</t>
        </is>
      </c>
      <c r="I3145" s="16" t="inlineStr">
        <is>
          <t>Generated code is syntactically valid for axios (JS); executes against the same endpoint and produces the same response. Variables are interpolated to their resolved values (not as literal '{{var}}'); secrets are masked or warning shown when copying.</t>
        </is>
      </c>
      <c r="J3145" s="16" t="inlineStr"/>
      <c r="K3145" s="16" t="inlineStr">
        <is>
          <t>Not Run</t>
        </is>
      </c>
      <c r="L3145" s="16" t="inlineStr">
        <is>
          <t>Medium</t>
        </is>
      </c>
      <c r="M3145" s="16" t="inlineStr"/>
      <c r="N3145" s="16" t="inlineStr"/>
      <c r="O3145" s="16" t="inlineStr"/>
    </row>
    <row r="3146" ht="72" customHeight="1">
      <c r="A3146" s="16" t="inlineStr">
        <is>
          <t>TC-CG-0039</t>
        </is>
      </c>
      <c r="B3146" s="16" t="inlineStr">
        <is>
          <t>Code Generation</t>
        </is>
      </c>
      <c r="C3146" s="16" t="inlineStr">
        <is>
          <t>axios (JS)</t>
        </is>
      </c>
      <c r="D3146" s="16" t="inlineStr">
        <is>
          <t>Functional</t>
        </is>
      </c>
      <c r="E3146" s="16" t="inlineStr">
        <is>
          <t>Codegen axios (JS): File upload</t>
        </is>
      </c>
      <c r="F3146" s="16" t="inlineStr">
        <is>
          <t>-</t>
        </is>
      </c>
      <c r="G3146" s="16" t="inlineStr">
        <is>
          <t>1. Set up request shape: Binary.
2. Generate code for axios (JS) (UI Copy-as / MCP generate.code).
3. Run the generated snippet in a axios (JS) runtime against the same endpoint.</t>
        </is>
      </c>
      <c r="H3146" s="16" t="inlineStr">
        <is>
          <t>lang=axios (JS) shape=File upload</t>
        </is>
      </c>
      <c r="I3146" s="16" t="inlineStr">
        <is>
          <t>Generated code is syntactically valid for axios (JS); executes against the same endpoint and produces the same response. Variables are interpolated to their resolved values (not as literal '{{var}}'); secrets are masked or warning shown when copying.</t>
        </is>
      </c>
      <c r="J3146" s="16" t="inlineStr"/>
      <c r="K3146" s="16" t="inlineStr">
        <is>
          <t>Not Run</t>
        </is>
      </c>
      <c r="L3146" s="16" t="inlineStr">
        <is>
          <t>Medium</t>
        </is>
      </c>
      <c r="M3146" s="16" t="inlineStr"/>
      <c r="N3146" s="16" t="inlineStr"/>
      <c r="O3146" s="16" t="inlineStr"/>
    </row>
    <row r="3147" ht="72" customHeight="1">
      <c r="A3147" s="16" t="inlineStr">
        <is>
          <t>TC-CG-0040</t>
        </is>
      </c>
      <c r="B3147" s="16" t="inlineStr">
        <is>
          <t>Code Generation</t>
        </is>
      </c>
      <c r="C3147" s="16" t="inlineStr">
        <is>
          <t>axios (JS)</t>
        </is>
      </c>
      <c r="D3147" s="16" t="inlineStr">
        <is>
          <t>Functional</t>
        </is>
      </c>
      <c r="E3147" s="16" t="inlineStr">
        <is>
          <t>Codegen axios (JS): GraphQL</t>
        </is>
      </c>
      <c r="F3147" s="16" t="inlineStr">
        <is>
          <t>-</t>
        </is>
      </c>
      <c r="G3147" s="16" t="inlineStr">
        <is>
          <t>1. Set up request shape: Query + variables.
2. Generate code for axios (JS) (UI Copy-as / MCP generate.code).
3. Run the generated snippet in a axios (JS) runtime against the same endpoint.</t>
        </is>
      </c>
      <c r="H3147" s="16" t="inlineStr">
        <is>
          <t>lang=axios (JS) shape=GraphQL</t>
        </is>
      </c>
      <c r="I3147" s="16" t="inlineStr">
        <is>
          <t>Generated code is syntactically valid for axios (JS); executes against the same endpoint and produces the same response. Variables are interpolated to their resolved values (not as literal '{{var}}'); secrets are masked or warning shown when copying.</t>
        </is>
      </c>
      <c r="J3147" s="16" t="inlineStr"/>
      <c r="K3147" s="16" t="inlineStr">
        <is>
          <t>Not Run</t>
        </is>
      </c>
      <c r="L3147" s="16" t="inlineStr">
        <is>
          <t>Medium</t>
        </is>
      </c>
      <c r="M3147" s="16" t="inlineStr"/>
      <c r="N3147" s="16" t="inlineStr"/>
      <c r="O3147" s="16" t="inlineStr"/>
    </row>
    <row r="3148" ht="72" customHeight="1">
      <c r="A3148" s="16" t="inlineStr">
        <is>
          <t>TC-CG-0041</t>
        </is>
      </c>
      <c r="B3148" s="16" t="inlineStr">
        <is>
          <t>Code Generation</t>
        </is>
      </c>
      <c r="C3148" s="16" t="inlineStr">
        <is>
          <t>axios (JS)</t>
        </is>
      </c>
      <c r="D3148" s="16" t="inlineStr">
        <is>
          <t>Functional</t>
        </is>
      </c>
      <c r="E3148" s="16" t="inlineStr">
        <is>
          <t>Codegen axios (JS): Bearer auth</t>
        </is>
      </c>
      <c r="F3148" s="16" t="inlineStr">
        <is>
          <t>-</t>
        </is>
      </c>
      <c r="G3148" s="16" t="inlineStr">
        <is>
          <t>1. Set up request shape: Authorization header.
2. Generate code for axios (JS) (UI Copy-as / MCP generate.code).
3. Run the generated snippet in a axios (JS) runtime against the same endpoint.</t>
        </is>
      </c>
      <c r="H3148" s="16" t="inlineStr">
        <is>
          <t>lang=axios (JS) shape=Bearer auth</t>
        </is>
      </c>
      <c r="I3148" s="16" t="inlineStr">
        <is>
          <t>Generated code is syntactically valid for axios (JS); executes against the same endpoint and produces the same response. Variables are interpolated to their resolved values (not as literal '{{var}}'); secrets are masked or warning shown when copying.</t>
        </is>
      </c>
      <c r="J3148" s="16" t="inlineStr"/>
      <c r="K3148" s="16" t="inlineStr">
        <is>
          <t>Not Run</t>
        </is>
      </c>
      <c r="L3148" s="16" t="inlineStr">
        <is>
          <t>Medium</t>
        </is>
      </c>
      <c r="M3148" s="16" t="inlineStr"/>
      <c r="N3148" s="16" t="inlineStr"/>
      <c r="O3148" s="16" t="inlineStr"/>
    </row>
    <row r="3149" ht="72" customHeight="1">
      <c r="A3149" s="16" t="inlineStr">
        <is>
          <t>TC-CG-0042</t>
        </is>
      </c>
      <c r="B3149" s="16" t="inlineStr">
        <is>
          <t>Code Generation</t>
        </is>
      </c>
      <c r="C3149" s="16" t="inlineStr">
        <is>
          <t>axios (JS)</t>
        </is>
      </c>
      <c r="D3149" s="16" t="inlineStr">
        <is>
          <t>Functional</t>
        </is>
      </c>
      <c r="E3149" s="16" t="inlineStr">
        <is>
          <t>Codegen axios (JS): Basic auth</t>
        </is>
      </c>
      <c r="F3149" s="16" t="inlineStr">
        <is>
          <t>-</t>
        </is>
      </c>
      <c r="G3149" s="16" t="inlineStr">
        <is>
          <t>1. Set up request shape: user:pass.
2. Generate code for axios (JS) (UI Copy-as / MCP generate.code).
3. Run the generated snippet in a axios (JS) runtime against the same endpoint.</t>
        </is>
      </c>
      <c r="H3149" s="16" t="inlineStr">
        <is>
          <t>lang=axios (JS) shape=Basic auth</t>
        </is>
      </c>
      <c r="I3149" s="16" t="inlineStr">
        <is>
          <t>Generated code is syntactically valid for axios (JS); executes against the same endpoint and produces the same response. Variables are interpolated to their resolved values (not as literal '{{var}}'); secrets are masked or warning shown when copying.</t>
        </is>
      </c>
      <c r="J3149" s="16" t="inlineStr"/>
      <c r="K3149" s="16" t="inlineStr">
        <is>
          <t>Not Run</t>
        </is>
      </c>
      <c r="L3149" s="16" t="inlineStr">
        <is>
          <t>Medium</t>
        </is>
      </c>
      <c r="M3149" s="16" t="inlineStr"/>
      <c r="N3149" s="16" t="inlineStr"/>
      <c r="O3149" s="16" t="inlineStr"/>
    </row>
    <row r="3150" ht="72" customHeight="1">
      <c r="A3150" s="16" t="inlineStr">
        <is>
          <t>TC-CG-0043</t>
        </is>
      </c>
      <c r="B3150" s="16" t="inlineStr">
        <is>
          <t>Code Generation</t>
        </is>
      </c>
      <c r="C3150" s="16" t="inlineStr">
        <is>
          <t>axios (JS)</t>
        </is>
      </c>
      <c r="D3150" s="16" t="inlineStr">
        <is>
          <t>Functional</t>
        </is>
      </c>
      <c r="E3150" s="16" t="inlineStr">
        <is>
          <t>Codegen axios (JS): API Key header</t>
        </is>
      </c>
      <c r="F3150" s="16" t="inlineStr">
        <is>
          <t>-</t>
        </is>
      </c>
      <c r="G3150" s="16" t="inlineStr">
        <is>
          <t>1. Set up request shape: Custom header.
2. Generate code for axios (JS) (UI Copy-as / MCP generate.code).
3. Run the generated snippet in a axios (JS) runtime against the same endpoint.</t>
        </is>
      </c>
      <c r="H3150" s="16" t="inlineStr">
        <is>
          <t>lang=axios (JS) shape=API Key header</t>
        </is>
      </c>
      <c r="I3150" s="16" t="inlineStr">
        <is>
          <t>Generated code is syntactically valid for axios (JS); executes against the same endpoint and produces the same response. Variables are interpolated to their resolved values (not as literal '{{var}}'); secrets are masked or warning shown when copying.</t>
        </is>
      </c>
      <c r="J3150" s="16" t="inlineStr"/>
      <c r="K3150" s="16" t="inlineStr">
        <is>
          <t>Not Run</t>
        </is>
      </c>
      <c r="L3150" s="16" t="inlineStr">
        <is>
          <t>Medium</t>
        </is>
      </c>
      <c r="M3150" s="16" t="inlineStr"/>
      <c r="N3150" s="16" t="inlineStr"/>
      <c r="O3150" s="16" t="inlineStr"/>
    </row>
    <row r="3151" ht="72" customHeight="1">
      <c r="A3151" s="16" t="inlineStr">
        <is>
          <t>TC-CG-0044</t>
        </is>
      </c>
      <c r="B3151" s="16" t="inlineStr">
        <is>
          <t>Code Generation</t>
        </is>
      </c>
      <c r="C3151" s="16" t="inlineStr">
        <is>
          <t>axios (JS)</t>
        </is>
      </c>
      <c r="D3151" s="16" t="inlineStr">
        <is>
          <t>Functional</t>
        </is>
      </c>
      <c r="E3151" s="16" t="inlineStr">
        <is>
          <t>Codegen axios (JS): API Key query</t>
        </is>
      </c>
      <c r="F3151" s="16" t="inlineStr">
        <is>
          <t>-</t>
        </is>
      </c>
      <c r="G3151" s="16" t="inlineStr">
        <is>
          <t>1. Set up request shape: Query param.
2. Generate code for axios (JS) (UI Copy-as / MCP generate.code).
3. Run the generated snippet in a axios (JS) runtime against the same endpoint.</t>
        </is>
      </c>
      <c r="H3151" s="16" t="inlineStr">
        <is>
          <t>lang=axios (JS) shape=API Key query</t>
        </is>
      </c>
      <c r="I3151" s="16" t="inlineStr">
        <is>
          <t>Generated code is syntactically valid for axios (JS); executes against the same endpoint and produces the same response. Variables are interpolated to their resolved values (not as literal '{{var}}'); secrets are masked or warning shown when copying.</t>
        </is>
      </c>
      <c r="J3151" s="16" t="inlineStr"/>
      <c r="K3151" s="16" t="inlineStr">
        <is>
          <t>Not Run</t>
        </is>
      </c>
      <c r="L3151" s="16" t="inlineStr">
        <is>
          <t>Medium</t>
        </is>
      </c>
      <c r="M3151" s="16" t="inlineStr"/>
      <c r="N3151" s="16" t="inlineStr"/>
      <c r="O3151" s="16" t="inlineStr"/>
    </row>
    <row r="3152" ht="72" customHeight="1">
      <c r="A3152" s="16" t="inlineStr">
        <is>
          <t>TC-CG-0045</t>
        </is>
      </c>
      <c r="B3152" s="16" t="inlineStr">
        <is>
          <t>Code Generation</t>
        </is>
      </c>
      <c r="C3152" s="16" t="inlineStr">
        <is>
          <t>axios (JS)</t>
        </is>
      </c>
      <c r="D3152" s="16" t="inlineStr">
        <is>
          <t>Functional</t>
        </is>
      </c>
      <c r="E3152" s="16" t="inlineStr">
        <is>
          <t>Codegen axios (JS): OAuth2 (with token)</t>
        </is>
      </c>
      <c r="F3152" s="16" t="inlineStr">
        <is>
          <t>-</t>
        </is>
      </c>
      <c r="G3152" s="16" t="inlineStr">
        <is>
          <t>1. Set up request shape: Token attached.
2. Generate code for axios (JS) (UI Copy-as / MCP generate.code).
3. Run the generated snippet in a axios (JS) runtime against the same endpoint.</t>
        </is>
      </c>
      <c r="H3152" s="16" t="inlineStr">
        <is>
          <t>lang=axios (JS) shape=OAuth2 (with token)</t>
        </is>
      </c>
      <c r="I3152" s="16" t="inlineStr">
        <is>
          <t>Generated code is syntactically valid for axios (JS); executes against the same endpoint and produces the same response. Variables are interpolated to their resolved values (not as literal '{{var}}'); secrets are masked or warning shown when copying.</t>
        </is>
      </c>
      <c r="J3152" s="16" t="inlineStr"/>
      <c r="K3152" s="16" t="inlineStr">
        <is>
          <t>Not Run</t>
        </is>
      </c>
      <c r="L3152" s="16" t="inlineStr">
        <is>
          <t>Medium</t>
        </is>
      </c>
      <c r="M3152" s="16" t="inlineStr"/>
      <c r="N3152" s="16" t="inlineStr"/>
      <c r="O3152" s="16" t="inlineStr"/>
    </row>
    <row r="3153" ht="72" customHeight="1">
      <c r="A3153" s="16" t="inlineStr">
        <is>
          <t>TC-CG-0046</t>
        </is>
      </c>
      <c r="B3153" s="16" t="inlineStr">
        <is>
          <t>Code Generation</t>
        </is>
      </c>
      <c r="C3153" s="16" t="inlineStr">
        <is>
          <t>axios (JS)</t>
        </is>
      </c>
      <c r="D3153" s="16" t="inlineStr">
        <is>
          <t>Functional</t>
        </is>
      </c>
      <c r="E3153" s="16" t="inlineStr">
        <is>
          <t>Codegen axios (JS): AWS SigV4</t>
        </is>
      </c>
      <c r="F3153" s="16" t="inlineStr">
        <is>
          <t>-</t>
        </is>
      </c>
      <c r="G3153" s="16" t="inlineStr">
        <is>
          <t>1. Set up request shape: Signed request.
2. Generate code for axios (JS) (UI Copy-as / MCP generate.code).
3. Run the generated snippet in a axios (JS) runtime against the same endpoint.</t>
        </is>
      </c>
      <c r="H3153" s="16" t="inlineStr">
        <is>
          <t>lang=axios (JS) shape=AWS SigV4</t>
        </is>
      </c>
      <c r="I3153" s="16" t="inlineStr">
        <is>
          <t>Generated code is syntactically valid for axios (JS); executes against the same endpoint and produces the same response. Variables are interpolated to their resolved values (not as literal '{{var}}'); secrets are masked or warning shown when copying.</t>
        </is>
      </c>
      <c r="J3153" s="16" t="inlineStr"/>
      <c r="K3153" s="16" t="inlineStr">
        <is>
          <t>Not Run</t>
        </is>
      </c>
      <c r="L3153" s="16" t="inlineStr">
        <is>
          <t>Medium</t>
        </is>
      </c>
      <c r="M3153" s="16" t="inlineStr"/>
      <c r="N3153" s="16" t="inlineStr"/>
      <c r="O3153" s="16" t="inlineStr"/>
    </row>
    <row r="3154" ht="72" customHeight="1">
      <c r="A3154" s="16" t="inlineStr">
        <is>
          <t>TC-CG-0047</t>
        </is>
      </c>
      <c r="B3154" s="16" t="inlineStr">
        <is>
          <t>Code Generation</t>
        </is>
      </c>
      <c r="C3154" s="16" t="inlineStr">
        <is>
          <t>axios (JS)</t>
        </is>
      </c>
      <c r="D3154" s="16" t="inlineStr">
        <is>
          <t>Functional</t>
        </is>
      </c>
      <c r="E3154" s="16" t="inlineStr">
        <is>
          <t>Codegen axios (JS): Custom headers</t>
        </is>
      </c>
      <c r="F3154" s="16" t="inlineStr">
        <is>
          <t>-</t>
        </is>
      </c>
      <c r="G3154" s="16" t="inlineStr">
        <is>
          <t>1. Set up request shape: User-set.
2. Generate code for axios (JS) (UI Copy-as / MCP generate.code).
3. Run the generated snippet in a axios (JS) runtime against the same endpoint.</t>
        </is>
      </c>
      <c r="H3154" s="16" t="inlineStr">
        <is>
          <t>lang=axios (JS) shape=Custom headers</t>
        </is>
      </c>
      <c r="I3154" s="16" t="inlineStr">
        <is>
          <t>Generated code is syntactically valid for axios (JS); executes against the same endpoint and produces the same response. Variables are interpolated to their resolved values (not as literal '{{var}}'); secrets are masked or warning shown when copying.</t>
        </is>
      </c>
      <c r="J3154" s="16" t="inlineStr"/>
      <c r="K3154" s="16" t="inlineStr">
        <is>
          <t>Not Run</t>
        </is>
      </c>
      <c r="L3154" s="16" t="inlineStr">
        <is>
          <t>Medium</t>
        </is>
      </c>
      <c r="M3154" s="16" t="inlineStr"/>
      <c r="N3154" s="16" t="inlineStr"/>
      <c r="O3154" s="16" t="inlineStr"/>
    </row>
    <row r="3155" ht="72" customHeight="1">
      <c r="A3155" s="16" t="inlineStr">
        <is>
          <t>TC-CG-0048</t>
        </is>
      </c>
      <c r="B3155" s="16" t="inlineStr">
        <is>
          <t>Code Generation</t>
        </is>
      </c>
      <c r="C3155" s="16" t="inlineStr">
        <is>
          <t>axios (JS)</t>
        </is>
      </c>
      <c r="D3155" s="16" t="inlineStr">
        <is>
          <t>Functional</t>
        </is>
      </c>
      <c r="E3155" s="16" t="inlineStr">
        <is>
          <t>Codegen axios (JS): Path params</t>
        </is>
      </c>
      <c r="F3155" s="16" t="inlineStr">
        <is>
          <t>-</t>
        </is>
      </c>
      <c r="G3155" s="16" t="inlineStr">
        <is>
          <t>1. Set up request shape: URL with {id}.
2. Generate code for axios (JS) (UI Copy-as / MCP generate.code).
3. Run the generated snippet in a axios (JS) runtime against the same endpoint.</t>
        </is>
      </c>
      <c r="H3155" s="16" t="inlineStr">
        <is>
          <t>lang=axios (JS) shape=Path params</t>
        </is>
      </c>
      <c r="I3155" s="16" t="inlineStr">
        <is>
          <t>Generated code is syntactically valid for axios (JS); executes against the same endpoint and produces the same response. Variables are interpolated to their resolved values (not as literal '{{var}}'); secrets are masked or warning shown when copying.</t>
        </is>
      </c>
      <c r="J3155" s="16" t="inlineStr"/>
      <c r="K3155" s="16" t="inlineStr">
        <is>
          <t>Not Run</t>
        </is>
      </c>
      <c r="L3155" s="16" t="inlineStr">
        <is>
          <t>Medium</t>
        </is>
      </c>
      <c r="M3155" s="16" t="inlineStr"/>
      <c r="N3155" s="16" t="inlineStr"/>
      <c r="O3155" s="16" t="inlineStr"/>
    </row>
    <row r="3156" ht="72" customHeight="1">
      <c r="A3156" s="16" t="inlineStr">
        <is>
          <t>TC-CG-0049</t>
        </is>
      </c>
      <c r="B3156" s="16" t="inlineStr">
        <is>
          <t>Code Generation</t>
        </is>
      </c>
      <c r="C3156" s="16" t="inlineStr">
        <is>
          <t>axios (JS)</t>
        </is>
      </c>
      <c r="D3156" s="16" t="inlineStr">
        <is>
          <t>Functional</t>
        </is>
      </c>
      <c r="E3156" s="16" t="inlineStr">
        <is>
          <t>Codegen axios (JS): Query params with arrays</t>
        </is>
      </c>
      <c r="F3156" s="16" t="inlineStr">
        <is>
          <t>-</t>
        </is>
      </c>
      <c r="G3156" s="16" t="inlineStr">
        <is>
          <t>1. Set up request shape: ?a=1&amp;a=2.
2. Generate code for axios (JS) (UI Copy-as / MCP generate.code).
3. Run the generated snippet in a axios (JS) runtime against the same endpoint.</t>
        </is>
      </c>
      <c r="H3156" s="16" t="inlineStr">
        <is>
          <t>lang=axios (JS) shape=Query params with arrays</t>
        </is>
      </c>
      <c r="I3156" s="16" t="inlineStr">
        <is>
          <t>Generated code is syntactically valid for axios (JS); executes against the same endpoint and produces the same response. Variables are interpolated to their resolved values (not as literal '{{var}}'); secrets are masked or warning shown when copying.</t>
        </is>
      </c>
      <c r="J3156" s="16" t="inlineStr"/>
      <c r="K3156" s="16" t="inlineStr">
        <is>
          <t>Not Run</t>
        </is>
      </c>
      <c r="L3156" s="16" t="inlineStr">
        <is>
          <t>Medium</t>
        </is>
      </c>
      <c r="M3156" s="16" t="inlineStr"/>
      <c r="N3156" s="16" t="inlineStr"/>
      <c r="O3156" s="16" t="inlineStr"/>
    </row>
    <row r="3157" ht="72" customHeight="1">
      <c r="A3157" s="16" t="inlineStr">
        <is>
          <t>TC-CG-0050</t>
        </is>
      </c>
      <c r="B3157" s="16" t="inlineStr">
        <is>
          <t>Code Generation</t>
        </is>
      </c>
      <c r="C3157" s="16" t="inlineStr">
        <is>
          <t>axios (JS)</t>
        </is>
      </c>
      <c r="D3157" s="16" t="inlineStr">
        <is>
          <t>Functional</t>
        </is>
      </c>
      <c r="E3157" s="16" t="inlineStr">
        <is>
          <t>Codegen axios (JS): Cookies</t>
        </is>
      </c>
      <c r="F3157" s="16" t="inlineStr">
        <is>
          <t>-</t>
        </is>
      </c>
      <c r="G3157" s="16" t="inlineStr">
        <is>
          <t>1. Set up request shape: Cookie header.
2. Generate code for axios (JS) (UI Copy-as / MCP generate.code).
3. Run the generated snippet in a axios (JS) runtime against the same endpoint.</t>
        </is>
      </c>
      <c r="H3157" s="16" t="inlineStr">
        <is>
          <t>lang=axios (JS) shape=Cookies</t>
        </is>
      </c>
      <c r="I3157" s="16" t="inlineStr">
        <is>
          <t>Generated code is syntactically valid for axios (JS); executes against the same endpoint and produces the same response. Variables are interpolated to their resolved values (not as literal '{{var}}'); secrets are masked or warning shown when copying.</t>
        </is>
      </c>
      <c r="J3157" s="16" t="inlineStr"/>
      <c r="K3157" s="16" t="inlineStr">
        <is>
          <t>Not Run</t>
        </is>
      </c>
      <c r="L3157" s="16" t="inlineStr">
        <is>
          <t>Medium</t>
        </is>
      </c>
      <c r="M3157" s="16" t="inlineStr"/>
      <c r="N3157" s="16" t="inlineStr"/>
      <c r="O3157" s="16" t="inlineStr"/>
    </row>
    <row r="3158" ht="72" customHeight="1">
      <c r="A3158" s="16" t="inlineStr">
        <is>
          <t>TC-CG-0051</t>
        </is>
      </c>
      <c r="B3158" s="16" t="inlineStr">
        <is>
          <t>Code Generation</t>
        </is>
      </c>
      <c r="C3158" s="16" t="inlineStr">
        <is>
          <t>axios (JS)</t>
        </is>
      </c>
      <c r="D3158" s="16" t="inlineStr">
        <is>
          <t>Functional</t>
        </is>
      </c>
      <c r="E3158" s="16" t="inlineStr">
        <is>
          <t>Codegen axios (JS): Variable interpolation</t>
        </is>
      </c>
      <c r="F3158" s="16" t="inlineStr">
        <is>
          <t>-</t>
        </is>
      </c>
      <c r="G3158" s="16" t="inlineStr">
        <is>
          <t>1. Set up request shape: Resolved values.
2. Generate code for axios (JS) (UI Copy-as / MCP generate.code).
3. Run the generated snippet in a axios (JS) runtime against the same endpoint.</t>
        </is>
      </c>
      <c r="H3158" s="16" t="inlineStr">
        <is>
          <t>lang=axios (JS) shape=Variable interpolation</t>
        </is>
      </c>
      <c r="I3158" s="16" t="inlineStr">
        <is>
          <t>Generated code is syntactically valid for axios (JS); executes against the same endpoint and produces the same response. Variables are interpolated to their resolved values (not as literal '{{var}}'); secrets are masked or warning shown when copying.</t>
        </is>
      </c>
      <c r="J3158" s="16" t="inlineStr"/>
      <c r="K3158" s="16" t="inlineStr">
        <is>
          <t>Not Run</t>
        </is>
      </c>
      <c r="L3158" s="16" t="inlineStr">
        <is>
          <t>Medium</t>
        </is>
      </c>
      <c r="M3158" s="16" t="inlineStr"/>
      <c r="N3158" s="16" t="inlineStr"/>
      <c r="O3158" s="16" t="inlineStr"/>
    </row>
    <row r="3159" ht="72" customHeight="1">
      <c r="A3159" s="16" t="inlineStr">
        <is>
          <t>TC-CG-0052</t>
        </is>
      </c>
      <c r="B3159" s="16" t="inlineStr">
        <is>
          <t>Code Generation</t>
        </is>
      </c>
      <c r="C3159" s="16" t="inlineStr">
        <is>
          <t>Python requests</t>
        </is>
      </c>
      <c r="D3159" s="16" t="inlineStr">
        <is>
          <t>Functional</t>
        </is>
      </c>
      <c r="E3159" s="16" t="inlineStr">
        <is>
          <t>Codegen Python requests: Simple GET</t>
        </is>
      </c>
      <c r="F3159" s="16" t="inlineStr">
        <is>
          <t>-</t>
        </is>
      </c>
      <c r="G3159" s="16" t="inlineStr">
        <is>
          <t>1. Set up request shape: Just URL + method.
2. Generate code for Python requests (UI Copy-as / MCP generate.code).
3. Run the generated snippet in a Python requests runtime against the same endpoint.</t>
        </is>
      </c>
      <c r="H3159" s="16" t="inlineStr">
        <is>
          <t>lang=Python requests shape=Simple GET</t>
        </is>
      </c>
      <c r="I3159" s="16" t="inlineStr">
        <is>
          <t>Generated code is syntactically valid for Python requests; executes against the same endpoint and produces the same response. Variables are interpolated to their resolved values (not as literal '{{var}}'); secrets are masked or warning shown when copying.</t>
        </is>
      </c>
      <c r="J3159" s="16" t="inlineStr"/>
      <c r="K3159" s="16" t="inlineStr">
        <is>
          <t>Not Run</t>
        </is>
      </c>
      <c r="L3159" s="16" t="inlineStr">
        <is>
          <t>High</t>
        </is>
      </c>
      <c r="M3159" s="16" t="inlineStr"/>
      <c r="N3159" s="16" t="inlineStr"/>
      <c r="O3159" s="16" t="inlineStr"/>
    </row>
    <row r="3160" ht="72" customHeight="1">
      <c r="A3160" s="16" t="inlineStr">
        <is>
          <t>TC-CG-0053</t>
        </is>
      </c>
      <c r="B3160" s="16" t="inlineStr">
        <is>
          <t>Code Generation</t>
        </is>
      </c>
      <c r="C3160" s="16" t="inlineStr">
        <is>
          <t>Python requests</t>
        </is>
      </c>
      <c r="D3160" s="16" t="inlineStr">
        <is>
          <t>Functional</t>
        </is>
      </c>
      <c r="E3160" s="16" t="inlineStr">
        <is>
          <t>Codegen Python requests: POST JSON</t>
        </is>
      </c>
      <c r="F3160" s="16" t="inlineStr">
        <is>
          <t>-</t>
        </is>
      </c>
      <c r="G3160" s="16" t="inlineStr">
        <is>
          <t>1. Set up request shape: Body + headers.
2. Generate code for Python requests (UI Copy-as / MCP generate.code).
3. Run the generated snippet in a Python requests runtime against the same endpoint.</t>
        </is>
      </c>
      <c r="H3160" s="16" t="inlineStr">
        <is>
          <t>lang=Python requests shape=POST JSON</t>
        </is>
      </c>
      <c r="I3160" s="16" t="inlineStr">
        <is>
          <t>Generated code is syntactically valid for Python requests; executes against the same endpoint and produces the same response. Variables are interpolated to their resolved values (not as literal '{{var}}'); secrets are masked or warning shown when copying.</t>
        </is>
      </c>
      <c r="J3160" s="16" t="inlineStr"/>
      <c r="K3160" s="16" t="inlineStr">
        <is>
          <t>Not Run</t>
        </is>
      </c>
      <c r="L3160" s="16" t="inlineStr">
        <is>
          <t>High</t>
        </is>
      </c>
      <c r="M3160" s="16" t="inlineStr"/>
      <c r="N3160" s="16" t="inlineStr"/>
      <c r="O3160" s="16" t="inlineStr"/>
    </row>
    <row r="3161" ht="72" customHeight="1">
      <c r="A3161" s="16" t="inlineStr">
        <is>
          <t>TC-CG-0054</t>
        </is>
      </c>
      <c r="B3161" s="16" t="inlineStr">
        <is>
          <t>Code Generation</t>
        </is>
      </c>
      <c r="C3161" s="16" t="inlineStr">
        <is>
          <t>Python requests</t>
        </is>
      </c>
      <c r="D3161" s="16" t="inlineStr">
        <is>
          <t>Functional</t>
        </is>
      </c>
      <c r="E3161" s="16" t="inlineStr">
        <is>
          <t>Codegen Python requests: POST form-data</t>
        </is>
      </c>
      <c r="F3161" s="16" t="inlineStr">
        <is>
          <t>-</t>
        </is>
      </c>
      <c r="G3161" s="16" t="inlineStr">
        <is>
          <t>1. Set up request shape: Multipart.
2. Generate code for Python requests (UI Copy-as / MCP generate.code).
3. Run the generated snippet in a Python requests runtime against the same endpoint.</t>
        </is>
      </c>
      <c r="H3161" s="16" t="inlineStr">
        <is>
          <t>lang=Python requests shape=POST form-data</t>
        </is>
      </c>
      <c r="I3161" s="16" t="inlineStr">
        <is>
          <t>Generated code is syntactically valid for Python requests; executes against the same endpoint and produces the same response. Variables are interpolated to their resolved values (not as literal '{{var}}'); secrets are masked or warning shown when copying.</t>
        </is>
      </c>
      <c r="J3161" s="16" t="inlineStr"/>
      <c r="K3161" s="16" t="inlineStr">
        <is>
          <t>Not Run</t>
        </is>
      </c>
      <c r="L3161" s="16" t="inlineStr">
        <is>
          <t>Medium</t>
        </is>
      </c>
      <c r="M3161" s="16" t="inlineStr"/>
      <c r="N3161" s="16" t="inlineStr"/>
      <c r="O3161" s="16" t="inlineStr"/>
    </row>
    <row r="3162" ht="72" customHeight="1">
      <c r="A3162" s="16" t="inlineStr">
        <is>
          <t>TC-CG-0055</t>
        </is>
      </c>
      <c r="B3162" s="16" t="inlineStr">
        <is>
          <t>Code Generation</t>
        </is>
      </c>
      <c r="C3162" s="16" t="inlineStr">
        <is>
          <t>Python requests</t>
        </is>
      </c>
      <c r="D3162" s="16" t="inlineStr">
        <is>
          <t>Functional</t>
        </is>
      </c>
      <c r="E3162" s="16" t="inlineStr">
        <is>
          <t>Codegen Python requests: POST urlencoded</t>
        </is>
      </c>
      <c r="F3162" s="16" t="inlineStr">
        <is>
          <t>-</t>
        </is>
      </c>
      <c r="G3162" s="16" t="inlineStr">
        <is>
          <t>1. Set up request shape: x-www-form-urlencoded.
2. Generate code for Python requests (UI Copy-as / MCP generate.code).
3. Run the generated snippet in a Python requests runtime against the same endpoint.</t>
        </is>
      </c>
      <c r="H3162" s="16" t="inlineStr">
        <is>
          <t>lang=Python requests shape=POST urlencoded</t>
        </is>
      </c>
      <c r="I3162" s="16" t="inlineStr">
        <is>
          <t>Generated code is syntactically valid for Python requests; executes against the same endpoint and produces the same response. Variables are interpolated to their resolved values (not as literal '{{var}}'); secrets are masked or warning shown when copying.</t>
        </is>
      </c>
      <c r="J3162" s="16" t="inlineStr"/>
      <c r="K3162" s="16" t="inlineStr">
        <is>
          <t>Not Run</t>
        </is>
      </c>
      <c r="L3162" s="16" t="inlineStr">
        <is>
          <t>Medium</t>
        </is>
      </c>
      <c r="M3162" s="16" t="inlineStr"/>
      <c r="N3162" s="16" t="inlineStr"/>
      <c r="O3162" s="16" t="inlineStr"/>
    </row>
    <row r="3163" ht="72" customHeight="1">
      <c r="A3163" s="16" t="inlineStr">
        <is>
          <t>TC-CG-0056</t>
        </is>
      </c>
      <c r="B3163" s="16" t="inlineStr">
        <is>
          <t>Code Generation</t>
        </is>
      </c>
      <c r="C3163" s="16" t="inlineStr">
        <is>
          <t>Python requests</t>
        </is>
      </c>
      <c r="D3163" s="16" t="inlineStr">
        <is>
          <t>Functional</t>
        </is>
      </c>
      <c r="E3163" s="16" t="inlineStr">
        <is>
          <t>Codegen Python requests: File upload</t>
        </is>
      </c>
      <c r="F3163" s="16" t="inlineStr">
        <is>
          <t>-</t>
        </is>
      </c>
      <c r="G3163" s="16" t="inlineStr">
        <is>
          <t>1. Set up request shape: Binary.
2. Generate code for Python requests (UI Copy-as / MCP generate.code).
3. Run the generated snippet in a Python requests runtime against the same endpoint.</t>
        </is>
      </c>
      <c r="H3163" s="16" t="inlineStr">
        <is>
          <t>lang=Python requests shape=File upload</t>
        </is>
      </c>
      <c r="I3163" s="16" t="inlineStr">
        <is>
          <t>Generated code is syntactically valid for Python requests; executes against the same endpoint and produces the same response. Variables are interpolated to their resolved values (not as literal '{{var}}'); secrets are masked or warning shown when copying.</t>
        </is>
      </c>
      <c r="J3163" s="16" t="inlineStr"/>
      <c r="K3163" s="16" t="inlineStr">
        <is>
          <t>Not Run</t>
        </is>
      </c>
      <c r="L3163" s="16" t="inlineStr">
        <is>
          <t>Medium</t>
        </is>
      </c>
      <c r="M3163" s="16" t="inlineStr"/>
      <c r="N3163" s="16" t="inlineStr"/>
      <c r="O3163" s="16" t="inlineStr"/>
    </row>
    <row r="3164" ht="72" customHeight="1">
      <c r="A3164" s="16" t="inlineStr">
        <is>
          <t>TC-CG-0057</t>
        </is>
      </c>
      <c r="B3164" s="16" t="inlineStr">
        <is>
          <t>Code Generation</t>
        </is>
      </c>
      <c r="C3164" s="16" t="inlineStr">
        <is>
          <t>Python requests</t>
        </is>
      </c>
      <c r="D3164" s="16" t="inlineStr">
        <is>
          <t>Functional</t>
        </is>
      </c>
      <c r="E3164" s="16" t="inlineStr">
        <is>
          <t>Codegen Python requests: GraphQL</t>
        </is>
      </c>
      <c r="F3164" s="16" t="inlineStr">
        <is>
          <t>-</t>
        </is>
      </c>
      <c r="G3164" s="16" t="inlineStr">
        <is>
          <t>1. Set up request shape: Query + variables.
2. Generate code for Python requests (UI Copy-as / MCP generate.code).
3. Run the generated snippet in a Python requests runtime against the same endpoint.</t>
        </is>
      </c>
      <c r="H3164" s="16" t="inlineStr">
        <is>
          <t>lang=Python requests shape=GraphQL</t>
        </is>
      </c>
      <c r="I3164" s="16" t="inlineStr">
        <is>
          <t>Generated code is syntactically valid for Python requests; executes against the same endpoint and produces the same response. Variables are interpolated to their resolved values (not as literal '{{var}}'); secrets are masked or warning shown when copying.</t>
        </is>
      </c>
      <c r="J3164" s="16" t="inlineStr"/>
      <c r="K3164" s="16" t="inlineStr">
        <is>
          <t>Not Run</t>
        </is>
      </c>
      <c r="L3164" s="16" t="inlineStr">
        <is>
          <t>Medium</t>
        </is>
      </c>
      <c r="M3164" s="16" t="inlineStr"/>
      <c r="N3164" s="16" t="inlineStr"/>
      <c r="O3164" s="16" t="inlineStr"/>
    </row>
    <row r="3165" ht="72" customHeight="1">
      <c r="A3165" s="16" t="inlineStr">
        <is>
          <t>TC-CG-0058</t>
        </is>
      </c>
      <c r="B3165" s="16" t="inlineStr">
        <is>
          <t>Code Generation</t>
        </is>
      </c>
      <c r="C3165" s="16" t="inlineStr">
        <is>
          <t>Python requests</t>
        </is>
      </c>
      <c r="D3165" s="16" t="inlineStr">
        <is>
          <t>Functional</t>
        </is>
      </c>
      <c r="E3165" s="16" t="inlineStr">
        <is>
          <t>Codegen Python requests: Bearer auth</t>
        </is>
      </c>
      <c r="F3165" s="16" t="inlineStr">
        <is>
          <t>-</t>
        </is>
      </c>
      <c r="G3165" s="16" t="inlineStr">
        <is>
          <t>1. Set up request shape: Authorization header.
2. Generate code for Python requests (UI Copy-as / MCP generate.code).
3. Run the generated snippet in a Python requests runtime against the same endpoint.</t>
        </is>
      </c>
      <c r="H3165" s="16" t="inlineStr">
        <is>
          <t>lang=Python requests shape=Bearer auth</t>
        </is>
      </c>
      <c r="I3165" s="16" t="inlineStr">
        <is>
          <t>Generated code is syntactically valid for Python requests; executes against the same endpoint and produces the same response. Variables are interpolated to their resolved values (not as literal '{{var}}'); secrets are masked or warning shown when copying.</t>
        </is>
      </c>
      <c r="J3165" s="16" t="inlineStr"/>
      <c r="K3165" s="16" t="inlineStr">
        <is>
          <t>Not Run</t>
        </is>
      </c>
      <c r="L3165" s="16" t="inlineStr">
        <is>
          <t>High</t>
        </is>
      </c>
      <c r="M3165" s="16" t="inlineStr"/>
      <c r="N3165" s="16" t="inlineStr"/>
      <c r="O3165" s="16" t="inlineStr"/>
    </row>
    <row r="3166" ht="72" customHeight="1">
      <c r="A3166" s="16" t="inlineStr">
        <is>
          <t>TC-CG-0059</t>
        </is>
      </c>
      <c r="B3166" s="16" t="inlineStr">
        <is>
          <t>Code Generation</t>
        </is>
      </c>
      <c r="C3166" s="16" t="inlineStr">
        <is>
          <t>Python requests</t>
        </is>
      </c>
      <c r="D3166" s="16" t="inlineStr">
        <is>
          <t>Functional</t>
        </is>
      </c>
      <c r="E3166" s="16" t="inlineStr">
        <is>
          <t>Codegen Python requests: Basic auth</t>
        </is>
      </c>
      <c r="F3166" s="16" t="inlineStr">
        <is>
          <t>-</t>
        </is>
      </c>
      <c r="G3166" s="16" t="inlineStr">
        <is>
          <t>1. Set up request shape: user:pass.
2. Generate code for Python requests (UI Copy-as / MCP generate.code).
3. Run the generated snippet in a Python requests runtime against the same endpoint.</t>
        </is>
      </c>
      <c r="H3166" s="16" t="inlineStr">
        <is>
          <t>lang=Python requests shape=Basic auth</t>
        </is>
      </c>
      <c r="I3166" s="16" t="inlineStr">
        <is>
          <t>Generated code is syntactically valid for Python requests; executes against the same endpoint and produces the same response. Variables are interpolated to their resolved values (not as literal '{{var}}'); secrets are masked or warning shown when copying.</t>
        </is>
      </c>
      <c r="J3166" s="16" t="inlineStr"/>
      <c r="K3166" s="16" t="inlineStr">
        <is>
          <t>Not Run</t>
        </is>
      </c>
      <c r="L3166" s="16" t="inlineStr">
        <is>
          <t>Medium</t>
        </is>
      </c>
      <c r="M3166" s="16" t="inlineStr"/>
      <c r="N3166" s="16" t="inlineStr"/>
      <c r="O3166" s="16" t="inlineStr"/>
    </row>
    <row r="3167" ht="72" customHeight="1">
      <c r="A3167" s="16" t="inlineStr">
        <is>
          <t>TC-CG-0060</t>
        </is>
      </c>
      <c r="B3167" s="16" t="inlineStr">
        <is>
          <t>Code Generation</t>
        </is>
      </c>
      <c r="C3167" s="16" t="inlineStr">
        <is>
          <t>Python requests</t>
        </is>
      </c>
      <c r="D3167" s="16" t="inlineStr">
        <is>
          <t>Functional</t>
        </is>
      </c>
      <c r="E3167" s="16" t="inlineStr">
        <is>
          <t>Codegen Python requests: API Key header</t>
        </is>
      </c>
      <c r="F3167" s="16" t="inlineStr">
        <is>
          <t>-</t>
        </is>
      </c>
      <c r="G3167" s="16" t="inlineStr">
        <is>
          <t>1. Set up request shape: Custom header.
2. Generate code for Python requests (UI Copy-as / MCP generate.code).
3. Run the generated snippet in a Python requests runtime against the same endpoint.</t>
        </is>
      </c>
      <c r="H3167" s="16" t="inlineStr">
        <is>
          <t>lang=Python requests shape=API Key header</t>
        </is>
      </c>
      <c r="I3167" s="16" t="inlineStr">
        <is>
          <t>Generated code is syntactically valid for Python requests; executes against the same endpoint and produces the same response. Variables are interpolated to their resolved values (not as literal '{{var}}'); secrets are masked or warning shown when copying.</t>
        </is>
      </c>
      <c r="J3167" s="16" t="inlineStr"/>
      <c r="K3167" s="16" t="inlineStr">
        <is>
          <t>Not Run</t>
        </is>
      </c>
      <c r="L3167" s="16" t="inlineStr">
        <is>
          <t>Medium</t>
        </is>
      </c>
      <c r="M3167" s="16" t="inlineStr"/>
      <c r="N3167" s="16" t="inlineStr"/>
      <c r="O3167" s="16" t="inlineStr"/>
    </row>
    <row r="3168" ht="72" customHeight="1">
      <c r="A3168" s="16" t="inlineStr">
        <is>
          <t>TC-CG-0061</t>
        </is>
      </c>
      <c r="B3168" s="16" t="inlineStr">
        <is>
          <t>Code Generation</t>
        </is>
      </c>
      <c r="C3168" s="16" t="inlineStr">
        <is>
          <t>Python requests</t>
        </is>
      </c>
      <c r="D3168" s="16" t="inlineStr">
        <is>
          <t>Functional</t>
        </is>
      </c>
      <c r="E3168" s="16" t="inlineStr">
        <is>
          <t>Codegen Python requests: API Key query</t>
        </is>
      </c>
      <c r="F3168" s="16" t="inlineStr">
        <is>
          <t>-</t>
        </is>
      </c>
      <c r="G3168" s="16" t="inlineStr">
        <is>
          <t>1. Set up request shape: Query param.
2. Generate code for Python requests (UI Copy-as / MCP generate.code).
3. Run the generated snippet in a Python requests runtime against the same endpoint.</t>
        </is>
      </c>
      <c r="H3168" s="16" t="inlineStr">
        <is>
          <t>lang=Python requests shape=API Key query</t>
        </is>
      </c>
      <c r="I3168" s="16" t="inlineStr">
        <is>
          <t>Generated code is syntactically valid for Python requests; executes against the same endpoint and produces the same response. Variables are interpolated to their resolved values (not as literal '{{var}}'); secrets are masked or warning shown when copying.</t>
        </is>
      </c>
      <c r="J3168" s="16" t="inlineStr"/>
      <c r="K3168" s="16" t="inlineStr">
        <is>
          <t>Not Run</t>
        </is>
      </c>
      <c r="L3168" s="16" t="inlineStr">
        <is>
          <t>Medium</t>
        </is>
      </c>
      <c r="M3168" s="16" t="inlineStr"/>
      <c r="N3168" s="16" t="inlineStr"/>
      <c r="O3168" s="16" t="inlineStr"/>
    </row>
    <row r="3169" ht="72" customHeight="1">
      <c r="A3169" s="16" t="inlineStr">
        <is>
          <t>TC-CG-0062</t>
        </is>
      </c>
      <c r="B3169" s="16" t="inlineStr">
        <is>
          <t>Code Generation</t>
        </is>
      </c>
      <c r="C3169" s="16" t="inlineStr">
        <is>
          <t>Python requests</t>
        </is>
      </c>
      <c r="D3169" s="16" t="inlineStr">
        <is>
          <t>Functional</t>
        </is>
      </c>
      <c r="E3169" s="16" t="inlineStr">
        <is>
          <t>Codegen Python requests: OAuth2 (with token)</t>
        </is>
      </c>
      <c r="F3169" s="16" t="inlineStr">
        <is>
          <t>-</t>
        </is>
      </c>
      <c r="G3169" s="16" t="inlineStr">
        <is>
          <t>1. Set up request shape: Token attached.
2. Generate code for Python requests (UI Copy-as / MCP generate.code).
3. Run the generated snippet in a Python requests runtime against the same endpoint.</t>
        </is>
      </c>
      <c r="H3169" s="16" t="inlineStr">
        <is>
          <t>lang=Python requests shape=OAuth2 (with token)</t>
        </is>
      </c>
      <c r="I3169" s="16" t="inlineStr">
        <is>
          <t>Generated code is syntactically valid for Python requests; executes against the same endpoint and produces the same response. Variables are interpolated to their resolved values (not as literal '{{var}}'); secrets are masked or warning shown when copying.</t>
        </is>
      </c>
      <c r="J3169" s="16" t="inlineStr"/>
      <c r="K3169" s="16" t="inlineStr">
        <is>
          <t>Not Run</t>
        </is>
      </c>
      <c r="L3169" s="16" t="inlineStr">
        <is>
          <t>High</t>
        </is>
      </c>
      <c r="M3169" s="16" t="inlineStr"/>
      <c r="N3169" s="16" t="inlineStr"/>
      <c r="O3169" s="16" t="inlineStr"/>
    </row>
    <row r="3170" ht="72" customHeight="1">
      <c r="A3170" s="16" t="inlineStr">
        <is>
          <t>TC-CG-0063</t>
        </is>
      </c>
      <c r="B3170" s="16" t="inlineStr">
        <is>
          <t>Code Generation</t>
        </is>
      </c>
      <c r="C3170" s="16" t="inlineStr">
        <is>
          <t>Python requests</t>
        </is>
      </c>
      <c r="D3170" s="16" t="inlineStr">
        <is>
          <t>Functional</t>
        </is>
      </c>
      <c r="E3170" s="16" t="inlineStr">
        <is>
          <t>Codegen Python requests: AWS SigV4</t>
        </is>
      </c>
      <c r="F3170" s="16" t="inlineStr">
        <is>
          <t>-</t>
        </is>
      </c>
      <c r="G3170" s="16" t="inlineStr">
        <is>
          <t>1. Set up request shape: Signed request.
2. Generate code for Python requests (UI Copy-as / MCP generate.code).
3. Run the generated snippet in a Python requests runtime against the same endpoint.</t>
        </is>
      </c>
      <c r="H3170" s="16" t="inlineStr">
        <is>
          <t>lang=Python requests shape=AWS SigV4</t>
        </is>
      </c>
      <c r="I3170" s="16" t="inlineStr">
        <is>
          <t>Generated code is syntactically valid for Python requests; executes against the same endpoint and produces the same response. Variables are interpolated to their resolved values (not as literal '{{var}}'); secrets are masked or warning shown when copying.</t>
        </is>
      </c>
      <c r="J3170" s="16" t="inlineStr"/>
      <c r="K3170" s="16" t="inlineStr">
        <is>
          <t>Not Run</t>
        </is>
      </c>
      <c r="L3170" s="16" t="inlineStr">
        <is>
          <t>Medium</t>
        </is>
      </c>
      <c r="M3170" s="16" t="inlineStr"/>
      <c r="N3170" s="16" t="inlineStr"/>
      <c r="O3170" s="16" t="inlineStr"/>
    </row>
    <row r="3171" ht="72" customHeight="1">
      <c r="A3171" s="16" t="inlineStr">
        <is>
          <t>TC-CG-0064</t>
        </is>
      </c>
      <c r="B3171" s="16" t="inlineStr">
        <is>
          <t>Code Generation</t>
        </is>
      </c>
      <c r="C3171" s="16" t="inlineStr">
        <is>
          <t>Python requests</t>
        </is>
      </c>
      <c r="D3171" s="16" t="inlineStr">
        <is>
          <t>Functional</t>
        </is>
      </c>
      <c r="E3171" s="16" t="inlineStr">
        <is>
          <t>Codegen Python requests: Custom headers</t>
        </is>
      </c>
      <c r="F3171" s="16" t="inlineStr">
        <is>
          <t>-</t>
        </is>
      </c>
      <c r="G3171" s="16" t="inlineStr">
        <is>
          <t>1. Set up request shape: User-set.
2. Generate code for Python requests (UI Copy-as / MCP generate.code).
3. Run the generated snippet in a Python requests runtime against the same endpoint.</t>
        </is>
      </c>
      <c r="H3171" s="16" t="inlineStr">
        <is>
          <t>lang=Python requests shape=Custom headers</t>
        </is>
      </c>
      <c r="I3171" s="16" t="inlineStr">
        <is>
          <t>Generated code is syntactically valid for Python requests; executes against the same endpoint and produces the same response. Variables are interpolated to their resolved values (not as literal '{{var}}'); secrets are masked or warning shown when copying.</t>
        </is>
      </c>
      <c r="J3171" s="16" t="inlineStr"/>
      <c r="K3171" s="16" t="inlineStr">
        <is>
          <t>Not Run</t>
        </is>
      </c>
      <c r="L3171" s="16" t="inlineStr">
        <is>
          <t>Medium</t>
        </is>
      </c>
      <c r="M3171" s="16" t="inlineStr"/>
      <c r="N3171" s="16" t="inlineStr"/>
      <c r="O3171" s="16" t="inlineStr"/>
    </row>
    <row r="3172" ht="72" customHeight="1">
      <c r="A3172" s="16" t="inlineStr">
        <is>
          <t>TC-CG-0065</t>
        </is>
      </c>
      <c r="B3172" s="16" t="inlineStr">
        <is>
          <t>Code Generation</t>
        </is>
      </c>
      <c r="C3172" s="16" t="inlineStr">
        <is>
          <t>Python requests</t>
        </is>
      </c>
      <c r="D3172" s="16" t="inlineStr">
        <is>
          <t>Functional</t>
        </is>
      </c>
      <c r="E3172" s="16" t="inlineStr">
        <is>
          <t>Codegen Python requests: Path params</t>
        </is>
      </c>
      <c r="F3172" s="16" t="inlineStr">
        <is>
          <t>-</t>
        </is>
      </c>
      <c r="G3172" s="16" t="inlineStr">
        <is>
          <t>1. Set up request shape: URL with {id}.
2. Generate code for Python requests (UI Copy-as / MCP generate.code).
3. Run the generated snippet in a Python requests runtime against the same endpoint.</t>
        </is>
      </c>
      <c r="H3172" s="16" t="inlineStr">
        <is>
          <t>lang=Python requests shape=Path params</t>
        </is>
      </c>
      <c r="I3172" s="16" t="inlineStr">
        <is>
          <t>Generated code is syntactically valid for Python requests; executes against the same endpoint and produces the same response. Variables are interpolated to their resolved values (not as literal '{{var}}'); secrets are masked or warning shown when copying.</t>
        </is>
      </c>
      <c r="J3172" s="16" t="inlineStr"/>
      <c r="K3172" s="16" t="inlineStr">
        <is>
          <t>Not Run</t>
        </is>
      </c>
      <c r="L3172" s="16" t="inlineStr">
        <is>
          <t>Medium</t>
        </is>
      </c>
      <c r="M3172" s="16" t="inlineStr"/>
      <c r="N3172" s="16" t="inlineStr"/>
      <c r="O3172" s="16" t="inlineStr"/>
    </row>
    <row r="3173" ht="72" customHeight="1">
      <c r="A3173" s="16" t="inlineStr">
        <is>
          <t>TC-CG-0066</t>
        </is>
      </c>
      <c r="B3173" s="16" t="inlineStr">
        <is>
          <t>Code Generation</t>
        </is>
      </c>
      <c r="C3173" s="16" t="inlineStr">
        <is>
          <t>Python requests</t>
        </is>
      </c>
      <c r="D3173" s="16" t="inlineStr">
        <is>
          <t>Functional</t>
        </is>
      </c>
      <c r="E3173" s="16" t="inlineStr">
        <is>
          <t>Codegen Python requests: Query params with arrays</t>
        </is>
      </c>
      <c r="F3173" s="16" t="inlineStr">
        <is>
          <t>-</t>
        </is>
      </c>
      <c r="G3173" s="16" t="inlineStr">
        <is>
          <t>1. Set up request shape: ?a=1&amp;a=2.
2. Generate code for Python requests (UI Copy-as / MCP generate.code).
3. Run the generated snippet in a Python requests runtime against the same endpoint.</t>
        </is>
      </c>
      <c r="H3173" s="16" t="inlineStr">
        <is>
          <t>lang=Python requests shape=Query params with arrays</t>
        </is>
      </c>
      <c r="I3173" s="16" t="inlineStr">
        <is>
          <t>Generated code is syntactically valid for Python requests; executes against the same endpoint and produces the same response. Variables are interpolated to their resolved values (not as literal '{{var}}'); secrets are masked or warning shown when copying.</t>
        </is>
      </c>
      <c r="J3173" s="16" t="inlineStr"/>
      <c r="K3173" s="16" t="inlineStr">
        <is>
          <t>Not Run</t>
        </is>
      </c>
      <c r="L3173" s="16" t="inlineStr">
        <is>
          <t>Medium</t>
        </is>
      </c>
      <c r="M3173" s="16" t="inlineStr"/>
      <c r="N3173" s="16" t="inlineStr"/>
      <c r="O3173" s="16" t="inlineStr"/>
    </row>
    <row r="3174" ht="72" customHeight="1">
      <c r="A3174" s="16" t="inlineStr">
        <is>
          <t>TC-CG-0067</t>
        </is>
      </c>
      <c r="B3174" s="16" t="inlineStr">
        <is>
          <t>Code Generation</t>
        </is>
      </c>
      <c r="C3174" s="16" t="inlineStr">
        <is>
          <t>Python requests</t>
        </is>
      </c>
      <c r="D3174" s="16" t="inlineStr">
        <is>
          <t>Functional</t>
        </is>
      </c>
      <c r="E3174" s="16" t="inlineStr">
        <is>
          <t>Codegen Python requests: Cookies</t>
        </is>
      </c>
      <c r="F3174" s="16" t="inlineStr">
        <is>
          <t>-</t>
        </is>
      </c>
      <c r="G3174" s="16" t="inlineStr">
        <is>
          <t>1. Set up request shape: Cookie header.
2. Generate code for Python requests (UI Copy-as / MCP generate.code).
3. Run the generated snippet in a Python requests runtime against the same endpoint.</t>
        </is>
      </c>
      <c r="H3174" s="16" t="inlineStr">
        <is>
          <t>lang=Python requests shape=Cookies</t>
        </is>
      </c>
      <c r="I3174" s="16" t="inlineStr">
        <is>
          <t>Generated code is syntactically valid for Python requests; executes against the same endpoint and produces the same response. Variables are interpolated to their resolved values (not as literal '{{var}}'); secrets are masked or warning shown when copying.</t>
        </is>
      </c>
      <c r="J3174" s="16" t="inlineStr"/>
      <c r="K3174" s="16" t="inlineStr">
        <is>
          <t>Not Run</t>
        </is>
      </c>
      <c r="L3174" s="16" t="inlineStr">
        <is>
          <t>Medium</t>
        </is>
      </c>
      <c r="M3174" s="16" t="inlineStr"/>
      <c r="N3174" s="16" t="inlineStr"/>
      <c r="O3174" s="16" t="inlineStr"/>
    </row>
    <row r="3175" ht="72" customHeight="1">
      <c r="A3175" s="16" t="inlineStr">
        <is>
          <t>TC-CG-0068</t>
        </is>
      </c>
      <c r="B3175" s="16" t="inlineStr">
        <is>
          <t>Code Generation</t>
        </is>
      </c>
      <c r="C3175" s="16" t="inlineStr">
        <is>
          <t>Python requests</t>
        </is>
      </c>
      <c r="D3175" s="16" t="inlineStr">
        <is>
          <t>Functional</t>
        </is>
      </c>
      <c r="E3175" s="16" t="inlineStr">
        <is>
          <t>Codegen Python requests: Variable interpolation</t>
        </is>
      </c>
      <c r="F3175" s="16" t="inlineStr">
        <is>
          <t>-</t>
        </is>
      </c>
      <c r="G3175" s="16" t="inlineStr">
        <is>
          <t>1. Set up request shape: Resolved values.
2. Generate code for Python requests (UI Copy-as / MCP generate.code).
3. Run the generated snippet in a Python requests runtime against the same endpoint.</t>
        </is>
      </c>
      <c r="H3175" s="16" t="inlineStr">
        <is>
          <t>lang=Python requests shape=Variable interpolation</t>
        </is>
      </c>
      <c r="I3175" s="16" t="inlineStr">
        <is>
          <t>Generated code is syntactically valid for Python requests; executes against the same endpoint and produces the same response. Variables are interpolated to their resolved values (not as literal '{{var}}'); secrets are masked or warning shown when copying.</t>
        </is>
      </c>
      <c r="J3175" s="16" t="inlineStr"/>
      <c r="K3175" s="16" t="inlineStr">
        <is>
          <t>Not Run</t>
        </is>
      </c>
      <c r="L3175" s="16" t="inlineStr">
        <is>
          <t>Medium</t>
        </is>
      </c>
      <c r="M3175" s="16" t="inlineStr"/>
      <c r="N3175" s="16" t="inlineStr"/>
      <c r="O3175" s="16" t="inlineStr"/>
    </row>
    <row r="3176" ht="72" customHeight="1">
      <c r="A3176" s="16" t="inlineStr">
        <is>
          <t>TC-CG-0069</t>
        </is>
      </c>
      <c r="B3176" s="16" t="inlineStr">
        <is>
          <t>Code Generation</t>
        </is>
      </c>
      <c r="C3176" s="16" t="inlineStr">
        <is>
          <t>Python httpx</t>
        </is>
      </c>
      <c r="D3176" s="16" t="inlineStr">
        <is>
          <t>Functional</t>
        </is>
      </c>
      <c r="E3176" s="16" t="inlineStr">
        <is>
          <t>Codegen Python httpx: Simple GET</t>
        </is>
      </c>
      <c r="F3176" s="16" t="inlineStr">
        <is>
          <t>-</t>
        </is>
      </c>
      <c r="G3176" s="16" t="inlineStr">
        <is>
          <t>1. Set up request shape: Just URL + method.
2. Generate code for Python httpx (UI Copy-as / MCP generate.code).
3. Run the generated snippet in a Python httpx runtime against the same endpoint.</t>
        </is>
      </c>
      <c r="H3176" s="16" t="inlineStr">
        <is>
          <t>lang=Python httpx shape=Simple GET</t>
        </is>
      </c>
      <c r="I3176" s="16" t="inlineStr">
        <is>
          <t>Generated code is syntactically valid for Python httpx; executes against the same endpoint and produces the same response. Variables are interpolated to their resolved values (not as literal '{{var}}'); secrets are masked or warning shown when copying.</t>
        </is>
      </c>
      <c r="J3176" s="16" t="inlineStr"/>
      <c r="K3176" s="16" t="inlineStr">
        <is>
          <t>Not Run</t>
        </is>
      </c>
      <c r="L3176" s="16" t="inlineStr">
        <is>
          <t>Low</t>
        </is>
      </c>
      <c r="M3176" s="16" t="inlineStr"/>
      <c r="N3176" s="16" t="inlineStr"/>
      <c r="O3176" s="16" t="inlineStr"/>
    </row>
    <row r="3177" ht="72" customHeight="1">
      <c r="A3177" s="16" t="inlineStr">
        <is>
          <t>TC-CG-0070</t>
        </is>
      </c>
      <c r="B3177" s="16" t="inlineStr">
        <is>
          <t>Code Generation</t>
        </is>
      </c>
      <c r="C3177" s="16" t="inlineStr">
        <is>
          <t>Python httpx</t>
        </is>
      </c>
      <c r="D3177" s="16" t="inlineStr">
        <is>
          <t>Functional</t>
        </is>
      </c>
      <c r="E3177" s="16" t="inlineStr">
        <is>
          <t>Codegen Python httpx: POST JSON</t>
        </is>
      </c>
      <c r="F3177" s="16" t="inlineStr">
        <is>
          <t>-</t>
        </is>
      </c>
      <c r="G3177" s="16" t="inlineStr">
        <is>
          <t>1. Set up request shape: Body + headers.
2. Generate code for Python httpx (UI Copy-as / MCP generate.code).
3. Run the generated snippet in a Python httpx runtime against the same endpoint.</t>
        </is>
      </c>
      <c r="H3177" s="16" t="inlineStr">
        <is>
          <t>lang=Python httpx shape=POST JSON</t>
        </is>
      </c>
      <c r="I3177" s="16" t="inlineStr">
        <is>
          <t>Generated code is syntactically valid for Python httpx; executes against the same endpoint and produces the same response. Variables are interpolated to their resolved values (not as literal '{{var}}'); secrets are masked or warning shown when copying.</t>
        </is>
      </c>
      <c r="J3177" s="16" t="inlineStr"/>
      <c r="K3177" s="16" t="inlineStr">
        <is>
          <t>Not Run</t>
        </is>
      </c>
      <c r="L3177" s="16" t="inlineStr">
        <is>
          <t>Low</t>
        </is>
      </c>
      <c r="M3177" s="16" t="inlineStr"/>
      <c r="N3177" s="16" t="inlineStr"/>
      <c r="O3177" s="16" t="inlineStr"/>
    </row>
    <row r="3178" ht="72" customHeight="1">
      <c r="A3178" s="16" t="inlineStr">
        <is>
          <t>TC-CG-0071</t>
        </is>
      </c>
      <c r="B3178" s="16" t="inlineStr">
        <is>
          <t>Code Generation</t>
        </is>
      </c>
      <c r="C3178" s="16" t="inlineStr">
        <is>
          <t>Python httpx</t>
        </is>
      </c>
      <c r="D3178" s="16" t="inlineStr">
        <is>
          <t>Functional</t>
        </is>
      </c>
      <c r="E3178" s="16" t="inlineStr">
        <is>
          <t>Codegen Python httpx: POST form-data</t>
        </is>
      </c>
      <c r="F3178" s="16" t="inlineStr">
        <is>
          <t>-</t>
        </is>
      </c>
      <c r="G3178" s="16" t="inlineStr">
        <is>
          <t>1. Set up request shape: Multipart.
2. Generate code for Python httpx (UI Copy-as / MCP generate.code).
3. Run the generated snippet in a Python httpx runtime against the same endpoint.</t>
        </is>
      </c>
      <c r="H3178" s="16" t="inlineStr">
        <is>
          <t>lang=Python httpx shape=POST form-data</t>
        </is>
      </c>
      <c r="I3178" s="16" t="inlineStr">
        <is>
          <t>Generated code is syntactically valid for Python httpx; executes against the same endpoint and produces the same response. Variables are interpolated to their resolved values (not as literal '{{var}}'); secrets are masked or warning shown when copying.</t>
        </is>
      </c>
      <c r="J3178" s="16" t="inlineStr"/>
      <c r="K3178" s="16" t="inlineStr">
        <is>
          <t>Not Run</t>
        </is>
      </c>
      <c r="L3178" s="16" t="inlineStr">
        <is>
          <t>Low</t>
        </is>
      </c>
      <c r="M3178" s="16" t="inlineStr"/>
      <c r="N3178" s="16" t="inlineStr"/>
      <c r="O3178" s="16" t="inlineStr"/>
    </row>
    <row r="3179" ht="72" customHeight="1">
      <c r="A3179" s="16" t="inlineStr">
        <is>
          <t>TC-CG-0072</t>
        </is>
      </c>
      <c r="B3179" s="16" t="inlineStr">
        <is>
          <t>Code Generation</t>
        </is>
      </c>
      <c r="C3179" s="16" t="inlineStr">
        <is>
          <t>Python httpx</t>
        </is>
      </c>
      <c r="D3179" s="16" t="inlineStr">
        <is>
          <t>Functional</t>
        </is>
      </c>
      <c r="E3179" s="16" t="inlineStr">
        <is>
          <t>Codegen Python httpx: POST urlencoded</t>
        </is>
      </c>
      <c r="F3179" s="16" t="inlineStr">
        <is>
          <t>-</t>
        </is>
      </c>
      <c r="G3179" s="16" t="inlineStr">
        <is>
          <t>1. Set up request shape: x-www-form-urlencoded.
2. Generate code for Python httpx (UI Copy-as / MCP generate.code).
3. Run the generated snippet in a Python httpx runtime against the same endpoint.</t>
        </is>
      </c>
      <c r="H3179" s="16" t="inlineStr">
        <is>
          <t>lang=Python httpx shape=POST urlencoded</t>
        </is>
      </c>
      <c r="I3179" s="16" t="inlineStr">
        <is>
          <t>Generated code is syntactically valid for Python httpx; executes against the same endpoint and produces the same response. Variables are interpolated to their resolved values (not as literal '{{var}}'); secrets are masked or warning shown when copying.</t>
        </is>
      </c>
      <c r="J3179" s="16" t="inlineStr"/>
      <c r="K3179" s="16" t="inlineStr">
        <is>
          <t>Not Run</t>
        </is>
      </c>
      <c r="L3179" s="16" t="inlineStr">
        <is>
          <t>Low</t>
        </is>
      </c>
      <c r="M3179" s="16" t="inlineStr"/>
      <c r="N3179" s="16" t="inlineStr"/>
      <c r="O3179" s="16" t="inlineStr"/>
    </row>
    <row r="3180" ht="72" customHeight="1">
      <c r="A3180" s="16" t="inlineStr">
        <is>
          <t>TC-CG-0073</t>
        </is>
      </c>
      <c r="B3180" s="16" t="inlineStr">
        <is>
          <t>Code Generation</t>
        </is>
      </c>
      <c r="C3180" s="16" t="inlineStr">
        <is>
          <t>Python httpx</t>
        </is>
      </c>
      <c r="D3180" s="16" t="inlineStr">
        <is>
          <t>Functional</t>
        </is>
      </c>
      <c r="E3180" s="16" t="inlineStr">
        <is>
          <t>Codegen Python httpx: File upload</t>
        </is>
      </c>
      <c r="F3180" s="16" t="inlineStr">
        <is>
          <t>-</t>
        </is>
      </c>
      <c r="G3180" s="16" t="inlineStr">
        <is>
          <t>1. Set up request shape: Binary.
2. Generate code for Python httpx (UI Copy-as / MCP generate.code).
3. Run the generated snippet in a Python httpx runtime against the same endpoint.</t>
        </is>
      </c>
      <c r="H3180" s="16" t="inlineStr">
        <is>
          <t>lang=Python httpx shape=File upload</t>
        </is>
      </c>
      <c r="I3180" s="16" t="inlineStr">
        <is>
          <t>Generated code is syntactically valid for Python httpx; executes against the same endpoint and produces the same response. Variables are interpolated to their resolved values (not as literal '{{var}}'); secrets are masked or warning shown when copying.</t>
        </is>
      </c>
      <c r="J3180" s="16" t="inlineStr"/>
      <c r="K3180" s="16" t="inlineStr">
        <is>
          <t>Not Run</t>
        </is>
      </c>
      <c r="L3180" s="16" t="inlineStr">
        <is>
          <t>Low</t>
        </is>
      </c>
      <c r="M3180" s="16" t="inlineStr"/>
      <c r="N3180" s="16" t="inlineStr"/>
      <c r="O3180" s="16" t="inlineStr"/>
    </row>
    <row r="3181" ht="72" customHeight="1">
      <c r="A3181" s="16" t="inlineStr">
        <is>
          <t>TC-CG-0074</t>
        </is>
      </c>
      <c r="B3181" s="16" t="inlineStr">
        <is>
          <t>Code Generation</t>
        </is>
      </c>
      <c r="C3181" s="16" t="inlineStr">
        <is>
          <t>Python httpx</t>
        </is>
      </c>
      <c r="D3181" s="16" t="inlineStr">
        <is>
          <t>Functional</t>
        </is>
      </c>
      <c r="E3181" s="16" t="inlineStr">
        <is>
          <t>Codegen Python httpx: GraphQL</t>
        </is>
      </c>
      <c r="F3181" s="16" t="inlineStr">
        <is>
          <t>-</t>
        </is>
      </c>
      <c r="G3181" s="16" t="inlineStr">
        <is>
          <t>1. Set up request shape: Query + variables.
2. Generate code for Python httpx (UI Copy-as / MCP generate.code).
3. Run the generated snippet in a Python httpx runtime against the same endpoint.</t>
        </is>
      </c>
      <c r="H3181" s="16" t="inlineStr">
        <is>
          <t>lang=Python httpx shape=GraphQL</t>
        </is>
      </c>
      <c r="I3181" s="16" t="inlineStr">
        <is>
          <t>Generated code is syntactically valid for Python httpx; executes against the same endpoint and produces the same response. Variables are interpolated to their resolved values (not as literal '{{var}}'); secrets are masked or warning shown when copying.</t>
        </is>
      </c>
      <c r="J3181" s="16" t="inlineStr"/>
      <c r="K3181" s="16" t="inlineStr">
        <is>
          <t>Not Run</t>
        </is>
      </c>
      <c r="L3181" s="16" t="inlineStr">
        <is>
          <t>Low</t>
        </is>
      </c>
      <c r="M3181" s="16" t="inlineStr"/>
      <c r="N3181" s="16" t="inlineStr"/>
      <c r="O3181" s="16" t="inlineStr"/>
    </row>
    <row r="3182" ht="72" customHeight="1">
      <c r="A3182" s="16" t="inlineStr">
        <is>
          <t>TC-CG-0075</t>
        </is>
      </c>
      <c r="B3182" s="16" t="inlineStr">
        <is>
          <t>Code Generation</t>
        </is>
      </c>
      <c r="C3182" s="16" t="inlineStr">
        <is>
          <t>Python httpx</t>
        </is>
      </c>
      <c r="D3182" s="16" t="inlineStr">
        <is>
          <t>Functional</t>
        </is>
      </c>
      <c r="E3182" s="16" t="inlineStr">
        <is>
          <t>Codegen Python httpx: Bearer auth</t>
        </is>
      </c>
      <c r="F3182" s="16" t="inlineStr">
        <is>
          <t>-</t>
        </is>
      </c>
      <c r="G3182" s="16" t="inlineStr">
        <is>
          <t>1. Set up request shape: Authorization header.
2. Generate code for Python httpx (UI Copy-as / MCP generate.code).
3. Run the generated snippet in a Python httpx runtime against the same endpoint.</t>
        </is>
      </c>
      <c r="H3182" s="16" t="inlineStr">
        <is>
          <t>lang=Python httpx shape=Bearer auth</t>
        </is>
      </c>
      <c r="I3182" s="16" t="inlineStr">
        <is>
          <t>Generated code is syntactically valid for Python httpx; executes against the same endpoint and produces the same response. Variables are interpolated to their resolved values (not as literal '{{var}}'); secrets are masked or warning shown when copying.</t>
        </is>
      </c>
      <c r="J3182" s="16" t="inlineStr"/>
      <c r="K3182" s="16" t="inlineStr">
        <is>
          <t>Not Run</t>
        </is>
      </c>
      <c r="L3182" s="16" t="inlineStr">
        <is>
          <t>Low</t>
        </is>
      </c>
      <c r="M3182" s="16" t="inlineStr"/>
      <c r="N3182" s="16" t="inlineStr"/>
      <c r="O3182" s="16" t="inlineStr"/>
    </row>
    <row r="3183" ht="72" customHeight="1">
      <c r="A3183" s="16" t="inlineStr">
        <is>
          <t>TC-CG-0076</t>
        </is>
      </c>
      <c r="B3183" s="16" t="inlineStr">
        <is>
          <t>Code Generation</t>
        </is>
      </c>
      <c r="C3183" s="16" t="inlineStr">
        <is>
          <t>Python httpx</t>
        </is>
      </c>
      <c r="D3183" s="16" t="inlineStr">
        <is>
          <t>Functional</t>
        </is>
      </c>
      <c r="E3183" s="16" t="inlineStr">
        <is>
          <t>Codegen Python httpx: Basic auth</t>
        </is>
      </c>
      <c r="F3183" s="16" t="inlineStr">
        <is>
          <t>-</t>
        </is>
      </c>
      <c r="G3183" s="16" t="inlineStr">
        <is>
          <t>1. Set up request shape: user:pass.
2. Generate code for Python httpx (UI Copy-as / MCP generate.code).
3. Run the generated snippet in a Python httpx runtime against the same endpoint.</t>
        </is>
      </c>
      <c r="H3183" s="16" t="inlineStr">
        <is>
          <t>lang=Python httpx shape=Basic auth</t>
        </is>
      </c>
      <c r="I3183" s="16" t="inlineStr">
        <is>
          <t>Generated code is syntactically valid for Python httpx; executes against the same endpoint and produces the same response. Variables are interpolated to their resolved values (not as literal '{{var}}'); secrets are masked or warning shown when copying.</t>
        </is>
      </c>
      <c r="J3183" s="16" t="inlineStr"/>
      <c r="K3183" s="16" t="inlineStr">
        <is>
          <t>Not Run</t>
        </is>
      </c>
      <c r="L3183" s="16" t="inlineStr">
        <is>
          <t>Low</t>
        </is>
      </c>
      <c r="M3183" s="16" t="inlineStr"/>
      <c r="N3183" s="16" t="inlineStr"/>
      <c r="O3183" s="16" t="inlineStr"/>
    </row>
    <row r="3184" ht="72" customHeight="1">
      <c r="A3184" s="16" t="inlineStr">
        <is>
          <t>TC-CG-0077</t>
        </is>
      </c>
      <c r="B3184" s="16" t="inlineStr">
        <is>
          <t>Code Generation</t>
        </is>
      </c>
      <c r="C3184" s="16" t="inlineStr">
        <is>
          <t>Python httpx</t>
        </is>
      </c>
      <c r="D3184" s="16" t="inlineStr">
        <is>
          <t>Functional</t>
        </is>
      </c>
      <c r="E3184" s="16" t="inlineStr">
        <is>
          <t>Codegen Python httpx: API Key header</t>
        </is>
      </c>
      <c r="F3184" s="16" t="inlineStr">
        <is>
          <t>-</t>
        </is>
      </c>
      <c r="G3184" s="16" t="inlineStr">
        <is>
          <t>1. Set up request shape: Custom header.
2. Generate code for Python httpx (UI Copy-as / MCP generate.code).
3. Run the generated snippet in a Python httpx runtime against the same endpoint.</t>
        </is>
      </c>
      <c r="H3184" s="16" t="inlineStr">
        <is>
          <t>lang=Python httpx shape=API Key header</t>
        </is>
      </c>
      <c r="I3184" s="16" t="inlineStr">
        <is>
          <t>Generated code is syntactically valid for Python httpx; executes against the same endpoint and produces the same response. Variables are interpolated to their resolved values (not as literal '{{var}}'); secrets are masked or warning shown when copying.</t>
        </is>
      </c>
      <c r="J3184" s="16" t="inlineStr"/>
      <c r="K3184" s="16" t="inlineStr">
        <is>
          <t>Not Run</t>
        </is>
      </c>
      <c r="L3184" s="16" t="inlineStr">
        <is>
          <t>Low</t>
        </is>
      </c>
      <c r="M3184" s="16" t="inlineStr"/>
      <c r="N3184" s="16" t="inlineStr"/>
      <c r="O3184" s="16" t="inlineStr"/>
    </row>
    <row r="3185" ht="72" customHeight="1">
      <c r="A3185" s="16" t="inlineStr">
        <is>
          <t>TC-CG-0078</t>
        </is>
      </c>
      <c r="B3185" s="16" t="inlineStr">
        <is>
          <t>Code Generation</t>
        </is>
      </c>
      <c r="C3185" s="16" t="inlineStr">
        <is>
          <t>Python httpx</t>
        </is>
      </c>
      <c r="D3185" s="16" t="inlineStr">
        <is>
          <t>Functional</t>
        </is>
      </c>
      <c r="E3185" s="16" t="inlineStr">
        <is>
          <t>Codegen Python httpx: API Key query</t>
        </is>
      </c>
      <c r="F3185" s="16" t="inlineStr">
        <is>
          <t>-</t>
        </is>
      </c>
      <c r="G3185" s="16" t="inlineStr">
        <is>
          <t>1. Set up request shape: Query param.
2. Generate code for Python httpx (UI Copy-as / MCP generate.code).
3. Run the generated snippet in a Python httpx runtime against the same endpoint.</t>
        </is>
      </c>
      <c r="H3185" s="16" t="inlineStr">
        <is>
          <t>lang=Python httpx shape=API Key query</t>
        </is>
      </c>
      <c r="I3185" s="16" t="inlineStr">
        <is>
          <t>Generated code is syntactically valid for Python httpx; executes against the same endpoint and produces the same response. Variables are interpolated to their resolved values (not as literal '{{var}}'); secrets are masked or warning shown when copying.</t>
        </is>
      </c>
      <c r="J3185" s="16" t="inlineStr"/>
      <c r="K3185" s="16" t="inlineStr">
        <is>
          <t>Not Run</t>
        </is>
      </c>
      <c r="L3185" s="16" t="inlineStr">
        <is>
          <t>Low</t>
        </is>
      </c>
      <c r="M3185" s="16" t="inlineStr"/>
      <c r="N3185" s="16" t="inlineStr"/>
      <c r="O3185" s="16" t="inlineStr"/>
    </row>
    <row r="3186" ht="72" customHeight="1">
      <c r="A3186" s="16" t="inlineStr">
        <is>
          <t>TC-CG-0079</t>
        </is>
      </c>
      <c r="B3186" s="16" t="inlineStr">
        <is>
          <t>Code Generation</t>
        </is>
      </c>
      <c r="C3186" s="16" t="inlineStr">
        <is>
          <t>Python httpx</t>
        </is>
      </c>
      <c r="D3186" s="16" t="inlineStr">
        <is>
          <t>Functional</t>
        </is>
      </c>
      <c r="E3186" s="16" t="inlineStr">
        <is>
          <t>Codegen Python httpx: OAuth2 (with token)</t>
        </is>
      </c>
      <c r="F3186" s="16" t="inlineStr">
        <is>
          <t>-</t>
        </is>
      </c>
      <c r="G3186" s="16" t="inlineStr">
        <is>
          <t>1. Set up request shape: Token attached.
2. Generate code for Python httpx (UI Copy-as / MCP generate.code).
3. Run the generated snippet in a Python httpx runtime against the same endpoint.</t>
        </is>
      </c>
      <c r="H3186" s="16" t="inlineStr">
        <is>
          <t>lang=Python httpx shape=OAuth2 (with token)</t>
        </is>
      </c>
      <c r="I3186" s="16" t="inlineStr">
        <is>
          <t>Generated code is syntactically valid for Python httpx; executes against the same endpoint and produces the same response. Variables are interpolated to their resolved values (not as literal '{{var}}'); secrets are masked or warning shown when copying.</t>
        </is>
      </c>
      <c r="J3186" s="16" t="inlineStr"/>
      <c r="K3186" s="16" t="inlineStr">
        <is>
          <t>Not Run</t>
        </is>
      </c>
      <c r="L3186" s="16" t="inlineStr">
        <is>
          <t>Low</t>
        </is>
      </c>
      <c r="M3186" s="16" t="inlineStr"/>
      <c r="N3186" s="16" t="inlineStr"/>
      <c r="O3186" s="16" t="inlineStr"/>
    </row>
    <row r="3187" ht="72" customHeight="1">
      <c r="A3187" s="16" t="inlineStr">
        <is>
          <t>TC-CG-0080</t>
        </is>
      </c>
      <c r="B3187" s="16" t="inlineStr">
        <is>
          <t>Code Generation</t>
        </is>
      </c>
      <c r="C3187" s="16" t="inlineStr">
        <is>
          <t>Python httpx</t>
        </is>
      </c>
      <c r="D3187" s="16" t="inlineStr">
        <is>
          <t>Functional</t>
        </is>
      </c>
      <c r="E3187" s="16" t="inlineStr">
        <is>
          <t>Codegen Python httpx: AWS SigV4</t>
        </is>
      </c>
      <c r="F3187" s="16" t="inlineStr">
        <is>
          <t>-</t>
        </is>
      </c>
      <c r="G3187" s="16" t="inlineStr">
        <is>
          <t>1. Set up request shape: Signed request.
2. Generate code for Python httpx (UI Copy-as / MCP generate.code).
3. Run the generated snippet in a Python httpx runtime against the same endpoint.</t>
        </is>
      </c>
      <c r="H3187" s="16" t="inlineStr">
        <is>
          <t>lang=Python httpx shape=AWS SigV4</t>
        </is>
      </c>
      <c r="I3187" s="16" t="inlineStr">
        <is>
          <t>Generated code is syntactically valid for Python httpx; executes against the same endpoint and produces the same response. Variables are interpolated to their resolved values (not as literal '{{var}}'); secrets are masked or warning shown when copying.</t>
        </is>
      </c>
      <c r="J3187" s="16" t="inlineStr"/>
      <c r="K3187" s="16" t="inlineStr">
        <is>
          <t>Not Run</t>
        </is>
      </c>
      <c r="L3187" s="16" t="inlineStr">
        <is>
          <t>Low</t>
        </is>
      </c>
      <c r="M3187" s="16" t="inlineStr"/>
      <c r="N3187" s="16" t="inlineStr"/>
      <c r="O3187" s="16" t="inlineStr"/>
    </row>
    <row r="3188" ht="72" customHeight="1">
      <c r="A3188" s="16" t="inlineStr">
        <is>
          <t>TC-CG-0081</t>
        </is>
      </c>
      <c r="B3188" s="16" t="inlineStr">
        <is>
          <t>Code Generation</t>
        </is>
      </c>
      <c r="C3188" s="16" t="inlineStr">
        <is>
          <t>Python httpx</t>
        </is>
      </c>
      <c r="D3188" s="16" t="inlineStr">
        <is>
          <t>Functional</t>
        </is>
      </c>
      <c r="E3188" s="16" t="inlineStr">
        <is>
          <t>Codegen Python httpx: Custom headers</t>
        </is>
      </c>
      <c r="F3188" s="16" t="inlineStr">
        <is>
          <t>-</t>
        </is>
      </c>
      <c r="G3188" s="16" t="inlineStr">
        <is>
          <t>1. Set up request shape: User-set.
2. Generate code for Python httpx (UI Copy-as / MCP generate.code).
3. Run the generated snippet in a Python httpx runtime against the same endpoint.</t>
        </is>
      </c>
      <c r="H3188" s="16" t="inlineStr">
        <is>
          <t>lang=Python httpx shape=Custom headers</t>
        </is>
      </c>
      <c r="I3188" s="16" t="inlineStr">
        <is>
          <t>Generated code is syntactically valid for Python httpx; executes against the same endpoint and produces the same response. Variables are interpolated to their resolved values (not as literal '{{var}}'); secrets are masked or warning shown when copying.</t>
        </is>
      </c>
      <c r="J3188" s="16" t="inlineStr"/>
      <c r="K3188" s="16" t="inlineStr">
        <is>
          <t>Not Run</t>
        </is>
      </c>
      <c r="L3188" s="16" t="inlineStr">
        <is>
          <t>Low</t>
        </is>
      </c>
      <c r="M3188" s="16" t="inlineStr"/>
      <c r="N3188" s="16" t="inlineStr"/>
      <c r="O3188" s="16" t="inlineStr"/>
    </row>
    <row r="3189" ht="72" customHeight="1">
      <c r="A3189" s="16" t="inlineStr">
        <is>
          <t>TC-CG-0082</t>
        </is>
      </c>
      <c r="B3189" s="16" t="inlineStr">
        <is>
          <t>Code Generation</t>
        </is>
      </c>
      <c r="C3189" s="16" t="inlineStr">
        <is>
          <t>Python httpx</t>
        </is>
      </c>
      <c r="D3189" s="16" t="inlineStr">
        <is>
          <t>Functional</t>
        </is>
      </c>
      <c r="E3189" s="16" t="inlineStr">
        <is>
          <t>Codegen Python httpx: Path params</t>
        </is>
      </c>
      <c r="F3189" s="16" t="inlineStr">
        <is>
          <t>-</t>
        </is>
      </c>
      <c r="G3189" s="16" t="inlineStr">
        <is>
          <t>1. Set up request shape: URL with {id}.
2. Generate code for Python httpx (UI Copy-as / MCP generate.code).
3. Run the generated snippet in a Python httpx runtime against the same endpoint.</t>
        </is>
      </c>
      <c r="H3189" s="16" t="inlineStr">
        <is>
          <t>lang=Python httpx shape=Path params</t>
        </is>
      </c>
      <c r="I3189" s="16" t="inlineStr">
        <is>
          <t>Generated code is syntactically valid for Python httpx; executes against the same endpoint and produces the same response. Variables are interpolated to their resolved values (not as literal '{{var}}'); secrets are masked or warning shown when copying.</t>
        </is>
      </c>
      <c r="J3189" s="16" t="inlineStr"/>
      <c r="K3189" s="16" t="inlineStr">
        <is>
          <t>Not Run</t>
        </is>
      </c>
      <c r="L3189" s="16" t="inlineStr">
        <is>
          <t>Low</t>
        </is>
      </c>
      <c r="M3189" s="16" t="inlineStr"/>
      <c r="N3189" s="16" t="inlineStr"/>
      <c r="O3189" s="16" t="inlineStr"/>
    </row>
    <row r="3190" ht="72" customHeight="1">
      <c r="A3190" s="16" t="inlineStr">
        <is>
          <t>TC-CG-0083</t>
        </is>
      </c>
      <c r="B3190" s="16" t="inlineStr">
        <is>
          <t>Code Generation</t>
        </is>
      </c>
      <c r="C3190" s="16" t="inlineStr">
        <is>
          <t>Python httpx</t>
        </is>
      </c>
      <c r="D3190" s="16" t="inlineStr">
        <is>
          <t>Functional</t>
        </is>
      </c>
      <c r="E3190" s="16" t="inlineStr">
        <is>
          <t>Codegen Python httpx: Query params with arrays</t>
        </is>
      </c>
      <c r="F3190" s="16" t="inlineStr">
        <is>
          <t>-</t>
        </is>
      </c>
      <c r="G3190" s="16" t="inlineStr">
        <is>
          <t>1. Set up request shape: ?a=1&amp;a=2.
2. Generate code for Python httpx (UI Copy-as / MCP generate.code).
3. Run the generated snippet in a Python httpx runtime against the same endpoint.</t>
        </is>
      </c>
      <c r="H3190" s="16" t="inlineStr">
        <is>
          <t>lang=Python httpx shape=Query params with arrays</t>
        </is>
      </c>
      <c r="I3190" s="16" t="inlineStr">
        <is>
          <t>Generated code is syntactically valid for Python httpx; executes against the same endpoint and produces the same response. Variables are interpolated to their resolved values (not as literal '{{var}}'); secrets are masked or warning shown when copying.</t>
        </is>
      </c>
      <c r="J3190" s="16" t="inlineStr"/>
      <c r="K3190" s="16" t="inlineStr">
        <is>
          <t>Not Run</t>
        </is>
      </c>
      <c r="L3190" s="16" t="inlineStr">
        <is>
          <t>Low</t>
        </is>
      </c>
      <c r="M3190" s="16" t="inlineStr"/>
      <c r="N3190" s="16" t="inlineStr"/>
      <c r="O3190" s="16" t="inlineStr"/>
    </row>
    <row r="3191" ht="72" customHeight="1">
      <c r="A3191" s="16" t="inlineStr">
        <is>
          <t>TC-CG-0084</t>
        </is>
      </c>
      <c r="B3191" s="16" t="inlineStr">
        <is>
          <t>Code Generation</t>
        </is>
      </c>
      <c r="C3191" s="16" t="inlineStr">
        <is>
          <t>Python httpx</t>
        </is>
      </c>
      <c r="D3191" s="16" t="inlineStr">
        <is>
          <t>Functional</t>
        </is>
      </c>
      <c r="E3191" s="16" t="inlineStr">
        <is>
          <t>Codegen Python httpx: Cookies</t>
        </is>
      </c>
      <c r="F3191" s="16" t="inlineStr">
        <is>
          <t>-</t>
        </is>
      </c>
      <c r="G3191" s="16" t="inlineStr">
        <is>
          <t>1. Set up request shape: Cookie header.
2. Generate code for Python httpx (UI Copy-as / MCP generate.code).
3. Run the generated snippet in a Python httpx runtime against the same endpoint.</t>
        </is>
      </c>
      <c r="H3191" s="16" t="inlineStr">
        <is>
          <t>lang=Python httpx shape=Cookies</t>
        </is>
      </c>
      <c r="I3191" s="16" t="inlineStr">
        <is>
          <t>Generated code is syntactically valid for Python httpx; executes against the same endpoint and produces the same response. Variables are interpolated to their resolved values (not as literal '{{var}}'); secrets are masked or warning shown when copying.</t>
        </is>
      </c>
      <c r="J3191" s="16" t="inlineStr"/>
      <c r="K3191" s="16" t="inlineStr">
        <is>
          <t>Not Run</t>
        </is>
      </c>
      <c r="L3191" s="16" t="inlineStr">
        <is>
          <t>Low</t>
        </is>
      </c>
      <c r="M3191" s="16" t="inlineStr"/>
      <c r="N3191" s="16" t="inlineStr"/>
      <c r="O3191" s="16" t="inlineStr"/>
    </row>
    <row r="3192" ht="72" customHeight="1">
      <c r="A3192" s="16" t="inlineStr">
        <is>
          <t>TC-CG-0085</t>
        </is>
      </c>
      <c r="B3192" s="16" t="inlineStr">
        <is>
          <t>Code Generation</t>
        </is>
      </c>
      <c r="C3192" s="16" t="inlineStr">
        <is>
          <t>Python httpx</t>
        </is>
      </c>
      <c r="D3192" s="16" t="inlineStr">
        <is>
          <t>Functional</t>
        </is>
      </c>
      <c r="E3192" s="16" t="inlineStr">
        <is>
          <t>Codegen Python httpx: Variable interpolation</t>
        </is>
      </c>
      <c r="F3192" s="16" t="inlineStr">
        <is>
          <t>-</t>
        </is>
      </c>
      <c r="G3192" s="16" t="inlineStr">
        <is>
          <t>1. Set up request shape: Resolved values.
2. Generate code for Python httpx (UI Copy-as / MCP generate.code).
3. Run the generated snippet in a Python httpx runtime against the same endpoint.</t>
        </is>
      </c>
      <c r="H3192" s="16" t="inlineStr">
        <is>
          <t>lang=Python httpx shape=Variable interpolation</t>
        </is>
      </c>
      <c r="I3192" s="16" t="inlineStr">
        <is>
          <t>Generated code is syntactically valid for Python httpx; executes against the same endpoint and produces the same response. Variables are interpolated to their resolved values (not as literal '{{var}}'); secrets are masked or warning shown when copying.</t>
        </is>
      </c>
      <c r="J3192" s="16" t="inlineStr"/>
      <c r="K3192" s="16" t="inlineStr">
        <is>
          <t>Not Run</t>
        </is>
      </c>
      <c r="L3192" s="16" t="inlineStr">
        <is>
          <t>Low</t>
        </is>
      </c>
      <c r="M3192" s="16" t="inlineStr"/>
      <c r="N3192" s="16" t="inlineStr"/>
      <c r="O3192" s="16" t="inlineStr"/>
    </row>
    <row r="3193" ht="72" customHeight="1">
      <c r="A3193" s="16" t="inlineStr">
        <is>
          <t>TC-CG-0086</t>
        </is>
      </c>
      <c r="B3193" s="16" t="inlineStr">
        <is>
          <t>Code Generation</t>
        </is>
      </c>
      <c r="C3193" s="16" t="inlineStr">
        <is>
          <t>Go net/http</t>
        </is>
      </c>
      <c r="D3193" s="16" t="inlineStr">
        <is>
          <t>Functional</t>
        </is>
      </c>
      <c r="E3193" s="16" t="inlineStr">
        <is>
          <t>Codegen Go net/http: Simple GET</t>
        </is>
      </c>
      <c r="F3193" s="16" t="inlineStr">
        <is>
          <t>-</t>
        </is>
      </c>
      <c r="G3193" s="16" t="inlineStr">
        <is>
          <t>1. Set up request shape: Just URL + method.
2. Generate code for Go net/http (UI Copy-as / MCP generate.code).
3. Run the generated snippet in a Go net/http runtime against the same endpoint.</t>
        </is>
      </c>
      <c r="H3193" s="16" t="inlineStr">
        <is>
          <t>lang=Go net/http shape=Simple GET</t>
        </is>
      </c>
      <c r="I3193" s="16" t="inlineStr">
        <is>
          <t>Generated code is syntactically valid for Go net/http; executes against the same endpoint and produces the same response. Variables are interpolated to their resolved values (not as literal '{{var}}'); secrets are masked or warning shown when copying.</t>
        </is>
      </c>
      <c r="J3193" s="16" t="inlineStr"/>
      <c r="K3193" s="16" t="inlineStr">
        <is>
          <t>Not Run</t>
        </is>
      </c>
      <c r="L3193" s="16" t="inlineStr">
        <is>
          <t>Medium</t>
        </is>
      </c>
      <c r="M3193" s="16" t="inlineStr"/>
      <c r="N3193" s="16" t="inlineStr"/>
      <c r="O3193" s="16" t="inlineStr"/>
    </row>
    <row r="3194" ht="72" customHeight="1">
      <c r="A3194" s="16" t="inlineStr">
        <is>
          <t>TC-CG-0087</t>
        </is>
      </c>
      <c r="B3194" s="16" t="inlineStr">
        <is>
          <t>Code Generation</t>
        </is>
      </c>
      <c r="C3194" s="16" t="inlineStr">
        <is>
          <t>Go net/http</t>
        </is>
      </c>
      <c r="D3194" s="16" t="inlineStr">
        <is>
          <t>Functional</t>
        </is>
      </c>
      <c r="E3194" s="16" t="inlineStr">
        <is>
          <t>Codegen Go net/http: POST JSON</t>
        </is>
      </c>
      <c r="F3194" s="16" t="inlineStr">
        <is>
          <t>-</t>
        </is>
      </c>
      <c r="G3194" s="16" t="inlineStr">
        <is>
          <t>1. Set up request shape: Body + headers.
2. Generate code for Go net/http (UI Copy-as / MCP generate.code).
3. Run the generated snippet in a Go net/http runtime against the same endpoint.</t>
        </is>
      </c>
      <c r="H3194" s="16" t="inlineStr">
        <is>
          <t>lang=Go net/http shape=POST JSON</t>
        </is>
      </c>
      <c r="I3194" s="16" t="inlineStr">
        <is>
          <t>Generated code is syntactically valid for Go net/http; executes against the same endpoint and produces the same response. Variables are interpolated to their resolved values (not as literal '{{var}}'); secrets are masked or warning shown when copying.</t>
        </is>
      </c>
      <c r="J3194" s="16" t="inlineStr"/>
      <c r="K3194" s="16" t="inlineStr">
        <is>
          <t>Not Run</t>
        </is>
      </c>
      <c r="L3194" s="16" t="inlineStr">
        <is>
          <t>Medium</t>
        </is>
      </c>
      <c r="M3194" s="16" t="inlineStr"/>
      <c r="N3194" s="16" t="inlineStr"/>
      <c r="O3194" s="16" t="inlineStr"/>
    </row>
    <row r="3195" ht="72" customHeight="1">
      <c r="A3195" s="16" t="inlineStr">
        <is>
          <t>TC-CG-0088</t>
        </is>
      </c>
      <c r="B3195" s="16" t="inlineStr">
        <is>
          <t>Code Generation</t>
        </is>
      </c>
      <c r="C3195" s="16" t="inlineStr">
        <is>
          <t>Go net/http</t>
        </is>
      </c>
      <c r="D3195" s="16" t="inlineStr">
        <is>
          <t>Functional</t>
        </is>
      </c>
      <c r="E3195" s="16" t="inlineStr">
        <is>
          <t>Codegen Go net/http: POST form-data</t>
        </is>
      </c>
      <c r="F3195" s="16" t="inlineStr">
        <is>
          <t>-</t>
        </is>
      </c>
      <c r="G3195" s="16" t="inlineStr">
        <is>
          <t>1. Set up request shape: Multipart.
2. Generate code for Go net/http (UI Copy-as / MCP generate.code).
3. Run the generated snippet in a Go net/http runtime against the same endpoint.</t>
        </is>
      </c>
      <c r="H3195" s="16" t="inlineStr">
        <is>
          <t>lang=Go net/http shape=POST form-data</t>
        </is>
      </c>
      <c r="I3195" s="16" t="inlineStr">
        <is>
          <t>Generated code is syntactically valid for Go net/http; executes against the same endpoint and produces the same response. Variables are interpolated to their resolved values (not as literal '{{var}}'); secrets are masked or warning shown when copying.</t>
        </is>
      </c>
      <c r="J3195" s="16" t="inlineStr"/>
      <c r="K3195" s="16" t="inlineStr">
        <is>
          <t>Not Run</t>
        </is>
      </c>
      <c r="L3195" s="16" t="inlineStr">
        <is>
          <t>Medium</t>
        </is>
      </c>
      <c r="M3195" s="16" t="inlineStr"/>
      <c r="N3195" s="16" t="inlineStr"/>
      <c r="O3195" s="16" t="inlineStr"/>
    </row>
    <row r="3196" ht="72" customHeight="1">
      <c r="A3196" s="16" t="inlineStr">
        <is>
          <t>TC-CG-0089</t>
        </is>
      </c>
      <c r="B3196" s="16" t="inlineStr">
        <is>
          <t>Code Generation</t>
        </is>
      </c>
      <c r="C3196" s="16" t="inlineStr">
        <is>
          <t>Go net/http</t>
        </is>
      </c>
      <c r="D3196" s="16" t="inlineStr">
        <is>
          <t>Functional</t>
        </is>
      </c>
      <c r="E3196" s="16" t="inlineStr">
        <is>
          <t>Codegen Go net/http: POST urlencoded</t>
        </is>
      </c>
      <c r="F3196" s="16" t="inlineStr">
        <is>
          <t>-</t>
        </is>
      </c>
      <c r="G3196" s="16" t="inlineStr">
        <is>
          <t>1. Set up request shape: x-www-form-urlencoded.
2. Generate code for Go net/http (UI Copy-as / MCP generate.code).
3. Run the generated snippet in a Go net/http runtime against the same endpoint.</t>
        </is>
      </c>
      <c r="H3196" s="16" t="inlineStr">
        <is>
          <t>lang=Go net/http shape=POST urlencoded</t>
        </is>
      </c>
      <c r="I3196" s="16" t="inlineStr">
        <is>
          <t>Generated code is syntactically valid for Go net/http; executes against the same endpoint and produces the same response. Variables are interpolated to their resolved values (not as literal '{{var}}'); secrets are masked or warning shown when copying.</t>
        </is>
      </c>
      <c r="J3196" s="16" t="inlineStr"/>
      <c r="K3196" s="16" t="inlineStr">
        <is>
          <t>Not Run</t>
        </is>
      </c>
      <c r="L3196" s="16" t="inlineStr">
        <is>
          <t>Medium</t>
        </is>
      </c>
      <c r="M3196" s="16" t="inlineStr"/>
      <c r="N3196" s="16" t="inlineStr"/>
      <c r="O3196" s="16" t="inlineStr"/>
    </row>
    <row r="3197" ht="72" customHeight="1">
      <c r="A3197" s="16" t="inlineStr">
        <is>
          <t>TC-CG-0090</t>
        </is>
      </c>
      <c r="B3197" s="16" t="inlineStr">
        <is>
          <t>Code Generation</t>
        </is>
      </c>
      <c r="C3197" s="16" t="inlineStr">
        <is>
          <t>Go net/http</t>
        </is>
      </c>
      <c r="D3197" s="16" t="inlineStr">
        <is>
          <t>Functional</t>
        </is>
      </c>
      <c r="E3197" s="16" t="inlineStr">
        <is>
          <t>Codegen Go net/http: File upload</t>
        </is>
      </c>
      <c r="F3197" s="16" t="inlineStr">
        <is>
          <t>-</t>
        </is>
      </c>
      <c r="G3197" s="16" t="inlineStr">
        <is>
          <t>1. Set up request shape: Binary.
2. Generate code for Go net/http (UI Copy-as / MCP generate.code).
3. Run the generated snippet in a Go net/http runtime against the same endpoint.</t>
        </is>
      </c>
      <c r="H3197" s="16" t="inlineStr">
        <is>
          <t>lang=Go net/http shape=File upload</t>
        </is>
      </c>
      <c r="I3197" s="16" t="inlineStr">
        <is>
          <t>Generated code is syntactically valid for Go net/http; executes against the same endpoint and produces the same response. Variables are interpolated to their resolved values (not as literal '{{var}}'); secrets are masked or warning shown when copying.</t>
        </is>
      </c>
      <c r="J3197" s="16" t="inlineStr"/>
      <c r="K3197" s="16" t="inlineStr">
        <is>
          <t>Not Run</t>
        </is>
      </c>
      <c r="L3197" s="16" t="inlineStr">
        <is>
          <t>Medium</t>
        </is>
      </c>
      <c r="M3197" s="16" t="inlineStr"/>
      <c r="N3197" s="16" t="inlineStr"/>
      <c r="O3197" s="16" t="inlineStr"/>
    </row>
    <row r="3198" ht="72" customHeight="1">
      <c r="A3198" s="16" t="inlineStr">
        <is>
          <t>TC-CG-0091</t>
        </is>
      </c>
      <c r="B3198" s="16" t="inlineStr">
        <is>
          <t>Code Generation</t>
        </is>
      </c>
      <c r="C3198" s="16" t="inlineStr">
        <is>
          <t>Go net/http</t>
        </is>
      </c>
      <c r="D3198" s="16" t="inlineStr">
        <is>
          <t>Functional</t>
        </is>
      </c>
      <c r="E3198" s="16" t="inlineStr">
        <is>
          <t>Codegen Go net/http: GraphQL</t>
        </is>
      </c>
      <c r="F3198" s="16" t="inlineStr">
        <is>
          <t>-</t>
        </is>
      </c>
      <c r="G3198" s="16" t="inlineStr">
        <is>
          <t>1. Set up request shape: Query + variables.
2. Generate code for Go net/http (UI Copy-as / MCP generate.code).
3. Run the generated snippet in a Go net/http runtime against the same endpoint.</t>
        </is>
      </c>
      <c r="H3198" s="16" t="inlineStr">
        <is>
          <t>lang=Go net/http shape=GraphQL</t>
        </is>
      </c>
      <c r="I3198" s="16" t="inlineStr">
        <is>
          <t>Generated code is syntactically valid for Go net/http; executes against the same endpoint and produces the same response. Variables are interpolated to their resolved values (not as literal '{{var}}'); secrets are masked or warning shown when copying.</t>
        </is>
      </c>
      <c r="J3198" s="16" t="inlineStr"/>
      <c r="K3198" s="16" t="inlineStr">
        <is>
          <t>Not Run</t>
        </is>
      </c>
      <c r="L3198" s="16" t="inlineStr">
        <is>
          <t>Medium</t>
        </is>
      </c>
      <c r="M3198" s="16" t="inlineStr"/>
      <c r="N3198" s="16" t="inlineStr"/>
      <c r="O3198" s="16" t="inlineStr"/>
    </row>
    <row r="3199" ht="72" customHeight="1">
      <c r="A3199" s="16" t="inlineStr">
        <is>
          <t>TC-CG-0092</t>
        </is>
      </c>
      <c r="B3199" s="16" t="inlineStr">
        <is>
          <t>Code Generation</t>
        </is>
      </c>
      <c r="C3199" s="16" t="inlineStr">
        <is>
          <t>Go net/http</t>
        </is>
      </c>
      <c r="D3199" s="16" t="inlineStr">
        <is>
          <t>Functional</t>
        </is>
      </c>
      <c r="E3199" s="16" t="inlineStr">
        <is>
          <t>Codegen Go net/http: Bearer auth</t>
        </is>
      </c>
      <c r="F3199" s="16" t="inlineStr">
        <is>
          <t>-</t>
        </is>
      </c>
      <c r="G3199" s="16" t="inlineStr">
        <is>
          <t>1. Set up request shape: Authorization header.
2. Generate code for Go net/http (UI Copy-as / MCP generate.code).
3. Run the generated snippet in a Go net/http runtime against the same endpoint.</t>
        </is>
      </c>
      <c r="H3199" s="16" t="inlineStr">
        <is>
          <t>lang=Go net/http shape=Bearer auth</t>
        </is>
      </c>
      <c r="I3199" s="16" t="inlineStr">
        <is>
          <t>Generated code is syntactically valid for Go net/http; executes against the same endpoint and produces the same response. Variables are interpolated to their resolved values (not as literal '{{var}}'); secrets are masked or warning shown when copying.</t>
        </is>
      </c>
      <c r="J3199" s="16" t="inlineStr"/>
      <c r="K3199" s="16" t="inlineStr">
        <is>
          <t>Not Run</t>
        </is>
      </c>
      <c r="L3199" s="16" t="inlineStr">
        <is>
          <t>Medium</t>
        </is>
      </c>
      <c r="M3199" s="16" t="inlineStr"/>
      <c r="N3199" s="16" t="inlineStr"/>
      <c r="O3199" s="16" t="inlineStr"/>
    </row>
    <row r="3200" ht="72" customHeight="1">
      <c r="A3200" s="16" t="inlineStr">
        <is>
          <t>TC-CG-0093</t>
        </is>
      </c>
      <c r="B3200" s="16" t="inlineStr">
        <is>
          <t>Code Generation</t>
        </is>
      </c>
      <c r="C3200" s="16" t="inlineStr">
        <is>
          <t>Go net/http</t>
        </is>
      </c>
      <c r="D3200" s="16" t="inlineStr">
        <is>
          <t>Functional</t>
        </is>
      </c>
      <c r="E3200" s="16" t="inlineStr">
        <is>
          <t>Codegen Go net/http: Basic auth</t>
        </is>
      </c>
      <c r="F3200" s="16" t="inlineStr">
        <is>
          <t>-</t>
        </is>
      </c>
      <c r="G3200" s="16" t="inlineStr">
        <is>
          <t>1. Set up request shape: user:pass.
2. Generate code for Go net/http (UI Copy-as / MCP generate.code).
3. Run the generated snippet in a Go net/http runtime against the same endpoint.</t>
        </is>
      </c>
      <c r="H3200" s="16" t="inlineStr">
        <is>
          <t>lang=Go net/http shape=Basic auth</t>
        </is>
      </c>
      <c r="I3200" s="16" t="inlineStr">
        <is>
          <t>Generated code is syntactically valid for Go net/http; executes against the same endpoint and produces the same response. Variables are interpolated to their resolved values (not as literal '{{var}}'); secrets are masked or warning shown when copying.</t>
        </is>
      </c>
      <c r="J3200" s="16" t="inlineStr"/>
      <c r="K3200" s="16" t="inlineStr">
        <is>
          <t>Not Run</t>
        </is>
      </c>
      <c r="L3200" s="16" t="inlineStr">
        <is>
          <t>Medium</t>
        </is>
      </c>
      <c r="M3200" s="16" t="inlineStr"/>
      <c r="N3200" s="16" t="inlineStr"/>
      <c r="O3200" s="16" t="inlineStr"/>
    </row>
    <row r="3201" ht="72" customHeight="1">
      <c r="A3201" s="16" t="inlineStr">
        <is>
          <t>TC-CG-0094</t>
        </is>
      </c>
      <c r="B3201" s="16" t="inlineStr">
        <is>
          <t>Code Generation</t>
        </is>
      </c>
      <c r="C3201" s="16" t="inlineStr">
        <is>
          <t>Go net/http</t>
        </is>
      </c>
      <c r="D3201" s="16" t="inlineStr">
        <is>
          <t>Functional</t>
        </is>
      </c>
      <c r="E3201" s="16" t="inlineStr">
        <is>
          <t>Codegen Go net/http: API Key header</t>
        </is>
      </c>
      <c r="F3201" s="16" t="inlineStr">
        <is>
          <t>-</t>
        </is>
      </c>
      <c r="G3201" s="16" t="inlineStr">
        <is>
          <t>1. Set up request shape: Custom header.
2. Generate code for Go net/http (UI Copy-as / MCP generate.code).
3. Run the generated snippet in a Go net/http runtime against the same endpoint.</t>
        </is>
      </c>
      <c r="H3201" s="16" t="inlineStr">
        <is>
          <t>lang=Go net/http shape=API Key header</t>
        </is>
      </c>
      <c r="I3201" s="16" t="inlineStr">
        <is>
          <t>Generated code is syntactically valid for Go net/http; executes against the same endpoint and produces the same response. Variables are interpolated to their resolved values (not as literal '{{var}}'); secrets are masked or warning shown when copying.</t>
        </is>
      </c>
      <c r="J3201" s="16" t="inlineStr"/>
      <c r="K3201" s="16" t="inlineStr">
        <is>
          <t>Not Run</t>
        </is>
      </c>
      <c r="L3201" s="16" t="inlineStr">
        <is>
          <t>Medium</t>
        </is>
      </c>
      <c r="M3201" s="16" t="inlineStr"/>
      <c r="N3201" s="16" t="inlineStr"/>
      <c r="O3201" s="16" t="inlineStr"/>
    </row>
    <row r="3202" ht="72" customHeight="1">
      <c r="A3202" s="16" t="inlineStr">
        <is>
          <t>TC-CG-0095</t>
        </is>
      </c>
      <c r="B3202" s="16" t="inlineStr">
        <is>
          <t>Code Generation</t>
        </is>
      </c>
      <c r="C3202" s="16" t="inlineStr">
        <is>
          <t>Go net/http</t>
        </is>
      </c>
      <c r="D3202" s="16" t="inlineStr">
        <is>
          <t>Functional</t>
        </is>
      </c>
      <c r="E3202" s="16" t="inlineStr">
        <is>
          <t>Codegen Go net/http: API Key query</t>
        </is>
      </c>
      <c r="F3202" s="16" t="inlineStr">
        <is>
          <t>-</t>
        </is>
      </c>
      <c r="G3202" s="16" t="inlineStr">
        <is>
          <t>1. Set up request shape: Query param.
2. Generate code for Go net/http (UI Copy-as / MCP generate.code).
3. Run the generated snippet in a Go net/http runtime against the same endpoint.</t>
        </is>
      </c>
      <c r="H3202" s="16" t="inlineStr">
        <is>
          <t>lang=Go net/http shape=API Key query</t>
        </is>
      </c>
      <c r="I3202" s="16" t="inlineStr">
        <is>
          <t>Generated code is syntactically valid for Go net/http; executes against the same endpoint and produces the same response. Variables are interpolated to their resolved values (not as literal '{{var}}'); secrets are masked or warning shown when copying.</t>
        </is>
      </c>
      <c r="J3202" s="16" t="inlineStr"/>
      <c r="K3202" s="16" t="inlineStr">
        <is>
          <t>Not Run</t>
        </is>
      </c>
      <c r="L3202" s="16" t="inlineStr">
        <is>
          <t>Medium</t>
        </is>
      </c>
      <c r="M3202" s="16" t="inlineStr"/>
      <c r="N3202" s="16" t="inlineStr"/>
      <c r="O3202" s="16" t="inlineStr"/>
    </row>
    <row r="3203" ht="72" customHeight="1">
      <c r="A3203" s="16" t="inlineStr">
        <is>
          <t>TC-CG-0096</t>
        </is>
      </c>
      <c r="B3203" s="16" t="inlineStr">
        <is>
          <t>Code Generation</t>
        </is>
      </c>
      <c r="C3203" s="16" t="inlineStr">
        <is>
          <t>Go net/http</t>
        </is>
      </c>
      <c r="D3203" s="16" t="inlineStr">
        <is>
          <t>Functional</t>
        </is>
      </c>
      <c r="E3203" s="16" t="inlineStr">
        <is>
          <t>Codegen Go net/http: OAuth2 (with token)</t>
        </is>
      </c>
      <c r="F3203" s="16" t="inlineStr">
        <is>
          <t>-</t>
        </is>
      </c>
      <c r="G3203" s="16" t="inlineStr">
        <is>
          <t>1. Set up request shape: Token attached.
2. Generate code for Go net/http (UI Copy-as / MCP generate.code).
3. Run the generated snippet in a Go net/http runtime against the same endpoint.</t>
        </is>
      </c>
      <c r="H3203" s="16" t="inlineStr">
        <is>
          <t>lang=Go net/http shape=OAuth2 (with token)</t>
        </is>
      </c>
      <c r="I3203" s="16" t="inlineStr">
        <is>
          <t>Generated code is syntactically valid for Go net/http; executes against the same endpoint and produces the same response. Variables are interpolated to their resolved values (not as literal '{{var}}'); secrets are masked or warning shown when copying.</t>
        </is>
      </c>
      <c r="J3203" s="16" t="inlineStr"/>
      <c r="K3203" s="16" t="inlineStr">
        <is>
          <t>Not Run</t>
        </is>
      </c>
      <c r="L3203" s="16" t="inlineStr">
        <is>
          <t>Medium</t>
        </is>
      </c>
      <c r="M3203" s="16" t="inlineStr"/>
      <c r="N3203" s="16" t="inlineStr"/>
      <c r="O3203" s="16" t="inlineStr"/>
    </row>
    <row r="3204" ht="72" customHeight="1">
      <c r="A3204" s="16" t="inlineStr">
        <is>
          <t>TC-CG-0097</t>
        </is>
      </c>
      <c r="B3204" s="16" t="inlineStr">
        <is>
          <t>Code Generation</t>
        </is>
      </c>
      <c r="C3204" s="16" t="inlineStr">
        <is>
          <t>Go net/http</t>
        </is>
      </c>
      <c r="D3204" s="16" t="inlineStr">
        <is>
          <t>Functional</t>
        </is>
      </c>
      <c r="E3204" s="16" t="inlineStr">
        <is>
          <t>Codegen Go net/http: AWS SigV4</t>
        </is>
      </c>
      <c r="F3204" s="16" t="inlineStr">
        <is>
          <t>-</t>
        </is>
      </c>
      <c r="G3204" s="16" t="inlineStr">
        <is>
          <t>1. Set up request shape: Signed request.
2. Generate code for Go net/http (UI Copy-as / MCP generate.code).
3. Run the generated snippet in a Go net/http runtime against the same endpoint.</t>
        </is>
      </c>
      <c r="H3204" s="16" t="inlineStr">
        <is>
          <t>lang=Go net/http shape=AWS SigV4</t>
        </is>
      </c>
      <c r="I3204" s="16" t="inlineStr">
        <is>
          <t>Generated code is syntactically valid for Go net/http; executes against the same endpoint and produces the same response. Variables are interpolated to their resolved values (not as literal '{{var}}'); secrets are masked or warning shown when copying.</t>
        </is>
      </c>
      <c r="J3204" s="16" t="inlineStr"/>
      <c r="K3204" s="16" t="inlineStr">
        <is>
          <t>Not Run</t>
        </is>
      </c>
      <c r="L3204" s="16" t="inlineStr">
        <is>
          <t>Medium</t>
        </is>
      </c>
      <c r="M3204" s="16" t="inlineStr"/>
      <c r="N3204" s="16" t="inlineStr"/>
      <c r="O3204" s="16" t="inlineStr"/>
    </row>
    <row r="3205" ht="72" customHeight="1">
      <c r="A3205" s="16" t="inlineStr">
        <is>
          <t>TC-CG-0098</t>
        </is>
      </c>
      <c r="B3205" s="16" t="inlineStr">
        <is>
          <t>Code Generation</t>
        </is>
      </c>
      <c r="C3205" s="16" t="inlineStr">
        <is>
          <t>Go net/http</t>
        </is>
      </c>
      <c r="D3205" s="16" t="inlineStr">
        <is>
          <t>Functional</t>
        </is>
      </c>
      <c r="E3205" s="16" t="inlineStr">
        <is>
          <t>Codegen Go net/http: Custom headers</t>
        </is>
      </c>
      <c r="F3205" s="16" t="inlineStr">
        <is>
          <t>-</t>
        </is>
      </c>
      <c r="G3205" s="16" t="inlineStr">
        <is>
          <t>1. Set up request shape: User-set.
2. Generate code for Go net/http (UI Copy-as / MCP generate.code).
3. Run the generated snippet in a Go net/http runtime against the same endpoint.</t>
        </is>
      </c>
      <c r="H3205" s="16" t="inlineStr">
        <is>
          <t>lang=Go net/http shape=Custom headers</t>
        </is>
      </c>
      <c r="I3205" s="16" t="inlineStr">
        <is>
          <t>Generated code is syntactically valid for Go net/http; executes against the same endpoint and produces the same response. Variables are interpolated to their resolved values (not as literal '{{var}}'); secrets are masked or warning shown when copying.</t>
        </is>
      </c>
      <c r="J3205" s="16" t="inlineStr"/>
      <c r="K3205" s="16" t="inlineStr">
        <is>
          <t>Not Run</t>
        </is>
      </c>
      <c r="L3205" s="16" t="inlineStr">
        <is>
          <t>Medium</t>
        </is>
      </c>
      <c r="M3205" s="16" t="inlineStr"/>
      <c r="N3205" s="16" t="inlineStr"/>
      <c r="O3205" s="16" t="inlineStr"/>
    </row>
    <row r="3206" ht="72" customHeight="1">
      <c r="A3206" s="16" t="inlineStr">
        <is>
          <t>TC-CG-0099</t>
        </is>
      </c>
      <c r="B3206" s="16" t="inlineStr">
        <is>
          <t>Code Generation</t>
        </is>
      </c>
      <c r="C3206" s="16" t="inlineStr">
        <is>
          <t>Go net/http</t>
        </is>
      </c>
      <c r="D3206" s="16" t="inlineStr">
        <is>
          <t>Functional</t>
        </is>
      </c>
      <c r="E3206" s="16" t="inlineStr">
        <is>
          <t>Codegen Go net/http: Path params</t>
        </is>
      </c>
      <c r="F3206" s="16" t="inlineStr">
        <is>
          <t>-</t>
        </is>
      </c>
      <c r="G3206" s="16" t="inlineStr">
        <is>
          <t>1. Set up request shape: URL with {id}.
2. Generate code for Go net/http (UI Copy-as / MCP generate.code).
3. Run the generated snippet in a Go net/http runtime against the same endpoint.</t>
        </is>
      </c>
      <c r="H3206" s="16" t="inlineStr">
        <is>
          <t>lang=Go net/http shape=Path params</t>
        </is>
      </c>
      <c r="I3206" s="16" t="inlineStr">
        <is>
          <t>Generated code is syntactically valid for Go net/http; executes against the same endpoint and produces the same response. Variables are interpolated to their resolved values (not as literal '{{var}}'); secrets are masked or warning shown when copying.</t>
        </is>
      </c>
      <c r="J3206" s="16" t="inlineStr"/>
      <c r="K3206" s="16" t="inlineStr">
        <is>
          <t>Not Run</t>
        </is>
      </c>
      <c r="L3206" s="16" t="inlineStr">
        <is>
          <t>Medium</t>
        </is>
      </c>
      <c r="M3206" s="16" t="inlineStr"/>
      <c r="N3206" s="16" t="inlineStr"/>
      <c r="O3206" s="16" t="inlineStr"/>
    </row>
    <row r="3207" ht="72" customHeight="1">
      <c r="A3207" s="16" t="inlineStr">
        <is>
          <t>TC-CG-0100</t>
        </is>
      </c>
      <c r="B3207" s="16" t="inlineStr">
        <is>
          <t>Code Generation</t>
        </is>
      </c>
      <c r="C3207" s="16" t="inlineStr">
        <is>
          <t>Go net/http</t>
        </is>
      </c>
      <c r="D3207" s="16" t="inlineStr">
        <is>
          <t>Functional</t>
        </is>
      </c>
      <c r="E3207" s="16" t="inlineStr">
        <is>
          <t>Codegen Go net/http: Query params with arrays</t>
        </is>
      </c>
      <c r="F3207" s="16" t="inlineStr">
        <is>
          <t>-</t>
        </is>
      </c>
      <c r="G3207" s="16" t="inlineStr">
        <is>
          <t>1. Set up request shape: ?a=1&amp;a=2.
2. Generate code for Go net/http (UI Copy-as / MCP generate.code).
3. Run the generated snippet in a Go net/http runtime against the same endpoint.</t>
        </is>
      </c>
      <c r="H3207" s="16" t="inlineStr">
        <is>
          <t>lang=Go net/http shape=Query params with arrays</t>
        </is>
      </c>
      <c r="I3207" s="16" t="inlineStr">
        <is>
          <t>Generated code is syntactically valid for Go net/http; executes against the same endpoint and produces the same response. Variables are interpolated to their resolved values (not as literal '{{var}}'); secrets are masked or warning shown when copying.</t>
        </is>
      </c>
      <c r="J3207" s="16" t="inlineStr"/>
      <c r="K3207" s="16" t="inlineStr">
        <is>
          <t>Not Run</t>
        </is>
      </c>
      <c r="L3207" s="16" t="inlineStr">
        <is>
          <t>Medium</t>
        </is>
      </c>
      <c r="M3207" s="16" t="inlineStr"/>
      <c r="N3207" s="16" t="inlineStr"/>
      <c r="O3207" s="16" t="inlineStr"/>
    </row>
    <row r="3208" ht="72" customHeight="1">
      <c r="A3208" s="16" t="inlineStr">
        <is>
          <t>TC-CG-0101</t>
        </is>
      </c>
      <c r="B3208" s="16" t="inlineStr">
        <is>
          <t>Code Generation</t>
        </is>
      </c>
      <c r="C3208" s="16" t="inlineStr">
        <is>
          <t>Go net/http</t>
        </is>
      </c>
      <c r="D3208" s="16" t="inlineStr">
        <is>
          <t>Functional</t>
        </is>
      </c>
      <c r="E3208" s="16" t="inlineStr">
        <is>
          <t>Codegen Go net/http: Cookies</t>
        </is>
      </c>
      <c r="F3208" s="16" t="inlineStr">
        <is>
          <t>-</t>
        </is>
      </c>
      <c r="G3208" s="16" t="inlineStr">
        <is>
          <t>1. Set up request shape: Cookie header.
2. Generate code for Go net/http (UI Copy-as / MCP generate.code).
3. Run the generated snippet in a Go net/http runtime against the same endpoint.</t>
        </is>
      </c>
      <c r="H3208" s="16" t="inlineStr">
        <is>
          <t>lang=Go net/http shape=Cookies</t>
        </is>
      </c>
      <c r="I3208" s="16" t="inlineStr">
        <is>
          <t>Generated code is syntactically valid for Go net/http; executes against the same endpoint and produces the same response. Variables are interpolated to their resolved values (not as literal '{{var}}'); secrets are masked or warning shown when copying.</t>
        </is>
      </c>
      <c r="J3208" s="16" t="inlineStr"/>
      <c r="K3208" s="16" t="inlineStr">
        <is>
          <t>Not Run</t>
        </is>
      </c>
      <c r="L3208" s="16" t="inlineStr">
        <is>
          <t>Medium</t>
        </is>
      </c>
      <c r="M3208" s="16" t="inlineStr"/>
      <c r="N3208" s="16" t="inlineStr"/>
      <c r="O3208" s="16" t="inlineStr"/>
    </row>
    <row r="3209" ht="72" customHeight="1">
      <c r="A3209" s="16" t="inlineStr">
        <is>
          <t>TC-CG-0102</t>
        </is>
      </c>
      <c r="B3209" s="16" t="inlineStr">
        <is>
          <t>Code Generation</t>
        </is>
      </c>
      <c r="C3209" s="16" t="inlineStr">
        <is>
          <t>Go net/http</t>
        </is>
      </c>
      <c r="D3209" s="16" t="inlineStr">
        <is>
          <t>Functional</t>
        </is>
      </c>
      <c r="E3209" s="16" t="inlineStr">
        <is>
          <t>Codegen Go net/http: Variable interpolation</t>
        </is>
      </c>
      <c r="F3209" s="16" t="inlineStr">
        <is>
          <t>-</t>
        </is>
      </c>
      <c r="G3209" s="16" t="inlineStr">
        <is>
          <t>1. Set up request shape: Resolved values.
2. Generate code for Go net/http (UI Copy-as / MCP generate.code).
3. Run the generated snippet in a Go net/http runtime against the same endpoint.</t>
        </is>
      </c>
      <c r="H3209" s="16" t="inlineStr">
        <is>
          <t>lang=Go net/http shape=Variable interpolation</t>
        </is>
      </c>
      <c r="I3209" s="16" t="inlineStr">
        <is>
          <t>Generated code is syntactically valid for Go net/http; executes against the same endpoint and produces the same response. Variables are interpolated to their resolved values (not as literal '{{var}}'); secrets are masked or warning shown when copying.</t>
        </is>
      </c>
      <c r="J3209" s="16" t="inlineStr"/>
      <c r="K3209" s="16" t="inlineStr">
        <is>
          <t>Not Run</t>
        </is>
      </c>
      <c r="L3209" s="16" t="inlineStr">
        <is>
          <t>Medium</t>
        </is>
      </c>
      <c r="M3209" s="16" t="inlineStr"/>
      <c r="N3209" s="16" t="inlineStr"/>
      <c r="O3209" s="16" t="inlineStr"/>
    </row>
    <row r="3210" ht="72" customHeight="1">
      <c r="A3210" s="16" t="inlineStr">
        <is>
          <t>TC-CG-0103</t>
        </is>
      </c>
      <c r="B3210" s="16" t="inlineStr">
        <is>
          <t>Code Generation</t>
        </is>
      </c>
      <c r="C3210" s="16" t="inlineStr">
        <is>
          <t>Rust reqwest</t>
        </is>
      </c>
      <c r="D3210" s="16" t="inlineStr">
        <is>
          <t>Functional</t>
        </is>
      </c>
      <c r="E3210" s="16" t="inlineStr">
        <is>
          <t>Codegen Rust reqwest: Simple GET</t>
        </is>
      </c>
      <c r="F3210" s="16" t="inlineStr">
        <is>
          <t>-</t>
        </is>
      </c>
      <c r="G3210" s="16" t="inlineStr">
        <is>
          <t>1. Set up request shape: Just URL + method.
2. Generate code for Rust reqwest (UI Copy-as / MCP generate.code).
3. Run the generated snippet in a Rust reqwest runtime against the same endpoint.</t>
        </is>
      </c>
      <c r="H3210" s="16" t="inlineStr">
        <is>
          <t>lang=Rust reqwest shape=Simple GET</t>
        </is>
      </c>
      <c r="I3210" s="16" t="inlineStr">
        <is>
          <t>Generated code is syntactically valid for Rust reqwest; executes against the same endpoint and produces the same response. Variables are interpolated to their resolved values (not as literal '{{var}}'); secrets are masked or warning shown when copying.</t>
        </is>
      </c>
      <c r="J3210" s="16" t="inlineStr"/>
      <c r="K3210" s="16" t="inlineStr">
        <is>
          <t>Not Run</t>
        </is>
      </c>
      <c r="L3210" s="16" t="inlineStr">
        <is>
          <t>Low</t>
        </is>
      </c>
      <c r="M3210" s="16" t="inlineStr"/>
      <c r="N3210" s="16" t="inlineStr"/>
      <c r="O3210" s="16" t="inlineStr"/>
    </row>
    <row r="3211" ht="72" customHeight="1">
      <c r="A3211" s="16" t="inlineStr">
        <is>
          <t>TC-CG-0104</t>
        </is>
      </c>
      <c r="B3211" s="16" t="inlineStr">
        <is>
          <t>Code Generation</t>
        </is>
      </c>
      <c r="C3211" s="16" t="inlineStr">
        <is>
          <t>Rust reqwest</t>
        </is>
      </c>
      <c r="D3211" s="16" t="inlineStr">
        <is>
          <t>Functional</t>
        </is>
      </c>
      <c r="E3211" s="16" t="inlineStr">
        <is>
          <t>Codegen Rust reqwest: POST JSON</t>
        </is>
      </c>
      <c r="F3211" s="16" t="inlineStr">
        <is>
          <t>-</t>
        </is>
      </c>
      <c r="G3211" s="16" t="inlineStr">
        <is>
          <t>1. Set up request shape: Body + headers.
2. Generate code for Rust reqwest (UI Copy-as / MCP generate.code).
3. Run the generated snippet in a Rust reqwest runtime against the same endpoint.</t>
        </is>
      </c>
      <c r="H3211" s="16" t="inlineStr">
        <is>
          <t>lang=Rust reqwest shape=POST JSON</t>
        </is>
      </c>
      <c r="I3211" s="16" t="inlineStr">
        <is>
          <t>Generated code is syntactically valid for Rust reqwest; executes against the same endpoint and produces the same response. Variables are interpolated to their resolved values (not as literal '{{var}}'); secrets are masked or warning shown when copying.</t>
        </is>
      </c>
      <c r="J3211" s="16" t="inlineStr"/>
      <c r="K3211" s="16" t="inlineStr">
        <is>
          <t>Not Run</t>
        </is>
      </c>
      <c r="L3211" s="16" t="inlineStr">
        <is>
          <t>Low</t>
        </is>
      </c>
      <c r="M3211" s="16" t="inlineStr"/>
      <c r="N3211" s="16" t="inlineStr"/>
      <c r="O3211" s="16" t="inlineStr"/>
    </row>
    <row r="3212" ht="72" customHeight="1">
      <c r="A3212" s="16" t="inlineStr">
        <is>
          <t>TC-CG-0105</t>
        </is>
      </c>
      <c r="B3212" s="16" t="inlineStr">
        <is>
          <t>Code Generation</t>
        </is>
      </c>
      <c r="C3212" s="16" t="inlineStr">
        <is>
          <t>Rust reqwest</t>
        </is>
      </c>
      <c r="D3212" s="16" t="inlineStr">
        <is>
          <t>Functional</t>
        </is>
      </c>
      <c r="E3212" s="16" t="inlineStr">
        <is>
          <t>Codegen Rust reqwest: POST form-data</t>
        </is>
      </c>
      <c r="F3212" s="16" t="inlineStr">
        <is>
          <t>-</t>
        </is>
      </c>
      <c r="G3212" s="16" t="inlineStr">
        <is>
          <t>1. Set up request shape: Multipart.
2. Generate code for Rust reqwest (UI Copy-as / MCP generate.code).
3. Run the generated snippet in a Rust reqwest runtime against the same endpoint.</t>
        </is>
      </c>
      <c r="H3212" s="16" t="inlineStr">
        <is>
          <t>lang=Rust reqwest shape=POST form-data</t>
        </is>
      </c>
      <c r="I3212" s="16" t="inlineStr">
        <is>
          <t>Generated code is syntactically valid for Rust reqwest; executes against the same endpoint and produces the same response. Variables are interpolated to their resolved values (not as literal '{{var}}'); secrets are masked or warning shown when copying.</t>
        </is>
      </c>
      <c r="J3212" s="16" t="inlineStr"/>
      <c r="K3212" s="16" t="inlineStr">
        <is>
          <t>Not Run</t>
        </is>
      </c>
      <c r="L3212" s="16" t="inlineStr">
        <is>
          <t>Low</t>
        </is>
      </c>
      <c r="M3212" s="16" t="inlineStr"/>
      <c r="N3212" s="16" t="inlineStr"/>
      <c r="O3212" s="16" t="inlineStr"/>
    </row>
    <row r="3213" ht="72" customHeight="1">
      <c r="A3213" s="16" t="inlineStr">
        <is>
          <t>TC-CG-0106</t>
        </is>
      </c>
      <c r="B3213" s="16" t="inlineStr">
        <is>
          <t>Code Generation</t>
        </is>
      </c>
      <c r="C3213" s="16" t="inlineStr">
        <is>
          <t>Rust reqwest</t>
        </is>
      </c>
      <c r="D3213" s="16" t="inlineStr">
        <is>
          <t>Functional</t>
        </is>
      </c>
      <c r="E3213" s="16" t="inlineStr">
        <is>
          <t>Codegen Rust reqwest: POST urlencoded</t>
        </is>
      </c>
      <c r="F3213" s="16" t="inlineStr">
        <is>
          <t>-</t>
        </is>
      </c>
      <c r="G3213" s="16" t="inlineStr">
        <is>
          <t>1. Set up request shape: x-www-form-urlencoded.
2. Generate code for Rust reqwest (UI Copy-as / MCP generate.code).
3. Run the generated snippet in a Rust reqwest runtime against the same endpoint.</t>
        </is>
      </c>
      <c r="H3213" s="16" t="inlineStr">
        <is>
          <t>lang=Rust reqwest shape=POST urlencoded</t>
        </is>
      </c>
      <c r="I3213" s="16" t="inlineStr">
        <is>
          <t>Generated code is syntactically valid for Rust reqwest; executes against the same endpoint and produces the same response. Variables are interpolated to their resolved values (not as literal '{{var}}'); secrets are masked or warning shown when copying.</t>
        </is>
      </c>
      <c r="J3213" s="16" t="inlineStr"/>
      <c r="K3213" s="16" t="inlineStr">
        <is>
          <t>Not Run</t>
        </is>
      </c>
      <c r="L3213" s="16" t="inlineStr">
        <is>
          <t>Low</t>
        </is>
      </c>
      <c r="M3213" s="16" t="inlineStr"/>
      <c r="N3213" s="16" t="inlineStr"/>
      <c r="O3213" s="16" t="inlineStr"/>
    </row>
    <row r="3214" ht="72" customHeight="1">
      <c r="A3214" s="16" t="inlineStr">
        <is>
          <t>TC-CG-0107</t>
        </is>
      </c>
      <c r="B3214" s="16" t="inlineStr">
        <is>
          <t>Code Generation</t>
        </is>
      </c>
      <c r="C3214" s="16" t="inlineStr">
        <is>
          <t>Rust reqwest</t>
        </is>
      </c>
      <c r="D3214" s="16" t="inlineStr">
        <is>
          <t>Functional</t>
        </is>
      </c>
      <c r="E3214" s="16" t="inlineStr">
        <is>
          <t>Codegen Rust reqwest: File upload</t>
        </is>
      </c>
      <c r="F3214" s="16" t="inlineStr">
        <is>
          <t>-</t>
        </is>
      </c>
      <c r="G3214" s="16" t="inlineStr">
        <is>
          <t>1. Set up request shape: Binary.
2. Generate code for Rust reqwest (UI Copy-as / MCP generate.code).
3. Run the generated snippet in a Rust reqwest runtime against the same endpoint.</t>
        </is>
      </c>
      <c r="H3214" s="16" t="inlineStr">
        <is>
          <t>lang=Rust reqwest shape=File upload</t>
        </is>
      </c>
      <c r="I3214" s="16" t="inlineStr">
        <is>
          <t>Generated code is syntactically valid for Rust reqwest; executes against the same endpoint and produces the same response. Variables are interpolated to their resolved values (not as literal '{{var}}'); secrets are masked or warning shown when copying.</t>
        </is>
      </c>
      <c r="J3214" s="16" t="inlineStr"/>
      <c r="K3214" s="16" t="inlineStr">
        <is>
          <t>Not Run</t>
        </is>
      </c>
      <c r="L3214" s="16" t="inlineStr">
        <is>
          <t>Low</t>
        </is>
      </c>
      <c r="M3214" s="16" t="inlineStr"/>
      <c r="N3214" s="16" t="inlineStr"/>
      <c r="O3214" s="16" t="inlineStr"/>
    </row>
    <row r="3215" ht="72" customHeight="1">
      <c r="A3215" s="16" t="inlineStr">
        <is>
          <t>TC-CG-0108</t>
        </is>
      </c>
      <c r="B3215" s="16" t="inlineStr">
        <is>
          <t>Code Generation</t>
        </is>
      </c>
      <c r="C3215" s="16" t="inlineStr">
        <is>
          <t>Rust reqwest</t>
        </is>
      </c>
      <c r="D3215" s="16" t="inlineStr">
        <is>
          <t>Functional</t>
        </is>
      </c>
      <c r="E3215" s="16" t="inlineStr">
        <is>
          <t>Codegen Rust reqwest: GraphQL</t>
        </is>
      </c>
      <c r="F3215" s="16" t="inlineStr">
        <is>
          <t>-</t>
        </is>
      </c>
      <c r="G3215" s="16" t="inlineStr">
        <is>
          <t>1. Set up request shape: Query + variables.
2. Generate code for Rust reqwest (UI Copy-as / MCP generate.code).
3. Run the generated snippet in a Rust reqwest runtime against the same endpoint.</t>
        </is>
      </c>
      <c r="H3215" s="16" t="inlineStr">
        <is>
          <t>lang=Rust reqwest shape=GraphQL</t>
        </is>
      </c>
      <c r="I3215" s="16" t="inlineStr">
        <is>
          <t>Generated code is syntactically valid for Rust reqwest; executes against the same endpoint and produces the same response. Variables are interpolated to their resolved values (not as literal '{{var}}'); secrets are masked or warning shown when copying.</t>
        </is>
      </c>
      <c r="J3215" s="16" t="inlineStr"/>
      <c r="K3215" s="16" t="inlineStr">
        <is>
          <t>Not Run</t>
        </is>
      </c>
      <c r="L3215" s="16" t="inlineStr">
        <is>
          <t>Low</t>
        </is>
      </c>
      <c r="M3215" s="16" t="inlineStr"/>
      <c r="N3215" s="16" t="inlineStr"/>
      <c r="O3215" s="16" t="inlineStr"/>
    </row>
    <row r="3216" ht="72" customHeight="1">
      <c r="A3216" s="16" t="inlineStr">
        <is>
          <t>TC-CG-0109</t>
        </is>
      </c>
      <c r="B3216" s="16" t="inlineStr">
        <is>
          <t>Code Generation</t>
        </is>
      </c>
      <c r="C3216" s="16" t="inlineStr">
        <is>
          <t>Rust reqwest</t>
        </is>
      </c>
      <c r="D3216" s="16" t="inlineStr">
        <is>
          <t>Functional</t>
        </is>
      </c>
      <c r="E3216" s="16" t="inlineStr">
        <is>
          <t>Codegen Rust reqwest: Bearer auth</t>
        </is>
      </c>
      <c r="F3216" s="16" t="inlineStr">
        <is>
          <t>-</t>
        </is>
      </c>
      <c r="G3216" s="16" t="inlineStr">
        <is>
          <t>1. Set up request shape: Authorization header.
2. Generate code for Rust reqwest (UI Copy-as / MCP generate.code).
3. Run the generated snippet in a Rust reqwest runtime against the same endpoint.</t>
        </is>
      </c>
      <c r="H3216" s="16" t="inlineStr">
        <is>
          <t>lang=Rust reqwest shape=Bearer auth</t>
        </is>
      </c>
      <c r="I3216" s="16" t="inlineStr">
        <is>
          <t>Generated code is syntactically valid for Rust reqwest; executes against the same endpoint and produces the same response. Variables are interpolated to their resolved values (not as literal '{{var}}'); secrets are masked or warning shown when copying.</t>
        </is>
      </c>
      <c r="J3216" s="16" t="inlineStr"/>
      <c r="K3216" s="16" t="inlineStr">
        <is>
          <t>Not Run</t>
        </is>
      </c>
      <c r="L3216" s="16" t="inlineStr">
        <is>
          <t>Low</t>
        </is>
      </c>
      <c r="M3216" s="16" t="inlineStr"/>
      <c r="N3216" s="16" t="inlineStr"/>
      <c r="O3216" s="16" t="inlineStr"/>
    </row>
    <row r="3217" ht="72" customHeight="1">
      <c r="A3217" s="16" t="inlineStr">
        <is>
          <t>TC-CG-0110</t>
        </is>
      </c>
      <c r="B3217" s="16" t="inlineStr">
        <is>
          <t>Code Generation</t>
        </is>
      </c>
      <c r="C3217" s="16" t="inlineStr">
        <is>
          <t>Rust reqwest</t>
        </is>
      </c>
      <c r="D3217" s="16" t="inlineStr">
        <is>
          <t>Functional</t>
        </is>
      </c>
      <c r="E3217" s="16" t="inlineStr">
        <is>
          <t>Codegen Rust reqwest: Basic auth</t>
        </is>
      </c>
      <c r="F3217" s="16" t="inlineStr">
        <is>
          <t>-</t>
        </is>
      </c>
      <c r="G3217" s="16" t="inlineStr">
        <is>
          <t>1. Set up request shape: user:pass.
2. Generate code for Rust reqwest (UI Copy-as / MCP generate.code).
3. Run the generated snippet in a Rust reqwest runtime against the same endpoint.</t>
        </is>
      </c>
      <c r="H3217" s="16" t="inlineStr">
        <is>
          <t>lang=Rust reqwest shape=Basic auth</t>
        </is>
      </c>
      <c r="I3217" s="16" t="inlineStr">
        <is>
          <t>Generated code is syntactically valid for Rust reqwest; executes against the same endpoint and produces the same response. Variables are interpolated to their resolved values (not as literal '{{var}}'); secrets are masked or warning shown when copying.</t>
        </is>
      </c>
      <c r="J3217" s="16" t="inlineStr"/>
      <c r="K3217" s="16" t="inlineStr">
        <is>
          <t>Not Run</t>
        </is>
      </c>
      <c r="L3217" s="16" t="inlineStr">
        <is>
          <t>Low</t>
        </is>
      </c>
      <c r="M3217" s="16" t="inlineStr"/>
      <c r="N3217" s="16" t="inlineStr"/>
      <c r="O3217" s="16" t="inlineStr"/>
    </row>
    <row r="3218" ht="72" customHeight="1">
      <c r="A3218" s="16" t="inlineStr">
        <is>
          <t>TC-CG-0111</t>
        </is>
      </c>
      <c r="B3218" s="16" t="inlineStr">
        <is>
          <t>Code Generation</t>
        </is>
      </c>
      <c r="C3218" s="16" t="inlineStr">
        <is>
          <t>Rust reqwest</t>
        </is>
      </c>
      <c r="D3218" s="16" t="inlineStr">
        <is>
          <t>Functional</t>
        </is>
      </c>
      <c r="E3218" s="16" t="inlineStr">
        <is>
          <t>Codegen Rust reqwest: API Key header</t>
        </is>
      </c>
      <c r="F3218" s="16" t="inlineStr">
        <is>
          <t>-</t>
        </is>
      </c>
      <c r="G3218" s="16" t="inlineStr">
        <is>
          <t>1. Set up request shape: Custom header.
2. Generate code for Rust reqwest (UI Copy-as / MCP generate.code).
3. Run the generated snippet in a Rust reqwest runtime against the same endpoint.</t>
        </is>
      </c>
      <c r="H3218" s="16" t="inlineStr">
        <is>
          <t>lang=Rust reqwest shape=API Key header</t>
        </is>
      </c>
      <c r="I3218" s="16" t="inlineStr">
        <is>
          <t>Generated code is syntactically valid for Rust reqwest; executes against the same endpoint and produces the same response. Variables are interpolated to their resolved values (not as literal '{{var}}'); secrets are masked or warning shown when copying.</t>
        </is>
      </c>
      <c r="J3218" s="16" t="inlineStr"/>
      <c r="K3218" s="16" t="inlineStr">
        <is>
          <t>Not Run</t>
        </is>
      </c>
      <c r="L3218" s="16" t="inlineStr">
        <is>
          <t>Low</t>
        </is>
      </c>
      <c r="M3218" s="16" t="inlineStr"/>
      <c r="N3218" s="16" t="inlineStr"/>
      <c r="O3218" s="16" t="inlineStr"/>
    </row>
    <row r="3219" ht="72" customHeight="1">
      <c r="A3219" s="16" t="inlineStr">
        <is>
          <t>TC-CG-0112</t>
        </is>
      </c>
      <c r="B3219" s="16" t="inlineStr">
        <is>
          <t>Code Generation</t>
        </is>
      </c>
      <c r="C3219" s="16" t="inlineStr">
        <is>
          <t>Rust reqwest</t>
        </is>
      </c>
      <c r="D3219" s="16" t="inlineStr">
        <is>
          <t>Functional</t>
        </is>
      </c>
      <c r="E3219" s="16" t="inlineStr">
        <is>
          <t>Codegen Rust reqwest: API Key query</t>
        </is>
      </c>
      <c r="F3219" s="16" t="inlineStr">
        <is>
          <t>-</t>
        </is>
      </c>
      <c r="G3219" s="16" t="inlineStr">
        <is>
          <t>1. Set up request shape: Query param.
2. Generate code for Rust reqwest (UI Copy-as / MCP generate.code).
3. Run the generated snippet in a Rust reqwest runtime against the same endpoint.</t>
        </is>
      </c>
      <c r="H3219" s="16" t="inlineStr">
        <is>
          <t>lang=Rust reqwest shape=API Key query</t>
        </is>
      </c>
      <c r="I3219" s="16" t="inlineStr">
        <is>
          <t>Generated code is syntactically valid for Rust reqwest; executes against the same endpoint and produces the same response. Variables are interpolated to their resolved values (not as literal '{{var}}'); secrets are masked or warning shown when copying.</t>
        </is>
      </c>
      <c r="J3219" s="16" t="inlineStr"/>
      <c r="K3219" s="16" t="inlineStr">
        <is>
          <t>Not Run</t>
        </is>
      </c>
      <c r="L3219" s="16" t="inlineStr">
        <is>
          <t>Low</t>
        </is>
      </c>
      <c r="M3219" s="16" t="inlineStr"/>
      <c r="N3219" s="16" t="inlineStr"/>
      <c r="O3219" s="16" t="inlineStr"/>
    </row>
    <row r="3220" ht="72" customHeight="1">
      <c r="A3220" s="16" t="inlineStr">
        <is>
          <t>TC-CG-0113</t>
        </is>
      </c>
      <c r="B3220" s="16" t="inlineStr">
        <is>
          <t>Code Generation</t>
        </is>
      </c>
      <c r="C3220" s="16" t="inlineStr">
        <is>
          <t>Rust reqwest</t>
        </is>
      </c>
      <c r="D3220" s="16" t="inlineStr">
        <is>
          <t>Functional</t>
        </is>
      </c>
      <c r="E3220" s="16" t="inlineStr">
        <is>
          <t>Codegen Rust reqwest: OAuth2 (with token)</t>
        </is>
      </c>
      <c r="F3220" s="16" t="inlineStr">
        <is>
          <t>-</t>
        </is>
      </c>
      <c r="G3220" s="16" t="inlineStr">
        <is>
          <t>1. Set up request shape: Token attached.
2. Generate code for Rust reqwest (UI Copy-as / MCP generate.code).
3. Run the generated snippet in a Rust reqwest runtime against the same endpoint.</t>
        </is>
      </c>
      <c r="H3220" s="16" t="inlineStr">
        <is>
          <t>lang=Rust reqwest shape=OAuth2 (with token)</t>
        </is>
      </c>
      <c r="I3220" s="16" t="inlineStr">
        <is>
          <t>Generated code is syntactically valid for Rust reqwest; executes against the same endpoint and produces the same response. Variables are interpolated to their resolved values (not as literal '{{var}}'); secrets are masked or warning shown when copying.</t>
        </is>
      </c>
      <c r="J3220" s="16" t="inlineStr"/>
      <c r="K3220" s="16" t="inlineStr">
        <is>
          <t>Not Run</t>
        </is>
      </c>
      <c r="L3220" s="16" t="inlineStr">
        <is>
          <t>Low</t>
        </is>
      </c>
      <c r="M3220" s="16" t="inlineStr"/>
      <c r="N3220" s="16" t="inlineStr"/>
      <c r="O3220" s="16" t="inlineStr"/>
    </row>
    <row r="3221" ht="72" customHeight="1">
      <c r="A3221" s="16" t="inlineStr">
        <is>
          <t>TC-CG-0114</t>
        </is>
      </c>
      <c r="B3221" s="16" t="inlineStr">
        <is>
          <t>Code Generation</t>
        </is>
      </c>
      <c r="C3221" s="16" t="inlineStr">
        <is>
          <t>Rust reqwest</t>
        </is>
      </c>
      <c r="D3221" s="16" t="inlineStr">
        <is>
          <t>Functional</t>
        </is>
      </c>
      <c r="E3221" s="16" t="inlineStr">
        <is>
          <t>Codegen Rust reqwest: AWS SigV4</t>
        </is>
      </c>
      <c r="F3221" s="16" t="inlineStr">
        <is>
          <t>-</t>
        </is>
      </c>
      <c r="G3221" s="16" t="inlineStr">
        <is>
          <t>1. Set up request shape: Signed request.
2. Generate code for Rust reqwest (UI Copy-as / MCP generate.code).
3. Run the generated snippet in a Rust reqwest runtime against the same endpoint.</t>
        </is>
      </c>
      <c r="H3221" s="16" t="inlineStr">
        <is>
          <t>lang=Rust reqwest shape=AWS SigV4</t>
        </is>
      </c>
      <c r="I3221" s="16" t="inlineStr">
        <is>
          <t>Generated code is syntactically valid for Rust reqwest; executes against the same endpoint and produces the same response. Variables are interpolated to their resolved values (not as literal '{{var}}'); secrets are masked or warning shown when copying.</t>
        </is>
      </c>
      <c r="J3221" s="16" t="inlineStr"/>
      <c r="K3221" s="16" t="inlineStr">
        <is>
          <t>Not Run</t>
        </is>
      </c>
      <c r="L3221" s="16" t="inlineStr">
        <is>
          <t>Low</t>
        </is>
      </c>
      <c r="M3221" s="16" t="inlineStr"/>
      <c r="N3221" s="16" t="inlineStr"/>
      <c r="O3221" s="16" t="inlineStr"/>
    </row>
    <row r="3222" ht="72" customHeight="1">
      <c r="A3222" s="16" t="inlineStr">
        <is>
          <t>TC-CG-0115</t>
        </is>
      </c>
      <c r="B3222" s="16" t="inlineStr">
        <is>
          <t>Code Generation</t>
        </is>
      </c>
      <c r="C3222" s="16" t="inlineStr">
        <is>
          <t>Rust reqwest</t>
        </is>
      </c>
      <c r="D3222" s="16" t="inlineStr">
        <is>
          <t>Functional</t>
        </is>
      </c>
      <c r="E3222" s="16" t="inlineStr">
        <is>
          <t>Codegen Rust reqwest: Custom headers</t>
        </is>
      </c>
      <c r="F3222" s="16" t="inlineStr">
        <is>
          <t>-</t>
        </is>
      </c>
      <c r="G3222" s="16" t="inlineStr">
        <is>
          <t>1. Set up request shape: User-set.
2. Generate code for Rust reqwest (UI Copy-as / MCP generate.code).
3. Run the generated snippet in a Rust reqwest runtime against the same endpoint.</t>
        </is>
      </c>
      <c r="H3222" s="16" t="inlineStr">
        <is>
          <t>lang=Rust reqwest shape=Custom headers</t>
        </is>
      </c>
      <c r="I3222" s="16" t="inlineStr">
        <is>
          <t>Generated code is syntactically valid for Rust reqwest; executes against the same endpoint and produces the same response. Variables are interpolated to their resolved values (not as literal '{{var}}'); secrets are masked or warning shown when copying.</t>
        </is>
      </c>
      <c r="J3222" s="16" t="inlineStr"/>
      <c r="K3222" s="16" t="inlineStr">
        <is>
          <t>Not Run</t>
        </is>
      </c>
      <c r="L3222" s="16" t="inlineStr">
        <is>
          <t>Low</t>
        </is>
      </c>
      <c r="M3222" s="16" t="inlineStr"/>
      <c r="N3222" s="16" t="inlineStr"/>
      <c r="O3222" s="16" t="inlineStr"/>
    </row>
    <row r="3223" ht="72" customHeight="1">
      <c r="A3223" s="16" t="inlineStr">
        <is>
          <t>TC-CG-0116</t>
        </is>
      </c>
      <c r="B3223" s="16" t="inlineStr">
        <is>
          <t>Code Generation</t>
        </is>
      </c>
      <c r="C3223" s="16" t="inlineStr">
        <is>
          <t>Rust reqwest</t>
        </is>
      </c>
      <c r="D3223" s="16" t="inlineStr">
        <is>
          <t>Functional</t>
        </is>
      </c>
      <c r="E3223" s="16" t="inlineStr">
        <is>
          <t>Codegen Rust reqwest: Path params</t>
        </is>
      </c>
      <c r="F3223" s="16" t="inlineStr">
        <is>
          <t>-</t>
        </is>
      </c>
      <c r="G3223" s="16" t="inlineStr">
        <is>
          <t>1. Set up request shape: URL with {id}.
2. Generate code for Rust reqwest (UI Copy-as / MCP generate.code).
3. Run the generated snippet in a Rust reqwest runtime against the same endpoint.</t>
        </is>
      </c>
      <c r="H3223" s="16" t="inlineStr">
        <is>
          <t>lang=Rust reqwest shape=Path params</t>
        </is>
      </c>
      <c r="I3223" s="16" t="inlineStr">
        <is>
          <t>Generated code is syntactically valid for Rust reqwest; executes against the same endpoint and produces the same response. Variables are interpolated to their resolved values (not as literal '{{var}}'); secrets are masked or warning shown when copying.</t>
        </is>
      </c>
      <c r="J3223" s="16" t="inlineStr"/>
      <c r="K3223" s="16" t="inlineStr">
        <is>
          <t>Not Run</t>
        </is>
      </c>
      <c r="L3223" s="16" t="inlineStr">
        <is>
          <t>Low</t>
        </is>
      </c>
      <c r="M3223" s="16" t="inlineStr"/>
      <c r="N3223" s="16" t="inlineStr"/>
      <c r="O3223" s="16" t="inlineStr"/>
    </row>
    <row r="3224" ht="72" customHeight="1">
      <c r="A3224" s="16" t="inlineStr">
        <is>
          <t>TC-CG-0117</t>
        </is>
      </c>
      <c r="B3224" s="16" t="inlineStr">
        <is>
          <t>Code Generation</t>
        </is>
      </c>
      <c r="C3224" s="16" t="inlineStr">
        <is>
          <t>Rust reqwest</t>
        </is>
      </c>
      <c r="D3224" s="16" t="inlineStr">
        <is>
          <t>Functional</t>
        </is>
      </c>
      <c r="E3224" s="16" t="inlineStr">
        <is>
          <t>Codegen Rust reqwest: Query params with arrays</t>
        </is>
      </c>
      <c r="F3224" s="16" t="inlineStr">
        <is>
          <t>-</t>
        </is>
      </c>
      <c r="G3224" s="16" t="inlineStr">
        <is>
          <t>1. Set up request shape: ?a=1&amp;a=2.
2. Generate code for Rust reqwest (UI Copy-as / MCP generate.code).
3. Run the generated snippet in a Rust reqwest runtime against the same endpoint.</t>
        </is>
      </c>
      <c r="H3224" s="16" t="inlineStr">
        <is>
          <t>lang=Rust reqwest shape=Query params with arrays</t>
        </is>
      </c>
      <c r="I3224" s="16" t="inlineStr">
        <is>
          <t>Generated code is syntactically valid for Rust reqwest; executes against the same endpoint and produces the same response. Variables are interpolated to their resolved values (not as literal '{{var}}'); secrets are masked or warning shown when copying.</t>
        </is>
      </c>
      <c r="J3224" s="16" t="inlineStr"/>
      <c r="K3224" s="16" t="inlineStr">
        <is>
          <t>Not Run</t>
        </is>
      </c>
      <c r="L3224" s="16" t="inlineStr">
        <is>
          <t>Low</t>
        </is>
      </c>
      <c r="M3224" s="16" t="inlineStr"/>
      <c r="N3224" s="16" t="inlineStr"/>
      <c r="O3224" s="16" t="inlineStr"/>
    </row>
    <row r="3225" ht="72" customHeight="1">
      <c r="A3225" s="16" t="inlineStr">
        <is>
          <t>TC-CG-0118</t>
        </is>
      </c>
      <c r="B3225" s="16" t="inlineStr">
        <is>
          <t>Code Generation</t>
        </is>
      </c>
      <c r="C3225" s="16" t="inlineStr">
        <is>
          <t>Rust reqwest</t>
        </is>
      </c>
      <c r="D3225" s="16" t="inlineStr">
        <is>
          <t>Functional</t>
        </is>
      </c>
      <c r="E3225" s="16" t="inlineStr">
        <is>
          <t>Codegen Rust reqwest: Cookies</t>
        </is>
      </c>
      <c r="F3225" s="16" t="inlineStr">
        <is>
          <t>-</t>
        </is>
      </c>
      <c r="G3225" s="16" t="inlineStr">
        <is>
          <t>1. Set up request shape: Cookie header.
2. Generate code for Rust reqwest (UI Copy-as / MCP generate.code).
3. Run the generated snippet in a Rust reqwest runtime against the same endpoint.</t>
        </is>
      </c>
      <c r="H3225" s="16" t="inlineStr">
        <is>
          <t>lang=Rust reqwest shape=Cookies</t>
        </is>
      </c>
      <c r="I3225" s="16" t="inlineStr">
        <is>
          <t>Generated code is syntactically valid for Rust reqwest; executes against the same endpoint and produces the same response. Variables are interpolated to their resolved values (not as literal '{{var}}'); secrets are masked or warning shown when copying.</t>
        </is>
      </c>
      <c r="J3225" s="16" t="inlineStr"/>
      <c r="K3225" s="16" t="inlineStr">
        <is>
          <t>Not Run</t>
        </is>
      </c>
      <c r="L3225" s="16" t="inlineStr">
        <is>
          <t>Low</t>
        </is>
      </c>
      <c r="M3225" s="16" t="inlineStr"/>
      <c r="N3225" s="16" t="inlineStr"/>
      <c r="O3225" s="16" t="inlineStr"/>
    </row>
    <row r="3226" ht="72" customHeight="1">
      <c r="A3226" s="16" t="inlineStr">
        <is>
          <t>TC-CG-0119</t>
        </is>
      </c>
      <c r="B3226" s="16" t="inlineStr">
        <is>
          <t>Code Generation</t>
        </is>
      </c>
      <c r="C3226" s="16" t="inlineStr">
        <is>
          <t>Rust reqwest</t>
        </is>
      </c>
      <c r="D3226" s="16" t="inlineStr">
        <is>
          <t>Functional</t>
        </is>
      </c>
      <c r="E3226" s="16" t="inlineStr">
        <is>
          <t>Codegen Rust reqwest: Variable interpolation</t>
        </is>
      </c>
      <c r="F3226" s="16" t="inlineStr">
        <is>
          <t>-</t>
        </is>
      </c>
      <c r="G3226" s="16" t="inlineStr">
        <is>
          <t>1. Set up request shape: Resolved values.
2. Generate code for Rust reqwest (UI Copy-as / MCP generate.code).
3. Run the generated snippet in a Rust reqwest runtime against the same endpoint.</t>
        </is>
      </c>
      <c r="H3226" s="16" t="inlineStr">
        <is>
          <t>lang=Rust reqwest shape=Variable interpolation</t>
        </is>
      </c>
      <c r="I3226" s="16" t="inlineStr">
        <is>
          <t>Generated code is syntactically valid for Rust reqwest; executes against the same endpoint and produces the same response. Variables are interpolated to their resolved values (not as literal '{{var}}'); secrets are masked or warning shown when copying.</t>
        </is>
      </c>
      <c r="J3226" s="16" t="inlineStr"/>
      <c r="K3226" s="16" t="inlineStr">
        <is>
          <t>Not Run</t>
        </is>
      </c>
      <c r="L3226" s="16" t="inlineStr">
        <is>
          <t>Low</t>
        </is>
      </c>
      <c r="M3226" s="16" t="inlineStr"/>
      <c r="N3226" s="16" t="inlineStr"/>
      <c r="O3226" s="16" t="inlineStr"/>
    </row>
    <row r="3227" ht="72" customHeight="1">
      <c r="A3227" s="16" t="inlineStr">
        <is>
          <t>TC-CG-0120</t>
        </is>
      </c>
      <c r="B3227" s="16" t="inlineStr">
        <is>
          <t>Code Generation</t>
        </is>
      </c>
      <c r="C3227" s="16" t="inlineStr">
        <is>
          <t>Java OkHttp</t>
        </is>
      </c>
      <c r="D3227" s="16" t="inlineStr">
        <is>
          <t>Functional</t>
        </is>
      </c>
      <c r="E3227" s="16" t="inlineStr">
        <is>
          <t>Codegen Java OkHttp: Simple GET</t>
        </is>
      </c>
      <c r="F3227" s="16" t="inlineStr">
        <is>
          <t>-</t>
        </is>
      </c>
      <c r="G3227" s="16" t="inlineStr">
        <is>
          <t>1. Set up request shape: Just URL + method.
2. Generate code for Java OkHttp (UI Copy-as / MCP generate.code).
3. Run the generated snippet in a Java OkHttp runtime against the same endpoint.</t>
        </is>
      </c>
      <c r="H3227" s="16" t="inlineStr">
        <is>
          <t>lang=Java OkHttp shape=Simple GET</t>
        </is>
      </c>
      <c r="I3227" s="16" t="inlineStr">
        <is>
          <t>Generated code is syntactically valid for Java OkHttp; executes against the same endpoint and produces the same response. Variables are interpolated to their resolved values (not as literal '{{var}}'); secrets are masked or warning shown when copying.</t>
        </is>
      </c>
      <c r="J3227" s="16" t="inlineStr"/>
      <c r="K3227" s="16" t="inlineStr">
        <is>
          <t>Not Run</t>
        </is>
      </c>
      <c r="L3227" s="16" t="inlineStr">
        <is>
          <t>Medium</t>
        </is>
      </c>
      <c r="M3227" s="16" t="inlineStr"/>
      <c r="N3227" s="16" t="inlineStr"/>
      <c r="O3227" s="16" t="inlineStr"/>
    </row>
    <row r="3228" ht="72" customHeight="1">
      <c r="A3228" s="16" t="inlineStr">
        <is>
          <t>TC-CG-0121</t>
        </is>
      </c>
      <c r="B3228" s="16" t="inlineStr">
        <is>
          <t>Code Generation</t>
        </is>
      </c>
      <c r="C3228" s="16" t="inlineStr">
        <is>
          <t>Java OkHttp</t>
        </is>
      </c>
      <c r="D3228" s="16" t="inlineStr">
        <is>
          <t>Functional</t>
        </is>
      </c>
      <c r="E3228" s="16" t="inlineStr">
        <is>
          <t>Codegen Java OkHttp: POST JSON</t>
        </is>
      </c>
      <c r="F3228" s="16" t="inlineStr">
        <is>
          <t>-</t>
        </is>
      </c>
      <c r="G3228" s="16" t="inlineStr">
        <is>
          <t>1. Set up request shape: Body + headers.
2. Generate code for Java OkHttp (UI Copy-as / MCP generate.code).
3. Run the generated snippet in a Java OkHttp runtime against the same endpoint.</t>
        </is>
      </c>
      <c r="H3228" s="16" t="inlineStr">
        <is>
          <t>lang=Java OkHttp shape=POST JSON</t>
        </is>
      </c>
      <c r="I3228" s="16" t="inlineStr">
        <is>
          <t>Generated code is syntactically valid for Java OkHttp; executes against the same endpoint and produces the same response. Variables are interpolated to their resolved values (not as literal '{{var}}'); secrets are masked or warning shown when copying.</t>
        </is>
      </c>
      <c r="J3228" s="16" t="inlineStr"/>
      <c r="K3228" s="16" t="inlineStr">
        <is>
          <t>Not Run</t>
        </is>
      </c>
      <c r="L3228" s="16" t="inlineStr">
        <is>
          <t>Medium</t>
        </is>
      </c>
      <c r="M3228" s="16" t="inlineStr"/>
      <c r="N3228" s="16" t="inlineStr"/>
      <c r="O3228" s="16" t="inlineStr"/>
    </row>
    <row r="3229" ht="72" customHeight="1">
      <c r="A3229" s="16" t="inlineStr">
        <is>
          <t>TC-CG-0122</t>
        </is>
      </c>
      <c r="B3229" s="16" t="inlineStr">
        <is>
          <t>Code Generation</t>
        </is>
      </c>
      <c r="C3229" s="16" t="inlineStr">
        <is>
          <t>Java OkHttp</t>
        </is>
      </c>
      <c r="D3229" s="16" t="inlineStr">
        <is>
          <t>Functional</t>
        </is>
      </c>
      <c r="E3229" s="16" t="inlineStr">
        <is>
          <t>Codegen Java OkHttp: POST form-data</t>
        </is>
      </c>
      <c r="F3229" s="16" t="inlineStr">
        <is>
          <t>-</t>
        </is>
      </c>
      <c r="G3229" s="16" t="inlineStr">
        <is>
          <t>1. Set up request shape: Multipart.
2. Generate code for Java OkHttp (UI Copy-as / MCP generate.code).
3. Run the generated snippet in a Java OkHttp runtime against the same endpoint.</t>
        </is>
      </c>
      <c r="H3229" s="16" t="inlineStr">
        <is>
          <t>lang=Java OkHttp shape=POST form-data</t>
        </is>
      </c>
      <c r="I3229" s="16" t="inlineStr">
        <is>
          <t>Generated code is syntactically valid for Java OkHttp; executes against the same endpoint and produces the same response. Variables are interpolated to their resolved values (not as literal '{{var}}'); secrets are masked or warning shown when copying.</t>
        </is>
      </c>
      <c r="J3229" s="16" t="inlineStr"/>
      <c r="K3229" s="16" t="inlineStr">
        <is>
          <t>Not Run</t>
        </is>
      </c>
      <c r="L3229" s="16" t="inlineStr">
        <is>
          <t>Medium</t>
        </is>
      </c>
      <c r="M3229" s="16" t="inlineStr"/>
      <c r="N3229" s="16" t="inlineStr"/>
      <c r="O3229" s="16" t="inlineStr"/>
    </row>
    <row r="3230" ht="72" customHeight="1">
      <c r="A3230" s="16" t="inlineStr">
        <is>
          <t>TC-CG-0123</t>
        </is>
      </c>
      <c r="B3230" s="16" t="inlineStr">
        <is>
          <t>Code Generation</t>
        </is>
      </c>
      <c r="C3230" s="16" t="inlineStr">
        <is>
          <t>Java OkHttp</t>
        </is>
      </c>
      <c r="D3230" s="16" t="inlineStr">
        <is>
          <t>Functional</t>
        </is>
      </c>
      <c r="E3230" s="16" t="inlineStr">
        <is>
          <t>Codegen Java OkHttp: POST urlencoded</t>
        </is>
      </c>
      <c r="F3230" s="16" t="inlineStr">
        <is>
          <t>-</t>
        </is>
      </c>
      <c r="G3230" s="16" t="inlineStr">
        <is>
          <t>1. Set up request shape: x-www-form-urlencoded.
2. Generate code for Java OkHttp (UI Copy-as / MCP generate.code).
3. Run the generated snippet in a Java OkHttp runtime against the same endpoint.</t>
        </is>
      </c>
      <c r="H3230" s="16" t="inlineStr">
        <is>
          <t>lang=Java OkHttp shape=POST urlencoded</t>
        </is>
      </c>
      <c r="I3230" s="16" t="inlineStr">
        <is>
          <t>Generated code is syntactically valid for Java OkHttp; executes against the same endpoint and produces the same response. Variables are interpolated to their resolved values (not as literal '{{var}}'); secrets are masked or warning shown when copying.</t>
        </is>
      </c>
      <c r="J3230" s="16" t="inlineStr"/>
      <c r="K3230" s="16" t="inlineStr">
        <is>
          <t>Not Run</t>
        </is>
      </c>
      <c r="L3230" s="16" t="inlineStr">
        <is>
          <t>Medium</t>
        </is>
      </c>
      <c r="M3230" s="16" t="inlineStr"/>
      <c r="N3230" s="16" t="inlineStr"/>
      <c r="O3230" s="16" t="inlineStr"/>
    </row>
    <row r="3231" ht="72" customHeight="1">
      <c r="A3231" s="16" t="inlineStr">
        <is>
          <t>TC-CG-0124</t>
        </is>
      </c>
      <c r="B3231" s="16" t="inlineStr">
        <is>
          <t>Code Generation</t>
        </is>
      </c>
      <c r="C3231" s="16" t="inlineStr">
        <is>
          <t>Java OkHttp</t>
        </is>
      </c>
      <c r="D3231" s="16" t="inlineStr">
        <is>
          <t>Functional</t>
        </is>
      </c>
      <c r="E3231" s="16" t="inlineStr">
        <is>
          <t>Codegen Java OkHttp: File upload</t>
        </is>
      </c>
      <c r="F3231" s="16" t="inlineStr">
        <is>
          <t>-</t>
        </is>
      </c>
      <c r="G3231" s="16" t="inlineStr">
        <is>
          <t>1. Set up request shape: Binary.
2. Generate code for Java OkHttp (UI Copy-as / MCP generate.code).
3. Run the generated snippet in a Java OkHttp runtime against the same endpoint.</t>
        </is>
      </c>
      <c r="H3231" s="16" t="inlineStr">
        <is>
          <t>lang=Java OkHttp shape=File upload</t>
        </is>
      </c>
      <c r="I3231" s="16" t="inlineStr">
        <is>
          <t>Generated code is syntactically valid for Java OkHttp; executes against the same endpoint and produces the same response. Variables are interpolated to their resolved values (not as literal '{{var}}'); secrets are masked or warning shown when copying.</t>
        </is>
      </c>
      <c r="J3231" s="16" t="inlineStr"/>
      <c r="K3231" s="16" t="inlineStr">
        <is>
          <t>Not Run</t>
        </is>
      </c>
      <c r="L3231" s="16" t="inlineStr">
        <is>
          <t>Medium</t>
        </is>
      </c>
      <c r="M3231" s="16" t="inlineStr"/>
      <c r="N3231" s="16" t="inlineStr"/>
      <c r="O3231" s="16" t="inlineStr"/>
    </row>
    <row r="3232" ht="72" customHeight="1">
      <c r="A3232" s="16" t="inlineStr">
        <is>
          <t>TC-CG-0125</t>
        </is>
      </c>
      <c r="B3232" s="16" t="inlineStr">
        <is>
          <t>Code Generation</t>
        </is>
      </c>
      <c r="C3232" s="16" t="inlineStr">
        <is>
          <t>Java OkHttp</t>
        </is>
      </c>
      <c r="D3232" s="16" t="inlineStr">
        <is>
          <t>Functional</t>
        </is>
      </c>
      <c r="E3232" s="16" t="inlineStr">
        <is>
          <t>Codegen Java OkHttp: GraphQL</t>
        </is>
      </c>
      <c r="F3232" s="16" t="inlineStr">
        <is>
          <t>-</t>
        </is>
      </c>
      <c r="G3232" s="16" t="inlineStr">
        <is>
          <t>1. Set up request shape: Query + variables.
2. Generate code for Java OkHttp (UI Copy-as / MCP generate.code).
3. Run the generated snippet in a Java OkHttp runtime against the same endpoint.</t>
        </is>
      </c>
      <c r="H3232" s="16" t="inlineStr">
        <is>
          <t>lang=Java OkHttp shape=GraphQL</t>
        </is>
      </c>
      <c r="I3232" s="16" t="inlineStr">
        <is>
          <t>Generated code is syntactically valid for Java OkHttp; executes against the same endpoint and produces the same response. Variables are interpolated to their resolved values (not as literal '{{var}}'); secrets are masked or warning shown when copying.</t>
        </is>
      </c>
      <c r="J3232" s="16" t="inlineStr"/>
      <c r="K3232" s="16" t="inlineStr">
        <is>
          <t>Not Run</t>
        </is>
      </c>
      <c r="L3232" s="16" t="inlineStr">
        <is>
          <t>Medium</t>
        </is>
      </c>
      <c r="M3232" s="16" t="inlineStr"/>
      <c r="N3232" s="16" t="inlineStr"/>
      <c r="O3232" s="16" t="inlineStr"/>
    </row>
    <row r="3233" ht="72" customHeight="1">
      <c r="A3233" s="16" t="inlineStr">
        <is>
          <t>TC-CG-0126</t>
        </is>
      </c>
      <c r="B3233" s="16" t="inlineStr">
        <is>
          <t>Code Generation</t>
        </is>
      </c>
      <c r="C3233" s="16" t="inlineStr">
        <is>
          <t>Java OkHttp</t>
        </is>
      </c>
      <c r="D3233" s="16" t="inlineStr">
        <is>
          <t>Functional</t>
        </is>
      </c>
      <c r="E3233" s="16" t="inlineStr">
        <is>
          <t>Codegen Java OkHttp: Bearer auth</t>
        </is>
      </c>
      <c r="F3233" s="16" t="inlineStr">
        <is>
          <t>-</t>
        </is>
      </c>
      <c r="G3233" s="16" t="inlineStr">
        <is>
          <t>1. Set up request shape: Authorization header.
2. Generate code for Java OkHttp (UI Copy-as / MCP generate.code).
3. Run the generated snippet in a Java OkHttp runtime against the same endpoint.</t>
        </is>
      </c>
      <c r="H3233" s="16" t="inlineStr">
        <is>
          <t>lang=Java OkHttp shape=Bearer auth</t>
        </is>
      </c>
      <c r="I3233" s="16" t="inlineStr">
        <is>
          <t>Generated code is syntactically valid for Java OkHttp; executes against the same endpoint and produces the same response. Variables are interpolated to their resolved values (not as literal '{{var}}'); secrets are masked or warning shown when copying.</t>
        </is>
      </c>
      <c r="J3233" s="16" t="inlineStr"/>
      <c r="K3233" s="16" t="inlineStr">
        <is>
          <t>Not Run</t>
        </is>
      </c>
      <c r="L3233" s="16" t="inlineStr">
        <is>
          <t>Medium</t>
        </is>
      </c>
      <c r="M3233" s="16" t="inlineStr"/>
      <c r="N3233" s="16" t="inlineStr"/>
      <c r="O3233" s="16" t="inlineStr"/>
    </row>
    <row r="3234" ht="72" customHeight="1">
      <c r="A3234" s="16" t="inlineStr">
        <is>
          <t>TC-CG-0127</t>
        </is>
      </c>
      <c r="B3234" s="16" t="inlineStr">
        <is>
          <t>Code Generation</t>
        </is>
      </c>
      <c r="C3234" s="16" t="inlineStr">
        <is>
          <t>Java OkHttp</t>
        </is>
      </c>
      <c r="D3234" s="16" t="inlineStr">
        <is>
          <t>Functional</t>
        </is>
      </c>
      <c r="E3234" s="16" t="inlineStr">
        <is>
          <t>Codegen Java OkHttp: Basic auth</t>
        </is>
      </c>
      <c r="F3234" s="16" t="inlineStr">
        <is>
          <t>-</t>
        </is>
      </c>
      <c r="G3234" s="16" t="inlineStr">
        <is>
          <t>1. Set up request shape: user:pass.
2. Generate code for Java OkHttp (UI Copy-as / MCP generate.code).
3. Run the generated snippet in a Java OkHttp runtime against the same endpoint.</t>
        </is>
      </c>
      <c r="H3234" s="16" t="inlineStr">
        <is>
          <t>lang=Java OkHttp shape=Basic auth</t>
        </is>
      </c>
      <c r="I3234" s="16" t="inlineStr">
        <is>
          <t>Generated code is syntactically valid for Java OkHttp; executes against the same endpoint and produces the same response. Variables are interpolated to their resolved values (not as literal '{{var}}'); secrets are masked or warning shown when copying.</t>
        </is>
      </c>
      <c r="J3234" s="16" t="inlineStr"/>
      <c r="K3234" s="16" t="inlineStr">
        <is>
          <t>Not Run</t>
        </is>
      </c>
      <c r="L3234" s="16" t="inlineStr">
        <is>
          <t>Medium</t>
        </is>
      </c>
      <c r="M3234" s="16" t="inlineStr"/>
      <c r="N3234" s="16" t="inlineStr"/>
      <c r="O3234" s="16" t="inlineStr"/>
    </row>
    <row r="3235" ht="72" customHeight="1">
      <c r="A3235" s="16" t="inlineStr">
        <is>
          <t>TC-CG-0128</t>
        </is>
      </c>
      <c r="B3235" s="16" t="inlineStr">
        <is>
          <t>Code Generation</t>
        </is>
      </c>
      <c r="C3235" s="16" t="inlineStr">
        <is>
          <t>Java OkHttp</t>
        </is>
      </c>
      <c r="D3235" s="16" t="inlineStr">
        <is>
          <t>Functional</t>
        </is>
      </c>
      <c r="E3235" s="16" t="inlineStr">
        <is>
          <t>Codegen Java OkHttp: API Key header</t>
        </is>
      </c>
      <c r="F3235" s="16" t="inlineStr">
        <is>
          <t>-</t>
        </is>
      </c>
      <c r="G3235" s="16" t="inlineStr">
        <is>
          <t>1. Set up request shape: Custom header.
2. Generate code for Java OkHttp (UI Copy-as / MCP generate.code).
3. Run the generated snippet in a Java OkHttp runtime against the same endpoint.</t>
        </is>
      </c>
      <c r="H3235" s="16" t="inlineStr">
        <is>
          <t>lang=Java OkHttp shape=API Key header</t>
        </is>
      </c>
      <c r="I3235" s="16" t="inlineStr">
        <is>
          <t>Generated code is syntactically valid for Java OkHttp; executes against the same endpoint and produces the same response. Variables are interpolated to their resolved values (not as literal '{{var}}'); secrets are masked or warning shown when copying.</t>
        </is>
      </c>
      <c r="J3235" s="16" t="inlineStr"/>
      <c r="K3235" s="16" t="inlineStr">
        <is>
          <t>Not Run</t>
        </is>
      </c>
      <c r="L3235" s="16" t="inlineStr">
        <is>
          <t>Medium</t>
        </is>
      </c>
      <c r="M3235" s="16" t="inlineStr"/>
      <c r="N3235" s="16" t="inlineStr"/>
      <c r="O3235" s="16" t="inlineStr"/>
    </row>
    <row r="3236" ht="72" customHeight="1">
      <c r="A3236" s="16" t="inlineStr">
        <is>
          <t>TC-CG-0129</t>
        </is>
      </c>
      <c r="B3236" s="16" t="inlineStr">
        <is>
          <t>Code Generation</t>
        </is>
      </c>
      <c r="C3236" s="16" t="inlineStr">
        <is>
          <t>Java OkHttp</t>
        </is>
      </c>
      <c r="D3236" s="16" t="inlineStr">
        <is>
          <t>Functional</t>
        </is>
      </c>
      <c r="E3236" s="16" t="inlineStr">
        <is>
          <t>Codegen Java OkHttp: API Key query</t>
        </is>
      </c>
      <c r="F3236" s="16" t="inlineStr">
        <is>
          <t>-</t>
        </is>
      </c>
      <c r="G3236" s="16" t="inlineStr">
        <is>
          <t>1. Set up request shape: Query param.
2. Generate code for Java OkHttp (UI Copy-as / MCP generate.code).
3. Run the generated snippet in a Java OkHttp runtime against the same endpoint.</t>
        </is>
      </c>
      <c r="H3236" s="16" t="inlineStr">
        <is>
          <t>lang=Java OkHttp shape=API Key query</t>
        </is>
      </c>
      <c r="I3236" s="16" t="inlineStr">
        <is>
          <t>Generated code is syntactically valid for Java OkHttp; executes against the same endpoint and produces the same response. Variables are interpolated to their resolved values (not as literal '{{var}}'); secrets are masked or warning shown when copying.</t>
        </is>
      </c>
      <c r="J3236" s="16" t="inlineStr"/>
      <c r="K3236" s="16" t="inlineStr">
        <is>
          <t>Not Run</t>
        </is>
      </c>
      <c r="L3236" s="16" t="inlineStr">
        <is>
          <t>Medium</t>
        </is>
      </c>
      <c r="M3236" s="16" t="inlineStr"/>
      <c r="N3236" s="16" t="inlineStr"/>
      <c r="O3236" s="16" t="inlineStr"/>
    </row>
    <row r="3237" ht="72" customHeight="1">
      <c r="A3237" s="16" t="inlineStr">
        <is>
          <t>TC-CG-0130</t>
        </is>
      </c>
      <c r="B3237" s="16" t="inlineStr">
        <is>
          <t>Code Generation</t>
        </is>
      </c>
      <c r="C3237" s="16" t="inlineStr">
        <is>
          <t>Java OkHttp</t>
        </is>
      </c>
      <c r="D3237" s="16" t="inlineStr">
        <is>
          <t>Functional</t>
        </is>
      </c>
      <c r="E3237" s="16" t="inlineStr">
        <is>
          <t>Codegen Java OkHttp: OAuth2 (with token)</t>
        </is>
      </c>
      <c r="F3237" s="16" t="inlineStr">
        <is>
          <t>-</t>
        </is>
      </c>
      <c r="G3237" s="16" t="inlineStr">
        <is>
          <t>1. Set up request shape: Token attached.
2. Generate code for Java OkHttp (UI Copy-as / MCP generate.code).
3. Run the generated snippet in a Java OkHttp runtime against the same endpoint.</t>
        </is>
      </c>
      <c r="H3237" s="16" t="inlineStr">
        <is>
          <t>lang=Java OkHttp shape=OAuth2 (with token)</t>
        </is>
      </c>
      <c r="I3237" s="16" t="inlineStr">
        <is>
          <t>Generated code is syntactically valid for Java OkHttp; executes against the same endpoint and produces the same response. Variables are interpolated to their resolved values (not as literal '{{var}}'); secrets are masked or warning shown when copying.</t>
        </is>
      </c>
      <c r="J3237" s="16" t="inlineStr"/>
      <c r="K3237" s="16" t="inlineStr">
        <is>
          <t>Not Run</t>
        </is>
      </c>
      <c r="L3237" s="16" t="inlineStr">
        <is>
          <t>Medium</t>
        </is>
      </c>
      <c r="M3237" s="16" t="inlineStr"/>
      <c r="N3237" s="16" t="inlineStr"/>
      <c r="O3237" s="16" t="inlineStr"/>
    </row>
    <row r="3238" ht="72" customHeight="1">
      <c r="A3238" s="16" t="inlineStr">
        <is>
          <t>TC-CG-0131</t>
        </is>
      </c>
      <c r="B3238" s="16" t="inlineStr">
        <is>
          <t>Code Generation</t>
        </is>
      </c>
      <c r="C3238" s="16" t="inlineStr">
        <is>
          <t>Java OkHttp</t>
        </is>
      </c>
      <c r="D3238" s="16" t="inlineStr">
        <is>
          <t>Functional</t>
        </is>
      </c>
      <c r="E3238" s="16" t="inlineStr">
        <is>
          <t>Codegen Java OkHttp: AWS SigV4</t>
        </is>
      </c>
      <c r="F3238" s="16" t="inlineStr">
        <is>
          <t>-</t>
        </is>
      </c>
      <c r="G3238" s="16" t="inlineStr">
        <is>
          <t>1. Set up request shape: Signed request.
2. Generate code for Java OkHttp (UI Copy-as / MCP generate.code).
3. Run the generated snippet in a Java OkHttp runtime against the same endpoint.</t>
        </is>
      </c>
      <c r="H3238" s="16" t="inlineStr">
        <is>
          <t>lang=Java OkHttp shape=AWS SigV4</t>
        </is>
      </c>
      <c r="I3238" s="16" t="inlineStr">
        <is>
          <t>Generated code is syntactically valid for Java OkHttp; executes against the same endpoint and produces the same response. Variables are interpolated to their resolved values (not as literal '{{var}}'); secrets are masked or warning shown when copying.</t>
        </is>
      </c>
      <c r="J3238" s="16" t="inlineStr"/>
      <c r="K3238" s="16" t="inlineStr">
        <is>
          <t>Not Run</t>
        </is>
      </c>
      <c r="L3238" s="16" t="inlineStr">
        <is>
          <t>Medium</t>
        </is>
      </c>
      <c r="M3238" s="16" t="inlineStr"/>
      <c r="N3238" s="16" t="inlineStr"/>
      <c r="O3238" s="16" t="inlineStr"/>
    </row>
    <row r="3239" ht="72" customHeight="1">
      <c r="A3239" s="16" t="inlineStr">
        <is>
          <t>TC-CG-0132</t>
        </is>
      </c>
      <c r="B3239" s="16" t="inlineStr">
        <is>
          <t>Code Generation</t>
        </is>
      </c>
      <c r="C3239" s="16" t="inlineStr">
        <is>
          <t>Java OkHttp</t>
        </is>
      </c>
      <c r="D3239" s="16" t="inlineStr">
        <is>
          <t>Functional</t>
        </is>
      </c>
      <c r="E3239" s="16" t="inlineStr">
        <is>
          <t>Codegen Java OkHttp: Custom headers</t>
        </is>
      </c>
      <c r="F3239" s="16" t="inlineStr">
        <is>
          <t>-</t>
        </is>
      </c>
      <c r="G3239" s="16" t="inlineStr">
        <is>
          <t>1. Set up request shape: User-set.
2. Generate code for Java OkHttp (UI Copy-as / MCP generate.code).
3. Run the generated snippet in a Java OkHttp runtime against the same endpoint.</t>
        </is>
      </c>
      <c r="H3239" s="16" t="inlineStr">
        <is>
          <t>lang=Java OkHttp shape=Custom headers</t>
        </is>
      </c>
      <c r="I3239" s="16" t="inlineStr">
        <is>
          <t>Generated code is syntactically valid for Java OkHttp; executes against the same endpoint and produces the same response. Variables are interpolated to their resolved values (not as literal '{{var}}'); secrets are masked or warning shown when copying.</t>
        </is>
      </c>
      <c r="J3239" s="16" t="inlineStr"/>
      <c r="K3239" s="16" t="inlineStr">
        <is>
          <t>Not Run</t>
        </is>
      </c>
      <c r="L3239" s="16" t="inlineStr">
        <is>
          <t>Medium</t>
        </is>
      </c>
      <c r="M3239" s="16" t="inlineStr"/>
      <c r="N3239" s="16" t="inlineStr"/>
      <c r="O3239" s="16" t="inlineStr"/>
    </row>
    <row r="3240" ht="72" customHeight="1">
      <c r="A3240" s="16" t="inlineStr">
        <is>
          <t>TC-CG-0133</t>
        </is>
      </c>
      <c r="B3240" s="16" t="inlineStr">
        <is>
          <t>Code Generation</t>
        </is>
      </c>
      <c r="C3240" s="16" t="inlineStr">
        <is>
          <t>Java OkHttp</t>
        </is>
      </c>
      <c r="D3240" s="16" t="inlineStr">
        <is>
          <t>Functional</t>
        </is>
      </c>
      <c r="E3240" s="16" t="inlineStr">
        <is>
          <t>Codegen Java OkHttp: Path params</t>
        </is>
      </c>
      <c r="F3240" s="16" t="inlineStr">
        <is>
          <t>-</t>
        </is>
      </c>
      <c r="G3240" s="16" t="inlineStr">
        <is>
          <t>1. Set up request shape: URL with {id}.
2. Generate code for Java OkHttp (UI Copy-as / MCP generate.code).
3. Run the generated snippet in a Java OkHttp runtime against the same endpoint.</t>
        </is>
      </c>
      <c r="H3240" s="16" t="inlineStr">
        <is>
          <t>lang=Java OkHttp shape=Path params</t>
        </is>
      </c>
      <c r="I3240" s="16" t="inlineStr">
        <is>
          <t>Generated code is syntactically valid for Java OkHttp; executes against the same endpoint and produces the same response. Variables are interpolated to their resolved values (not as literal '{{var}}'); secrets are masked or warning shown when copying.</t>
        </is>
      </c>
      <c r="J3240" s="16" t="inlineStr"/>
      <c r="K3240" s="16" t="inlineStr">
        <is>
          <t>Not Run</t>
        </is>
      </c>
      <c r="L3240" s="16" t="inlineStr">
        <is>
          <t>Medium</t>
        </is>
      </c>
      <c r="M3240" s="16" t="inlineStr"/>
      <c r="N3240" s="16" t="inlineStr"/>
      <c r="O3240" s="16" t="inlineStr"/>
    </row>
    <row r="3241" ht="72" customHeight="1">
      <c r="A3241" s="16" t="inlineStr">
        <is>
          <t>TC-CG-0134</t>
        </is>
      </c>
      <c r="B3241" s="16" t="inlineStr">
        <is>
          <t>Code Generation</t>
        </is>
      </c>
      <c r="C3241" s="16" t="inlineStr">
        <is>
          <t>Java OkHttp</t>
        </is>
      </c>
      <c r="D3241" s="16" t="inlineStr">
        <is>
          <t>Functional</t>
        </is>
      </c>
      <c r="E3241" s="16" t="inlineStr">
        <is>
          <t>Codegen Java OkHttp: Query params with arrays</t>
        </is>
      </c>
      <c r="F3241" s="16" t="inlineStr">
        <is>
          <t>-</t>
        </is>
      </c>
      <c r="G3241" s="16" t="inlineStr">
        <is>
          <t>1. Set up request shape: ?a=1&amp;a=2.
2. Generate code for Java OkHttp (UI Copy-as / MCP generate.code).
3. Run the generated snippet in a Java OkHttp runtime against the same endpoint.</t>
        </is>
      </c>
      <c r="H3241" s="16" t="inlineStr">
        <is>
          <t>lang=Java OkHttp shape=Query params with arrays</t>
        </is>
      </c>
      <c r="I3241" s="16" t="inlineStr">
        <is>
          <t>Generated code is syntactically valid for Java OkHttp; executes against the same endpoint and produces the same response. Variables are interpolated to their resolved values (not as literal '{{var}}'); secrets are masked or warning shown when copying.</t>
        </is>
      </c>
      <c r="J3241" s="16" t="inlineStr"/>
      <c r="K3241" s="16" t="inlineStr">
        <is>
          <t>Not Run</t>
        </is>
      </c>
      <c r="L3241" s="16" t="inlineStr">
        <is>
          <t>Medium</t>
        </is>
      </c>
      <c r="M3241" s="16" t="inlineStr"/>
      <c r="N3241" s="16" t="inlineStr"/>
      <c r="O3241" s="16" t="inlineStr"/>
    </row>
    <row r="3242" ht="72" customHeight="1">
      <c r="A3242" s="16" t="inlineStr">
        <is>
          <t>TC-CG-0135</t>
        </is>
      </c>
      <c r="B3242" s="16" t="inlineStr">
        <is>
          <t>Code Generation</t>
        </is>
      </c>
      <c r="C3242" s="16" t="inlineStr">
        <is>
          <t>Java OkHttp</t>
        </is>
      </c>
      <c r="D3242" s="16" t="inlineStr">
        <is>
          <t>Functional</t>
        </is>
      </c>
      <c r="E3242" s="16" t="inlineStr">
        <is>
          <t>Codegen Java OkHttp: Cookies</t>
        </is>
      </c>
      <c r="F3242" s="16" t="inlineStr">
        <is>
          <t>-</t>
        </is>
      </c>
      <c r="G3242" s="16" t="inlineStr">
        <is>
          <t>1. Set up request shape: Cookie header.
2. Generate code for Java OkHttp (UI Copy-as / MCP generate.code).
3. Run the generated snippet in a Java OkHttp runtime against the same endpoint.</t>
        </is>
      </c>
      <c r="H3242" s="16" t="inlineStr">
        <is>
          <t>lang=Java OkHttp shape=Cookies</t>
        </is>
      </c>
      <c r="I3242" s="16" t="inlineStr">
        <is>
          <t>Generated code is syntactically valid for Java OkHttp; executes against the same endpoint and produces the same response. Variables are interpolated to their resolved values (not as literal '{{var}}'); secrets are masked or warning shown when copying.</t>
        </is>
      </c>
      <c r="J3242" s="16" t="inlineStr"/>
      <c r="K3242" s="16" t="inlineStr">
        <is>
          <t>Not Run</t>
        </is>
      </c>
      <c r="L3242" s="16" t="inlineStr">
        <is>
          <t>Medium</t>
        </is>
      </c>
      <c r="M3242" s="16" t="inlineStr"/>
      <c r="N3242" s="16" t="inlineStr"/>
      <c r="O3242" s="16" t="inlineStr"/>
    </row>
    <row r="3243" ht="72" customHeight="1">
      <c r="A3243" s="16" t="inlineStr">
        <is>
          <t>TC-CG-0136</t>
        </is>
      </c>
      <c r="B3243" s="16" t="inlineStr">
        <is>
          <t>Code Generation</t>
        </is>
      </c>
      <c r="C3243" s="16" t="inlineStr">
        <is>
          <t>Java OkHttp</t>
        </is>
      </c>
      <c r="D3243" s="16" t="inlineStr">
        <is>
          <t>Functional</t>
        </is>
      </c>
      <c r="E3243" s="16" t="inlineStr">
        <is>
          <t>Codegen Java OkHttp: Variable interpolation</t>
        </is>
      </c>
      <c r="F3243" s="16" t="inlineStr">
        <is>
          <t>-</t>
        </is>
      </c>
      <c r="G3243" s="16" t="inlineStr">
        <is>
          <t>1. Set up request shape: Resolved values.
2. Generate code for Java OkHttp (UI Copy-as / MCP generate.code).
3. Run the generated snippet in a Java OkHttp runtime against the same endpoint.</t>
        </is>
      </c>
      <c r="H3243" s="16" t="inlineStr">
        <is>
          <t>lang=Java OkHttp shape=Variable interpolation</t>
        </is>
      </c>
      <c r="I3243" s="16" t="inlineStr">
        <is>
          <t>Generated code is syntactically valid for Java OkHttp; executes against the same endpoint and produces the same response. Variables are interpolated to their resolved values (not as literal '{{var}}'); secrets are masked or warning shown when copying.</t>
        </is>
      </c>
      <c r="J3243" s="16" t="inlineStr"/>
      <c r="K3243" s="16" t="inlineStr">
        <is>
          <t>Not Run</t>
        </is>
      </c>
      <c r="L3243" s="16" t="inlineStr">
        <is>
          <t>Medium</t>
        </is>
      </c>
      <c r="M3243" s="16" t="inlineStr"/>
      <c r="N3243" s="16" t="inlineStr"/>
      <c r="O3243" s="16" t="inlineStr"/>
    </row>
    <row r="3244" ht="72" customHeight="1">
      <c r="A3244" s="16" t="inlineStr">
        <is>
          <t>TC-CG-0137</t>
        </is>
      </c>
      <c r="B3244" s="16" t="inlineStr">
        <is>
          <t>Code Generation</t>
        </is>
      </c>
      <c r="C3244" s="16" t="inlineStr">
        <is>
          <t>C# HttpClient</t>
        </is>
      </c>
      <c r="D3244" s="16" t="inlineStr">
        <is>
          <t>Functional</t>
        </is>
      </c>
      <c r="E3244" s="16" t="inlineStr">
        <is>
          <t>Codegen C# HttpClient: Simple GET</t>
        </is>
      </c>
      <c r="F3244" s="16" t="inlineStr">
        <is>
          <t>-</t>
        </is>
      </c>
      <c r="G3244" s="16" t="inlineStr">
        <is>
          <t>1. Set up request shape: Just URL + method.
2. Generate code for C# HttpClient (UI Copy-as / MCP generate.code).
3. Run the generated snippet in a C# HttpClient runtime against the same endpoint.</t>
        </is>
      </c>
      <c r="H3244" s="16" t="inlineStr">
        <is>
          <t>lang=C# HttpClient shape=Simple GET</t>
        </is>
      </c>
      <c r="I3244" s="16" t="inlineStr">
        <is>
          <t>Generated code is syntactically valid for C# HttpClient; executes against the same endpoint and produces the same response. Variables are interpolated to their resolved values (not as literal '{{var}}'); secrets are masked or warning shown when copying.</t>
        </is>
      </c>
      <c r="J3244" s="16" t="inlineStr"/>
      <c r="K3244" s="16" t="inlineStr">
        <is>
          <t>Not Run</t>
        </is>
      </c>
      <c r="L3244" s="16" t="inlineStr">
        <is>
          <t>Medium</t>
        </is>
      </c>
      <c r="M3244" s="16" t="inlineStr"/>
      <c r="N3244" s="16" t="inlineStr"/>
      <c r="O3244" s="16" t="inlineStr"/>
    </row>
    <row r="3245" ht="72" customHeight="1">
      <c r="A3245" s="16" t="inlineStr">
        <is>
          <t>TC-CG-0138</t>
        </is>
      </c>
      <c r="B3245" s="16" t="inlineStr">
        <is>
          <t>Code Generation</t>
        </is>
      </c>
      <c r="C3245" s="16" t="inlineStr">
        <is>
          <t>C# HttpClient</t>
        </is>
      </c>
      <c r="D3245" s="16" t="inlineStr">
        <is>
          <t>Functional</t>
        </is>
      </c>
      <c r="E3245" s="16" t="inlineStr">
        <is>
          <t>Codegen C# HttpClient: POST JSON</t>
        </is>
      </c>
      <c r="F3245" s="16" t="inlineStr">
        <is>
          <t>-</t>
        </is>
      </c>
      <c r="G3245" s="16" t="inlineStr">
        <is>
          <t>1. Set up request shape: Body + headers.
2. Generate code for C# HttpClient (UI Copy-as / MCP generate.code).
3. Run the generated snippet in a C# HttpClient runtime against the same endpoint.</t>
        </is>
      </c>
      <c r="H3245" s="16" t="inlineStr">
        <is>
          <t>lang=C# HttpClient shape=POST JSON</t>
        </is>
      </c>
      <c r="I3245" s="16" t="inlineStr">
        <is>
          <t>Generated code is syntactically valid for C# HttpClient; executes against the same endpoint and produces the same response. Variables are interpolated to their resolved values (not as literal '{{var}}'); secrets are masked or warning shown when copying.</t>
        </is>
      </c>
      <c r="J3245" s="16" t="inlineStr"/>
      <c r="K3245" s="16" t="inlineStr">
        <is>
          <t>Not Run</t>
        </is>
      </c>
      <c r="L3245" s="16" t="inlineStr">
        <is>
          <t>Medium</t>
        </is>
      </c>
      <c r="M3245" s="16" t="inlineStr"/>
      <c r="N3245" s="16" t="inlineStr"/>
      <c r="O3245" s="16" t="inlineStr"/>
    </row>
    <row r="3246" ht="72" customHeight="1">
      <c r="A3246" s="16" t="inlineStr">
        <is>
          <t>TC-CG-0139</t>
        </is>
      </c>
      <c r="B3246" s="16" t="inlineStr">
        <is>
          <t>Code Generation</t>
        </is>
      </c>
      <c r="C3246" s="16" t="inlineStr">
        <is>
          <t>C# HttpClient</t>
        </is>
      </c>
      <c r="D3246" s="16" t="inlineStr">
        <is>
          <t>Functional</t>
        </is>
      </c>
      <c r="E3246" s="16" t="inlineStr">
        <is>
          <t>Codegen C# HttpClient: POST form-data</t>
        </is>
      </c>
      <c r="F3246" s="16" t="inlineStr">
        <is>
          <t>-</t>
        </is>
      </c>
      <c r="G3246" s="16" t="inlineStr">
        <is>
          <t>1. Set up request shape: Multipart.
2. Generate code for C# HttpClient (UI Copy-as / MCP generate.code).
3. Run the generated snippet in a C# HttpClient runtime against the same endpoint.</t>
        </is>
      </c>
      <c r="H3246" s="16" t="inlineStr">
        <is>
          <t>lang=C# HttpClient shape=POST form-data</t>
        </is>
      </c>
      <c r="I3246" s="16" t="inlineStr">
        <is>
          <t>Generated code is syntactically valid for C# HttpClient; executes against the same endpoint and produces the same response. Variables are interpolated to their resolved values (not as literal '{{var}}'); secrets are masked or warning shown when copying.</t>
        </is>
      </c>
      <c r="J3246" s="16" t="inlineStr"/>
      <c r="K3246" s="16" t="inlineStr">
        <is>
          <t>Not Run</t>
        </is>
      </c>
      <c r="L3246" s="16" t="inlineStr">
        <is>
          <t>Medium</t>
        </is>
      </c>
      <c r="M3246" s="16" t="inlineStr"/>
      <c r="N3246" s="16" t="inlineStr"/>
      <c r="O3246" s="16" t="inlineStr"/>
    </row>
    <row r="3247" ht="72" customHeight="1">
      <c r="A3247" s="16" t="inlineStr">
        <is>
          <t>TC-CG-0140</t>
        </is>
      </c>
      <c r="B3247" s="16" t="inlineStr">
        <is>
          <t>Code Generation</t>
        </is>
      </c>
      <c r="C3247" s="16" t="inlineStr">
        <is>
          <t>C# HttpClient</t>
        </is>
      </c>
      <c r="D3247" s="16" t="inlineStr">
        <is>
          <t>Functional</t>
        </is>
      </c>
      <c r="E3247" s="16" t="inlineStr">
        <is>
          <t>Codegen C# HttpClient: POST urlencoded</t>
        </is>
      </c>
      <c r="F3247" s="16" t="inlineStr">
        <is>
          <t>-</t>
        </is>
      </c>
      <c r="G3247" s="16" t="inlineStr">
        <is>
          <t>1. Set up request shape: x-www-form-urlencoded.
2. Generate code for C# HttpClient (UI Copy-as / MCP generate.code).
3. Run the generated snippet in a C# HttpClient runtime against the same endpoint.</t>
        </is>
      </c>
      <c r="H3247" s="16" t="inlineStr">
        <is>
          <t>lang=C# HttpClient shape=POST urlencoded</t>
        </is>
      </c>
      <c r="I3247" s="16" t="inlineStr">
        <is>
          <t>Generated code is syntactically valid for C# HttpClient; executes against the same endpoint and produces the same response. Variables are interpolated to their resolved values (not as literal '{{var}}'); secrets are masked or warning shown when copying.</t>
        </is>
      </c>
      <c r="J3247" s="16" t="inlineStr"/>
      <c r="K3247" s="16" t="inlineStr">
        <is>
          <t>Not Run</t>
        </is>
      </c>
      <c r="L3247" s="16" t="inlineStr">
        <is>
          <t>Medium</t>
        </is>
      </c>
      <c r="M3247" s="16" t="inlineStr"/>
      <c r="N3247" s="16" t="inlineStr"/>
      <c r="O3247" s="16" t="inlineStr"/>
    </row>
    <row r="3248" ht="72" customHeight="1">
      <c r="A3248" s="16" t="inlineStr">
        <is>
          <t>TC-CG-0141</t>
        </is>
      </c>
      <c r="B3248" s="16" t="inlineStr">
        <is>
          <t>Code Generation</t>
        </is>
      </c>
      <c r="C3248" s="16" t="inlineStr">
        <is>
          <t>C# HttpClient</t>
        </is>
      </c>
      <c r="D3248" s="16" t="inlineStr">
        <is>
          <t>Functional</t>
        </is>
      </c>
      <c r="E3248" s="16" t="inlineStr">
        <is>
          <t>Codegen C# HttpClient: File upload</t>
        </is>
      </c>
      <c r="F3248" s="16" t="inlineStr">
        <is>
          <t>-</t>
        </is>
      </c>
      <c r="G3248" s="16" t="inlineStr">
        <is>
          <t>1. Set up request shape: Binary.
2. Generate code for C# HttpClient (UI Copy-as / MCP generate.code).
3. Run the generated snippet in a C# HttpClient runtime against the same endpoint.</t>
        </is>
      </c>
      <c r="H3248" s="16" t="inlineStr">
        <is>
          <t>lang=C# HttpClient shape=File upload</t>
        </is>
      </c>
      <c r="I3248" s="16" t="inlineStr">
        <is>
          <t>Generated code is syntactically valid for C# HttpClient; executes against the same endpoint and produces the same response. Variables are interpolated to their resolved values (not as literal '{{var}}'); secrets are masked or warning shown when copying.</t>
        </is>
      </c>
      <c r="J3248" s="16" t="inlineStr"/>
      <c r="K3248" s="16" t="inlineStr">
        <is>
          <t>Not Run</t>
        </is>
      </c>
      <c r="L3248" s="16" t="inlineStr">
        <is>
          <t>Medium</t>
        </is>
      </c>
      <c r="M3248" s="16" t="inlineStr"/>
      <c r="N3248" s="16" t="inlineStr"/>
      <c r="O3248" s="16" t="inlineStr"/>
    </row>
    <row r="3249" ht="72" customHeight="1">
      <c r="A3249" s="16" t="inlineStr">
        <is>
          <t>TC-CG-0142</t>
        </is>
      </c>
      <c r="B3249" s="16" t="inlineStr">
        <is>
          <t>Code Generation</t>
        </is>
      </c>
      <c r="C3249" s="16" t="inlineStr">
        <is>
          <t>C# HttpClient</t>
        </is>
      </c>
      <c r="D3249" s="16" t="inlineStr">
        <is>
          <t>Functional</t>
        </is>
      </c>
      <c r="E3249" s="16" t="inlineStr">
        <is>
          <t>Codegen C# HttpClient: GraphQL</t>
        </is>
      </c>
      <c r="F3249" s="16" t="inlineStr">
        <is>
          <t>-</t>
        </is>
      </c>
      <c r="G3249" s="16" t="inlineStr">
        <is>
          <t>1. Set up request shape: Query + variables.
2. Generate code for C# HttpClient (UI Copy-as / MCP generate.code).
3. Run the generated snippet in a C# HttpClient runtime against the same endpoint.</t>
        </is>
      </c>
      <c r="H3249" s="16" t="inlineStr">
        <is>
          <t>lang=C# HttpClient shape=GraphQL</t>
        </is>
      </c>
      <c r="I3249" s="16" t="inlineStr">
        <is>
          <t>Generated code is syntactically valid for C# HttpClient; executes against the same endpoint and produces the same response. Variables are interpolated to their resolved values (not as literal '{{var}}'); secrets are masked or warning shown when copying.</t>
        </is>
      </c>
      <c r="J3249" s="16" t="inlineStr"/>
      <c r="K3249" s="16" t="inlineStr">
        <is>
          <t>Not Run</t>
        </is>
      </c>
      <c r="L3249" s="16" t="inlineStr">
        <is>
          <t>Medium</t>
        </is>
      </c>
      <c r="M3249" s="16" t="inlineStr"/>
      <c r="N3249" s="16" t="inlineStr"/>
      <c r="O3249" s="16" t="inlineStr"/>
    </row>
    <row r="3250" ht="72" customHeight="1">
      <c r="A3250" s="16" t="inlineStr">
        <is>
          <t>TC-CG-0143</t>
        </is>
      </c>
      <c r="B3250" s="16" t="inlineStr">
        <is>
          <t>Code Generation</t>
        </is>
      </c>
      <c r="C3250" s="16" t="inlineStr">
        <is>
          <t>C# HttpClient</t>
        </is>
      </c>
      <c r="D3250" s="16" t="inlineStr">
        <is>
          <t>Functional</t>
        </is>
      </c>
      <c r="E3250" s="16" t="inlineStr">
        <is>
          <t>Codegen C# HttpClient: Bearer auth</t>
        </is>
      </c>
      <c r="F3250" s="16" t="inlineStr">
        <is>
          <t>-</t>
        </is>
      </c>
      <c r="G3250" s="16" t="inlineStr">
        <is>
          <t>1. Set up request shape: Authorization header.
2. Generate code for C# HttpClient (UI Copy-as / MCP generate.code).
3. Run the generated snippet in a C# HttpClient runtime against the same endpoint.</t>
        </is>
      </c>
      <c r="H3250" s="16" t="inlineStr">
        <is>
          <t>lang=C# HttpClient shape=Bearer auth</t>
        </is>
      </c>
      <c r="I3250" s="16" t="inlineStr">
        <is>
          <t>Generated code is syntactically valid for C# HttpClient; executes against the same endpoint and produces the same response. Variables are interpolated to their resolved values (not as literal '{{var}}'); secrets are masked or warning shown when copying.</t>
        </is>
      </c>
      <c r="J3250" s="16" t="inlineStr"/>
      <c r="K3250" s="16" t="inlineStr">
        <is>
          <t>Not Run</t>
        </is>
      </c>
      <c r="L3250" s="16" t="inlineStr">
        <is>
          <t>Medium</t>
        </is>
      </c>
      <c r="M3250" s="16" t="inlineStr"/>
      <c r="N3250" s="16" t="inlineStr"/>
      <c r="O3250" s="16" t="inlineStr"/>
    </row>
    <row r="3251" ht="72" customHeight="1">
      <c r="A3251" s="16" t="inlineStr">
        <is>
          <t>TC-CG-0144</t>
        </is>
      </c>
      <c r="B3251" s="16" t="inlineStr">
        <is>
          <t>Code Generation</t>
        </is>
      </c>
      <c r="C3251" s="16" t="inlineStr">
        <is>
          <t>C# HttpClient</t>
        </is>
      </c>
      <c r="D3251" s="16" t="inlineStr">
        <is>
          <t>Functional</t>
        </is>
      </c>
      <c r="E3251" s="16" t="inlineStr">
        <is>
          <t>Codegen C# HttpClient: Basic auth</t>
        </is>
      </c>
      <c r="F3251" s="16" t="inlineStr">
        <is>
          <t>-</t>
        </is>
      </c>
      <c r="G3251" s="16" t="inlineStr">
        <is>
          <t>1. Set up request shape: user:pass.
2. Generate code for C# HttpClient (UI Copy-as / MCP generate.code).
3. Run the generated snippet in a C# HttpClient runtime against the same endpoint.</t>
        </is>
      </c>
      <c r="H3251" s="16" t="inlineStr">
        <is>
          <t>lang=C# HttpClient shape=Basic auth</t>
        </is>
      </c>
      <c r="I3251" s="16" t="inlineStr">
        <is>
          <t>Generated code is syntactically valid for C# HttpClient; executes against the same endpoint and produces the same response. Variables are interpolated to their resolved values (not as literal '{{var}}'); secrets are masked or warning shown when copying.</t>
        </is>
      </c>
      <c r="J3251" s="16" t="inlineStr"/>
      <c r="K3251" s="16" t="inlineStr">
        <is>
          <t>Not Run</t>
        </is>
      </c>
      <c r="L3251" s="16" t="inlineStr">
        <is>
          <t>Medium</t>
        </is>
      </c>
      <c r="M3251" s="16" t="inlineStr"/>
      <c r="N3251" s="16" t="inlineStr"/>
      <c r="O3251" s="16" t="inlineStr"/>
    </row>
    <row r="3252" ht="72" customHeight="1">
      <c r="A3252" s="16" t="inlineStr">
        <is>
          <t>TC-CG-0145</t>
        </is>
      </c>
      <c r="B3252" s="16" t="inlineStr">
        <is>
          <t>Code Generation</t>
        </is>
      </c>
      <c r="C3252" s="16" t="inlineStr">
        <is>
          <t>C# HttpClient</t>
        </is>
      </c>
      <c r="D3252" s="16" t="inlineStr">
        <is>
          <t>Functional</t>
        </is>
      </c>
      <c r="E3252" s="16" t="inlineStr">
        <is>
          <t>Codegen C# HttpClient: API Key header</t>
        </is>
      </c>
      <c r="F3252" s="16" t="inlineStr">
        <is>
          <t>-</t>
        </is>
      </c>
      <c r="G3252" s="16" t="inlineStr">
        <is>
          <t>1. Set up request shape: Custom header.
2. Generate code for C# HttpClient (UI Copy-as / MCP generate.code).
3. Run the generated snippet in a C# HttpClient runtime against the same endpoint.</t>
        </is>
      </c>
      <c r="H3252" s="16" t="inlineStr">
        <is>
          <t>lang=C# HttpClient shape=API Key header</t>
        </is>
      </c>
      <c r="I3252" s="16" t="inlineStr">
        <is>
          <t>Generated code is syntactically valid for C# HttpClient; executes against the same endpoint and produces the same response. Variables are interpolated to their resolved values (not as literal '{{var}}'); secrets are masked or warning shown when copying.</t>
        </is>
      </c>
      <c r="J3252" s="16" t="inlineStr"/>
      <c r="K3252" s="16" t="inlineStr">
        <is>
          <t>Not Run</t>
        </is>
      </c>
      <c r="L3252" s="16" t="inlineStr">
        <is>
          <t>Medium</t>
        </is>
      </c>
      <c r="M3252" s="16" t="inlineStr"/>
      <c r="N3252" s="16" t="inlineStr"/>
      <c r="O3252" s="16" t="inlineStr"/>
    </row>
    <row r="3253" ht="72" customHeight="1">
      <c r="A3253" s="16" t="inlineStr">
        <is>
          <t>TC-CG-0146</t>
        </is>
      </c>
      <c r="B3253" s="16" t="inlineStr">
        <is>
          <t>Code Generation</t>
        </is>
      </c>
      <c r="C3253" s="16" t="inlineStr">
        <is>
          <t>C# HttpClient</t>
        </is>
      </c>
      <c r="D3253" s="16" t="inlineStr">
        <is>
          <t>Functional</t>
        </is>
      </c>
      <c r="E3253" s="16" t="inlineStr">
        <is>
          <t>Codegen C# HttpClient: API Key query</t>
        </is>
      </c>
      <c r="F3253" s="16" t="inlineStr">
        <is>
          <t>-</t>
        </is>
      </c>
      <c r="G3253" s="16" t="inlineStr">
        <is>
          <t>1. Set up request shape: Query param.
2. Generate code for C# HttpClient (UI Copy-as / MCP generate.code).
3. Run the generated snippet in a C# HttpClient runtime against the same endpoint.</t>
        </is>
      </c>
      <c r="H3253" s="16" t="inlineStr">
        <is>
          <t>lang=C# HttpClient shape=API Key query</t>
        </is>
      </c>
      <c r="I3253" s="16" t="inlineStr">
        <is>
          <t>Generated code is syntactically valid for C# HttpClient; executes against the same endpoint and produces the same response. Variables are interpolated to their resolved values (not as literal '{{var}}'); secrets are masked or warning shown when copying.</t>
        </is>
      </c>
      <c r="J3253" s="16" t="inlineStr"/>
      <c r="K3253" s="16" t="inlineStr">
        <is>
          <t>Not Run</t>
        </is>
      </c>
      <c r="L3253" s="16" t="inlineStr">
        <is>
          <t>Medium</t>
        </is>
      </c>
      <c r="M3253" s="16" t="inlineStr"/>
      <c r="N3253" s="16" t="inlineStr"/>
      <c r="O3253" s="16" t="inlineStr"/>
    </row>
    <row r="3254" ht="72" customHeight="1">
      <c r="A3254" s="16" t="inlineStr">
        <is>
          <t>TC-CG-0147</t>
        </is>
      </c>
      <c r="B3254" s="16" t="inlineStr">
        <is>
          <t>Code Generation</t>
        </is>
      </c>
      <c r="C3254" s="16" t="inlineStr">
        <is>
          <t>C# HttpClient</t>
        </is>
      </c>
      <c r="D3254" s="16" t="inlineStr">
        <is>
          <t>Functional</t>
        </is>
      </c>
      <c r="E3254" s="16" t="inlineStr">
        <is>
          <t>Codegen C# HttpClient: OAuth2 (with token)</t>
        </is>
      </c>
      <c r="F3254" s="16" t="inlineStr">
        <is>
          <t>-</t>
        </is>
      </c>
      <c r="G3254" s="16" t="inlineStr">
        <is>
          <t>1. Set up request shape: Token attached.
2. Generate code for C# HttpClient (UI Copy-as / MCP generate.code).
3. Run the generated snippet in a C# HttpClient runtime against the same endpoint.</t>
        </is>
      </c>
      <c r="H3254" s="16" t="inlineStr">
        <is>
          <t>lang=C# HttpClient shape=OAuth2 (with token)</t>
        </is>
      </c>
      <c r="I3254" s="16" t="inlineStr">
        <is>
          <t>Generated code is syntactically valid for C# HttpClient; executes against the same endpoint and produces the same response. Variables are interpolated to their resolved values (not as literal '{{var}}'); secrets are masked or warning shown when copying.</t>
        </is>
      </c>
      <c r="J3254" s="16" t="inlineStr"/>
      <c r="K3254" s="16" t="inlineStr">
        <is>
          <t>Not Run</t>
        </is>
      </c>
      <c r="L3254" s="16" t="inlineStr">
        <is>
          <t>Medium</t>
        </is>
      </c>
      <c r="M3254" s="16" t="inlineStr"/>
      <c r="N3254" s="16" t="inlineStr"/>
      <c r="O3254" s="16" t="inlineStr"/>
    </row>
    <row r="3255" ht="72" customHeight="1">
      <c r="A3255" s="16" t="inlineStr">
        <is>
          <t>TC-CG-0148</t>
        </is>
      </c>
      <c r="B3255" s="16" t="inlineStr">
        <is>
          <t>Code Generation</t>
        </is>
      </c>
      <c r="C3255" s="16" t="inlineStr">
        <is>
          <t>C# HttpClient</t>
        </is>
      </c>
      <c r="D3255" s="16" t="inlineStr">
        <is>
          <t>Functional</t>
        </is>
      </c>
      <c r="E3255" s="16" t="inlineStr">
        <is>
          <t>Codegen C# HttpClient: AWS SigV4</t>
        </is>
      </c>
      <c r="F3255" s="16" t="inlineStr">
        <is>
          <t>-</t>
        </is>
      </c>
      <c r="G3255" s="16" t="inlineStr">
        <is>
          <t>1. Set up request shape: Signed request.
2. Generate code for C# HttpClient (UI Copy-as / MCP generate.code).
3. Run the generated snippet in a C# HttpClient runtime against the same endpoint.</t>
        </is>
      </c>
      <c r="H3255" s="16" t="inlineStr">
        <is>
          <t>lang=C# HttpClient shape=AWS SigV4</t>
        </is>
      </c>
      <c r="I3255" s="16" t="inlineStr">
        <is>
          <t>Generated code is syntactically valid for C# HttpClient; executes against the same endpoint and produces the same response. Variables are interpolated to their resolved values (not as literal '{{var}}'); secrets are masked or warning shown when copying.</t>
        </is>
      </c>
      <c r="J3255" s="16" t="inlineStr"/>
      <c r="K3255" s="16" t="inlineStr">
        <is>
          <t>Not Run</t>
        </is>
      </c>
      <c r="L3255" s="16" t="inlineStr">
        <is>
          <t>Medium</t>
        </is>
      </c>
      <c r="M3255" s="16" t="inlineStr"/>
      <c r="N3255" s="16" t="inlineStr"/>
      <c r="O3255" s="16" t="inlineStr"/>
    </row>
    <row r="3256" ht="72" customHeight="1">
      <c r="A3256" s="16" t="inlineStr">
        <is>
          <t>TC-CG-0149</t>
        </is>
      </c>
      <c r="B3256" s="16" t="inlineStr">
        <is>
          <t>Code Generation</t>
        </is>
      </c>
      <c r="C3256" s="16" t="inlineStr">
        <is>
          <t>C# HttpClient</t>
        </is>
      </c>
      <c r="D3256" s="16" t="inlineStr">
        <is>
          <t>Functional</t>
        </is>
      </c>
      <c r="E3256" s="16" t="inlineStr">
        <is>
          <t>Codegen C# HttpClient: Custom headers</t>
        </is>
      </c>
      <c r="F3256" s="16" t="inlineStr">
        <is>
          <t>-</t>
        </is>
      </c>
      <c r="G3256" s="16" t="inlineStr">
        <is>
          <t>1. Set up request shape: User-set.
2. Generate code for C# HttpClient (UI Copy-as / MCP generate.code).
3. Run the generated snippet in a C# HttpClient runtime against the same endpoint.</t>
        </is>
      </c>
      <c r="H3256" s="16" t="inlineStr">
        <is>
          <t>lang=C# HttpClient shape=Custom headers</t>
        </is>
      </c>
      <c r="I3256" s="16" t="inlineStr">
        <is>
          <t>Generated code is syntactically valid for C# HttpClient; executes against the same endpoint and produces the same response. Variables are interpolated to their resolved values (not as literal '{{var}}'); secrets are masked or warning shown when copying.</t>
        </is>
      </c>
      <c r="J3256" s="16" t="inlineStr"/>
      <c r="K3256" s="16" t="inlineStr">
        <is>
          <t>Not Run</t>
        </is>
      </c>
      <c r="L3256" s="16" t="inlineStr">
        <is>
          <t>Medium</t>
        </is>
      </c>
      <c r="M3256" s="16" t="inlineStr"/>
      <c r="N3256" s="16" t="inlineStr"/>
      <c r="O3256" s="16" t="inlineStr"/>
    </row>
    <row r="3257" ht="72" customHeight="1">
      <c r="A3257" s="16" t="inlineStr">
        <is>
          <t>TC-CG-0150</t>
        </is>
      </c>
      <c r="B3257" s="16" t="inlineStr">
        <is>
          <t>Code Generation</t>
        </is>
      </c>
      <c r="C3257" s="16" t="inlineStr">
        <is>
          <t>C# HttpClient</t>
        </is>
      </c>
      <c r="D3257" s="16" t="inlineStr">
        <is>
          <t>Functional</t>
        </is>
      </c>
      <c r="E3257" s="16" t="inlineStr">
        <is>
          <t>Codegen C# HttpClient: Path params</t>
        </is>
      </c>
      <c r="F3257" s="16" t="inlineStr">
        <is>
          <t>-</t>
        </is>
      </c>
      <c r="G3257" s="16" t="inlineStr">
        <is>
          <t>1. Set up request shape: URL with {id}.
2. Generate code for C# HttpClient (UI Copy-as / MCP generate.code).
3. Run the generated snippet in a C# HttpClient runtime against the same endpoint.</t>
        </is>
      </c>
      <c r="H3257" s="16" t="inlineStr">
        <is>
          <t>lang=C# HttpClient shape=Path params</t>
        </is>
      </c>
      <c r="I3257" s="16" t="inlineStr">
        <is>
          <t>Generated code is syntactically valid for C# HttpClient; executes against the same endpoint and produces the same response. Variables are interpolated to their resolved values (not as literal '{{var}}'); secrets are masked or warning shown when copying.</t>
        </is>
      </c>
      <c r="J3257" s="16" t="inlineStr"/>
      <c r="K3257" s="16" t="inlineStr">
        <is>
          <t>Not Run</t>
        </is>
      </c>
      <c r="L3257" s="16" t="inlineStr">
        <is>
          <t>Medium</t>
        </is>
      </c>
      <c r="M3257" s="16" t="inlineStr"/>
      <c r="N3257" s="16" t="inlineStr"/>
      <c r="O3257" s="16" t="inlineStr"/>
    </row>
    <row r="3258" ht="72" customHeight="1">
      <c r="A3258" s="16" t="inlineStr">
        <is>
          <t>TC-CG-0151</t>
        </is>
      </c>
      <c r="B3258" s="16" t="inlineStr">
        <is>
          <t>Code Generation</t>
        </is>
      </c>
      <c r="C3258" s="16" t="inlineStr">
        <is>
          <t>C# HttpClient</t>
        </is>
      </c>
      <c r="D3258" s="16" t="inlineStr">
        <is>
          <t>Functional</t>
        </is>
      </c>
      <c r="E3258" s="16" t="inlineStr">
        <is>
          <t>Codegen C# HttpClient: Query params with arrays</t>
        </is>
      </c>
      <c r="F3258" s="16" t="inlineStr">
        <is>
          <t>-</t>
        </is>
      </c>
      <c r="G3258" s="16" t="inlineStr">
        <is>
          <t>1. Set up request shape: ?a=1&amp;a=2.
2. Generate code for C# HttpClient (UI Copy-as / MCP generate.code).
3. Run the generated snippet in a C# HttpClient runtime against the same endpoint.</t>
        </is>
      </c>
      <c r="H3258" s="16" t="inlineStr">
        <is>
          <t>lang=C# HttpClient shape=Query params with arrays</t>
        </is>
      </c>
      <c r="I3258" s="16" t="inlineStr">
        <is>
          <t>Generated code is syntactically valid for C# HttpClient; executes against the same endpoint and produces the same response. Variables are interpolated to their resolved values (not as literal '{{var}}'); secrets are masked or warning shown when copying.</t>
        </is>
      </c>
      <c r="J3258" s="16" t="inlineStr"/>
      <c r="K3258" s="16" t="inlineStr">
        <is>
          <t>Not Run</t>
        </is>
      </c>
      <c r="L3258" s="16" t="inlineStr">
        <is>
          <t>Medium</t>
        </is>
      </c>
      <c r="M3258" s="16" t="inlineStr"/>
      <c r="N3258" s="16" t="inlineStr"/>
      <c r="O3258" s="16" t="inlineStr"/>
    </row>
    <row r="3259" ht="72" customHeight="1">
      <c r="A3259" s="16" t="inlineStr">
        <is>
          <t>TC-CG-0152</t>
        </is>
      </c>
      <c r="B3259" s="16" t="inlineStr">
        <is>
          <t>Code Generation</t>
        </is>
      </c>
      <c r="C3259" s="16" t="inlineStr">
        <is>
          <t>C# HttpClient</t>
        </is>
      </c>
      <c r="D3259" s="16" t="inlineStr">
        <is>
          <t>Functional</t>
        </is>
      </c>
      <c r="E3259" s="16" t="inlineStr">
        <is>
          <t>Codegen C# HttpClient: Cookies</t>
        </is>
      </c>
      <c r="F3259" s="16" t="inlineStr">
        <is>
          <t>-</t>
        </is>
      </c>
      <c r="G3259" s="16" t="inlineStr">
        <is>
          <t>1. Set up request shape: Cookie header.
2. Generate code for C# HttpClient (UI Copy-as / MCP generate.code).
3. Run the generated snippet in a C# HttpClient runtime against the same endpoint.</t>
        </is>
      </c>
      <c r="H3259" s="16" t="inlineStr">
        <is>
          <t>lang=C# HttpClient shape=Cookies</t>
        </is>
      </c>
      <c r="I3259" s="16" t="inlineStr">
        <is>
          <t>Generated code is syntactically valid for C# HttpClient; executes against the same endpoint and produces the same response. Variables are interpolated to their resolved values (not as literal '{{var}}'); secrets are masked or warning shown when copying.</t>
        </is>
      </c>
      <c r="J3259" s="16" t="inlineStr"/>
      <c r="K3259" s="16" t="inlineStr">
        <is>
          <t>Not Run</t>
        </is>
      </c>
      <c r="L3259" s="16" t="inlineStr">
        <is>
          <t>Medium</t>
        </is>
      </c>
      <c r="M3259" s="16" t="inlineStr"/>
      <c r="N3259" s="16" t="inlineStr"/>
      <c r="O3259" s="16" t="inlineStr"/>
    </row>
    <row r="3260" ht="72" customHeight="1">
      <c r="A3260" s="16" t="inlineStr">
        <is>
          <t>TC-CG-0153</t>
        </is>
      </c>
      <c r="B3260" s="16" t="inlineStr">
        <is>
          <t>Code Generation</t>
        </is>
      </c>
      <c r="C3260" s="16" t="inlineStr">
        <is>
          <t>C# HttpClient</t>
        </is>
      </c>
      <c r="D3260" s="16" t="inlineStr">
        <is>
          <t>Functional</t>
        </is>
      </c>
      <c r="E3260" s="16" t="inlineStr">
        <is>
          <t>Codegen C# HttpClient: Variable interpolation</t>
        </is>
      </c>
      <c r="F3260" s="16" t="inlineStr">
        <is>
          <t>-</t>
        </is>
      </c>
      <c r="G3260" s="16" t="inlineStr">
        <is>
          <t>1. Set up request shape: Resolved values.
2. Generate code for C# HttpClient (UI Copy-as / MCP generate.code).
3. Run the generated snippet in a C# HttpClient runtime against the same endpoint.</t>
        </is>
      </c>
      <c r="H3260" s="16" t="inlineStr">
        <is>
          <t>lang=C# HttpClient shape=Variable interpolation</t>
        </is>
      </c>
      <c r="I3260" s="16" t="inlineStr">
        <is>
          <t>Generated code is syntactically valid for C# HttpClient; executes against the same endpoint and produces the same response. Variables are interpolated to their resolved values (not as literal '{{var}}'); secrets are masked or warning shown when copying.</t>
        </is>
      </c>
      <c r="J3260" s="16" t="inlineStr"/>
      <c r="K3260" s="16" t="inlineStr">
        <is>
          <t>Not Run</t>
        </is>
      </c>
      <c r="L3260" s="16" t="inlineStr">
        <is>
          <t>Medium</t>
        </is>
      </c>
      <c r="M3260" s="16" t="inlineStr"/>
      <c r="N3260" s="16" t="inlineStr"/>
      <c r="O3260" s="16" t="inlineStr"/>
    </row>
    <row r="3261" ht="72" customHeight="1">
      <c r="A3261" s="16" t="inlineStr">
        <is>
          <t>TC-CG-0154</t>
        </is>
      </c>
      <c r="B3261" s="16" t="inlineStr">
        <is>
          <t>Code Generation</t>
        </is>
      </c>
      <c r="C3261" s="16" t="inlineStr">
        <is>
          <t>PHP curl</t>
        </is>
      </c>
      <c r="D3261" s="16" t="inlineStr">
        <is>
          <t>Functional</t>
        </is>
      </c>
      <c r="E3261" s="16" t="inlineStr">
        <is>
          <t>Codegen PHP curl: Simple GET</t>
        </is>
      </c>
      <c r="F3261" s="16" t="inlineStr">
        <is>
          <t>-</t>
        </is>
      </c>
      <c r="G3261" s="16" t="inlineStr">
        <is>
          <t>1. Set up request shape: Just URL + method.
2. Generate code for PHP curl (UI Copy-as / MCP generate.code).
3. Run the generated snippet in a PHP curl runtime against the same endpoint.</t>
        </is>
      </c>
      <c r="H3261" s="16" t="inlineStr">
        <is>
          <t>lang=PHP curl shape=Simple GET</t>
        </is>
      </c>
      <c r="I3261" s="16" t="inlineStr">
        <is>
          <t>Generated code is syntactically valid for PHP curl; executes against the same endpoint and produces the same response. Variables are interpolated to their resolved values (not as literal '{{var}}'); secrets are masked or warning shown when copying.</t>
        </is>
      </c>
      <c r="J3261" s="16" t="inlineStr"/>
      <c r="K3261" s="16" t="inlineStr">
        <is>
          <t>Not Run</t>
        </is>
      </c>
      <c r="L3261" s="16" t="inlineStr">
        <is>
          <t>Low</t>
        </is>
      </c>
      <c r="M3261" s="16" t="inlineStr"/>
      <c r="N3261" s="16" t="inlineStr"/>
      <c r="O3261" s="16" t="inlineStr"/>
    </row>
    <row r="3262" ht="72" customHeight="1">
      <c r="A3262" s="16" t="inlineStr">
        <is>
          <t>TC-CG-0155</t>
        </is>
      </c>
      <c r="B3262" s="16" t="inlineStr">
        <is>
          <t>Code Generation</t>
        </is>
      </c>
      <c r="C3262" s="16" t="inlineStr">
        <is>
          <t>PHP curl</t>
        </is>
      </c>
      <c r="D3262" s="16" t="inlineStr">
        <is>
          <t>Functional</t>
        </is>
      </c>
      <c r="E3262" s="16" t="inlineStr">
        <is>
          <t>Codegen PHP curl: POST JSON</t>
        </is>
      </c>
      <c r="F3262" s="16" t="inlineStr">
        <is>
          <t>-</t>
        </is>
      </c>
      <c r="G3262" s="16" t="inlineStr">
        <is>
          <t>1. Set up request shape: Body + headers.
2. Generate code for PHP curl (UI Copy-as / MCP generate.code).
3. Run the generated snippet in a PHP curl runtime against the same endpoint.</t>
        </is>
      </c>
      <c r="H3262" s="16" t="inlineStr">
        <is>
          <t>lang=PHP curl shape=POST JSON</t>
        </is>
      </c>
      <c r="I3262" s="16" t="inlineStr">
        <is>
          <t>Generated code is syntactically valid for PHP curl; executes against the same endpoint and produces the same response. Variables are interpolated to their resolved values (not as literal '{{var}}'); secrets are masked or warning shown when copying.</t>
        </is>
      </c>
      <c r="J3262" s="16" t="inlineStr"/>
      <c r="K3262" s="16" t="inlineStr">
        <is>
          <t>Not Run</t>
        </is>
      </c>
      <c r="L3262" s="16" t="inlineStr">
        <is>
          <t>Low</t>
        </is>
      </c>
      <c r="M3262" s="16" t="inlineStr"/>
      <c r="N3262" s="16" t="inlineStr"/>
      <c r="O3262" s="16" t="inlineStr"/>
    </row>
    <row r="3263" ht="72" customHeight="1">
      <c r="A3263" s="16" t="inlineStr">
        <is>
          <t>TC-CG-0156</t>
        </is>
      </c>
      <c r="B3263" s="16" t="inlineStr">
        <is>
          <t>Code Generation</t>
        </is>
      </c>
      <c r="C3263" s="16" t="inlineStr">
        <is>
          <t>PHP curl</t>
        </is>
      </c>
      <c r="D3263" s="16" t="inlineStr">
        <is>
          <t>Functional</t>
        </is>
      </c>
      <c r="E3263" s="16" t="inlineStr">
        <is>
          <t>Codegen PHP curl: POST form-data</t>
        </is>
      </c>
      <c r="F3263" s="16" t="inlineStr">
        <is>
          <t>-</t>
        </is>
      </c>
      <c r="G3263" s="16" t="inlineStr">
        <is>
          <t>1. Set up request shape: Multipart.
2. Generate code for PHP curl (UI Copy-as / MCP generate.code).
3. Run the generated snippet in a PHP curl runtime against the same endpoint.</t>
        </is>
      </c>
      <c r="H3263" s="16" t="inlineStr">
        <is>
          <t>lang=PHP curl shape=POST form-data</t>
        </is>
      </c>
      <c r="I3263" s="16" t="inlineStr">
        <is>
          <t>Generated code is syntactically valid for PHP curl; executes against the same endpoint and produces the same response. Variables are interpolated to their resolved values (not as literal '{{var}}'); secrets are masked or warning shown when copying.</t>
        </is>
      </c>
      <c r="J3263" s="16" t="inlineStr"/>
      <c r="K3263" s="16" t="inlineStr">
        <is>
          <t>Not Run</t>
        </is>
      </c>
      <c r="L3263" s="16" t="inlineStr">
        <is>
          <t>Low</t>
        </is>
      </c>
      <c r="M3263" s="16" t="inlineStr"/>
      <c r="N3263" s="16" t="inlineStr"/>
      <c r="O3263" s="16" t="inlineStr"/>
    </row>
    <row r="3264" ht="72" customHeight="1">
      <c r="A3264" s="16" t="inlineStr">
        <is>
          <t>TC-CG-0157</t>
        </is>
      </c>
      <c r="B3264" s="16" t="inlineStr">
        <is>
          <t>Code Generation</t>
        </is>
      </c>
      <c r="C3264" s="16" t="inlineStr">
        <is>
          <t>PHP curl</t>
        </is>
      </c>
      <c r="D3264" s="16" t="inlineStr">
        <is>
          <t>Functional</t>
        </is>
      </c>
      <c r="E3264" s="16" t="inlineStr">
        <is>
          <t>Codegen PHP curl: POST urlencoded</t>
        </is>
      </c>
      <c r="F3264" s="16" t="inlineStr">
        <is>
          <t>-</t>
        </is>
      </c>
      <c r="G3264" s="16" t="inlineStr">
        <is>
          <t>1. Set up request shape: x-www-form-urlencoded.
2. Generate code for PHP curl (UI Copy-as / MCP generate.code).
3. Run the generated snippet in a PHP curl runtime against the same endpoint.</t>
        </is>
      </c>
      <c r="H3264" s="16" t="inlineStr">
        <is>
          <t>lang=PHP curl shape=POST urlencoded</t>
        </is>
      </c>
      <c r="I3264" s="16" t="inlineStr">
        <is>
          <t>Generated code is syntactically valid for PHP curl; executes against the same endpoint and produces the same response. Variables are interpolated to their resolved values (not as literal '{{var}}'); secrets are masked or warning shown when copying.</t>
        </is>
      </c>
      <c r="J3264" s="16" t="inlineStr"/>
      <c r="K3264" s="16" t="inlineStr">
        <is>
          <t>Not Run</t>
        </is>
      </c>
      <c r="L3264" s="16" t="inlineStr">
        <is>
          <t>Low</t>
        </is>
      </c>
      <c r="M3264" s="16" t="inlineStr"/>
      <c r="N3264" s="16" t="inlineStr"/>
      <c r="O3264" s="16" t="inlineStr"/>
    </row>
    <row r="3265" ht="72" customHeight="1">
      <c r="A3265" s="16" t="inlineStr">
        <is>
          <t>TC-CG-0158</t>
        </is>
      </c>
      <c r="B3265" s="16" t="inlineStr">
        <is>
          <t>Code Generation</t>
        </is>
      </c>
      <c r="C3265" s="16" t="inlineStr">
        <is>
          <t>PHP curl</t>
        </is>
      </c>
      <c r="D3265" s="16" t="inlineStr">
        <is>
          <t>Functional</t>
        </is>
      </c>
      <c r="E3265" s="16" t="inlineStr">
        <is>
          <t>Codegen PHP curl: File upload</t>
        </is>
      </c>
      <c r="F3265" s="16" t="inlineStr">
        <is>
          <t>-</t>
        </is>
      </c>
      <c r="G3265" s="16" t="inlineStr">
        <is>
          <t>1. Set up request shape: Binary.
2. Generate code for PHP curl (UI Copy-as / MCP generate.code).
3. Run the generated snippet in a PHP curl runtime against the same endpoint.</t>
        </is>
      </c>
      <c r="H3265" s="16" t="inlineStr">
        <is>
          <t>lang=PHP curl shape=File upload</t>
        </is>
      </c>
      <c r="I3265" s="16" t="inlineStr">
        <is>
          <t>Generated code is syntactically valid for PHP curl; executes against the same endpoint and produces the same response. Variables are interpolated to their resolved values (not as literal '{{var}}'); secrets are masked or warning shown when copying.</t>
        </is>
      </c>
      <c r="J3265" s="16" t="inlineStr"/>
      <c r="K3265" s="16" t="inlineStr">
        <is>
          <t>Not Run</t>
        </is>
      </c>
      <c r="L3265" s="16" t="inlineStr">
        <is>
          <t>Low</t>
        </is>
      </c>
      <c r="M3265" s="16" t="inlineStr"/>
      <c r="N3265" s="16" t="inlineStr"/>
      <c r="O3265" s="16" t="inlineStr"/>
    </row>
    <row r="3266" ht="72" customHeight="1">
      <c r="A3266" s="16" t="inlineStr">
        <is>
          <t>TC-CG-0159</t>
        </is>
      </c>
      <c r="B3266" s="16" t="inlineStr">
        <is>
          <t>Code Generation</t>
        </is>
      </c>
      <c r="C3266" s="16" t="inlineStr">
        <is>
          <t>PHP curl</t>
        </is>
      </c>
      <c r="D3266" s="16" t="inlineStr">
        <is>
          <t>Functional</t>
        </is>
      </c>
      <c r="E3266" s="16" t="inlineStr">
        <is>
          <t>Codegen PHP curl: GraphQL</t>
        </is>
      </c>
      <c r="F3266" s="16" t="inlineStr">
        <is>
          <t>-</t>
        </is>
      </c>
      <c r="G3266" s="16" t="inlineStr">
        <is>
          <t>1. Set up request shape: Query + variables.
2. Generate code for PHP curl (UI Copy-as / MCP generate.code).
3. Run the generated snippet in a PHP curl runtime against the same endpoint.</t>
        </is>
      </c>
      <c r="H3266" s="16" t="inlineStr">
        <is>
          <t>lang=PHP curl shape=GraphQL</t>
        </is>
      </c>
      <c r="I3266" s="16" t="inlineStr">
        <is>
          <t>Generated code is syntactically valid for PHP curl; executes against the same endpoint and produces the same response. Variables are interpolated to their resolved values (not as literal '{{var}}'); secrets are masked or warning shown when copying.</t>
        </is>
      </c>
      <c r="J3266" s="16" t="inlineStr"/>
      <c r="K3266" s="16" t="inlineStr">
        <is>
          <t>Not Run</t>
        </is>
      </c>
      <c r="L3266" s="16" t="inlineStr">
        <is>
          <t>Low</t>
        </is>
      </c>
      <c r="M3266" s="16" t="inlineStr"/>
      <c r="N3266" s="16" t="inlineStr"/>
      <c r="O3266" s="16" t="inlineStr"/>
    </row>
    <row r="3267" ht="72" customHeight="1">
      <c r="A3267" s="16" t="inlineStr">
        <is>
          <t>TC-CG-0160</t>
        </is>
      </c>
      <c r="B3267" s="16" t="inlineStr">
        <is>
          <t>Code Generation</t>
        </is>
      </c>
      <c r="C3267" s="16" t="inlineStr">
        <is>
          <t>PHP curl</t>
        </is>
      </c>
      <c r="D3267" s="16" t="inlineStr">
        <is>
          <t>Functional</t>
        </is>
      </c>
      <c r="E3267" s="16" t="inlineStr">
        <is>
          <t>Codegen PHP curl: Bearer auth</t>
        </is>
      </c>
      <c r="F3267" s="16" t="inlineStr">
        <is>
          <t>-</t>
        </is>
      </c>
      <c r="G3267" s="16" t="inlineStr">
        <is>
          <t>1. Set up request shape: Authorization header.
2. Generate code for PHP curl (UI Copy-as / MCP generate.code).
3. Run the generated snippet in a PHP curl runtime against the same endpoint.</t>
        </is>
      </c>
      <c r="H3267" s="16" t="inlineStr">
        <is>
          <t>lang=PHP curl shape=Bearer auth</t>
        </is>
      </c>
      <c r="I3267" s="16" t="inlineStr">
        <is>
          <t>Generated code is syntactically valid for PHP curl; executes against the same endpoint and produces the same response. Variables are interpolated to their resolved values (not as literal '{{var}}'); secrets are masked or warning shown when copying.</t>
        </is>
      </c>
      <c r="J3267" s="16" t="inlineStr"/>
      <c r="K3267" s="16" t="inlineStr">
        <is>
          <t>Not Run</t>
        </is>
      </c>
      <c r="L3267" s="16" t="inlineStr">
        <is>
          <t>Low</t>
        </is>
      </c>
      <c r="M3267" s="16" t="inlineStr"/>
      <c r="N3267" s="16" t="inlineStr"/>
      <c r="O3267" s="16" t="inlineStr"/>
    </row>
    <row r="3268" ht="72" customHeight="1">
      <c r="A3268" s="16" t="inlineStr">
        <is>
          <t>TC-CG-0161</t>
        </is>
      </c>
      <c r="B3268" s="16" t="inlineStr">
        <is>
          <t>Code Generation</t>
        </is>
      </c>
      <c r="C3268" s="16" t="inlineStr">
        <is>
          <t>PHP curl</t>
        </is>
      </c>
      <c r="D3268" s="16" t="inlineStr">
        <is>
          <t>Functional</t>
        </is>
      </c>
      <c r="E3268" s="16" t="inlineStr">
        <is>
          <t>Codegen PHP curl: Basic auth</t>
        </is>
      </c>
      <c r="F3268" s="16" t="inlineStr">
        <is>
          <t>-</t>
        </is>
      </c>
      <c r="G3268" s="16" t="inlineStr">
        <is>
          <t>1. Set up request shape: user:pass.
2. Generate code for PHP curl (UI Copy-as / MCP generate.code).
3. Run the generated snippet in a PHP curl runtime against the same endpoint.</t>
        </is>
      </c>
      <c r="H3268" s="16" t="inlineStr">
        <is>
          <t>lang=PHP curl shape=Basic auth</t>
        </is>
      </c>
      <c r="I3268" s="16" t="inlineStr">
        <is>
          <t>Generated code is syntactically valid for PHP curl; executes against the same endpoint and produces the same response. Variables are interpolated to their resolved values (not as literal '{{var}}'); secrets are masked or warning shown when copying.</t>
        </is>
      </c>
      <c r="J3268" s="16" t="inlineStr"/>
      <c r="K3268" s="16" t="inlineStr">
        <is>
          <t>Not Run</t>
        </is>
      </c>
      <c r="L3268" s="16" t="inlineStr">
        <is>
          <t>Low</t>
        </is>
      </c>
      <c r="M3268" s="16" t="inlineStr"/>
      <c r="N3268" s="16" t="inlineStr"/>
      <c r="O3268" s="16" t="inlineStr"/>
    </row>
    <row r="3269" ht="72" customHeight="1">
      <c r="A3269" s="16" t="inlineStr">
        <is>
          <t>TC-CG-0162</t>
        </is>
      </c>
      <c r="B3269" s="16" t="inlineStr">
        <is>
          <t>Code Generation</t>
        </is>
      </c>
      <c r="C3269" s="16" t="inlineStr">
        <is>
          <t>PHP curl</t>
        </is>
      </c>
      <c r="D3269" s="16" t="inlineStr">
        <is>
          <t>Functional</t>
        </is>
      </c>
      <c r="E3269" s="16" t="inlineStr">
        <is>
          <t>Codegen PHP curl: API Key header</t>
        </is>
      </c>
      <c r="F3269" s="16" t="inlineStr">
        <is>
          <t>-</t>
        </is>
      </c>
      <c r="G3269" s="16" t="inlineStr">
        <is>
          <t>1. Set up request shape: Custom header.
2. Generate code for PHP curl (UI Copy-as / MCP generate.code).
3. Run the generated snippet in a PHP curl runtime against the same endpoint.</t>
        </is>
      </c>
      <c r="H3269" s="16" t="inlineStr">
        <is>
          <t>lang=PHP curl shape=API Key header</t>
        </is>
      </c>
      <c r="I3269" s="16" t="inlineStr">
        <is>
          <t>Generated code is syntactically valid for PHP curl; executes against the same endpoint and produces the same response. Variables are interpolated to their resolved values (not as literal '{{var}}'); secrets are masked or warning shown when copying.</t>
        </is>
      </c>
      <c r="J3269" s="16" t="inlineStr"/>
      <c r="K3269" s="16" t="inlineStr">
        <is>
          <t>Not Run</t>
        </is>
      </c>
      <c r="L3269" s="16" t="inlineStr">
        <is>
          <t>Low</t>
        </is>
      </c>
      <c r="M3269" s="16" t="inlineStr"/>
      <c r="N3269" s="16" t="inlineStr"/>
      <c r="O3269" s="16" t="inlineStr"/>
    </row>
    <row r="3270" ht="72" customHeight="1">
      <c r="A3270" s="16" t="inlineStr">
        <is>
          <t>TC-CG-0163</t>
        </is>
      </c>
      <c r="B3270" s="16" t="inlineStr">
        <is>
          <t>Code Generation</t>
        </is>
      </c>
      <c r="C3270" s="16" t="inlineStr">
        <is>
          <t>PHP curl</t>
        </is>
      </c>
      <c r="D3270" s="16" t="inlineStr">
        <is>
          <t>Functional</t>
        </is>
      </c>
      <c r="E3270" s="16" t="inlineStr">
        <is>
          <t>Codegen PHP curl: API Key query</t>
        </is>
      </c>
      <c r="F3270" s="16" t="inlineStr">
        <is>
          <t>-</t>
        </is>
      </c>
      <c r="G3270" s="16" t="inlineStr">
        <is>
          <t>1. Set up request shape: Query param.
2. Generate code for PHP curl (UI Copy-as / MCP generate.code).
3. Run the generated snippet in a PHP curl runtime against the same endpoint.</t>
        </is>
      </c>
      <c r="H3270" s="16" t="inlineStr">
        <is>
          <t>lang=PHP curl shape=API Key query</t>
        </is>
      </c>
      <c r="I3270" s="16" t="inlineStr">
        <is>
          <t>Generated code is syntactically valid for PHP curl; executes against the same endpoint and produces the same response. Variables are interpolated to their resolved values (not as literal '{{var}}'); secrets are masked or warning shown when copying.</t>
        </is>
      </c>
      <c r="J3270" s="16" t="inlineStr"/>
      <c r="K3270" s="16" t="inlineStr">
        <is>
          <t>Not Run</t>
        </is>
      </c>
      <c r="L3270" s="16" t="inlineStr">
        <is>
          <t>Low</t>
        </is>
      </c>
      <c r="M3270" s="16" t="inlineStr"/>
      <c r="N3270" s="16" t="inlineStr"/>
      <c r="O3270" s="16" t="inlineStr"/>
    </row>
    <row r="3271" ht="72" customHeight="1">
      <c r="A3271" s="16" t="inlineStr">
        <is>
          <t>TC-CG-0164</t>
        </is>
      </c>
      <c r="B3271" s="16" t="inlineStr">
        <is>
          <t>Code Generation</t>
        </is>
      </c>
      <c r="C3271" s="16" t="inlineStr">
        <is>
          <t>PHP curl</t>
        </is>
      </c>
      <c r="D3271" s="16" t="inlineStr">
        <is>
          <t>Functional</t>
        </is>
      </c>
      <c r="E3271" s="16" t="inlineStr">
        <is>
          <t>Codegen PHP curl: OAuth2 (with token)</t>
        </is>
      </c>
      <c r="F3271" s="16" t="inlineStr">
        <is>
          <t>-</t>
        </is>
      </c>
      <c r="G3271" s="16" t="inlineStr">
        <is>
          <t>1. Set up request shape: Token attached.
2. Generate code for PHP curl (UI Copy-as / MCP generate.code).
3. Run the generated snippet in a PHP curl runtime against the same endpoint.</t>
        </is>
      </c>
      <c r="H3271" s="16" t="inlineStr">
        <is>
          <t>lang=PHP curl shape=OAuth2 (with token)</t>
        </is>
      </c>
      <c r="I3271" s="16" t="inlineStr">
        <is>
          <t>Generated code is syntactically valid for PHP curl; executes against the same endpoint and produces the same response. Variables are interpolated to their resolved values (not as literal '{{var}}'); secrets are masked or warning shown when copying.</t>
        </is>
      </c>
      <c r="J3271" s="16" t="inlineStr"/>
      <c r="K3271" s="16" t="inlineStr">
        <is>
          <t>Not Run</t>
        </is>
      </c>
      <c r="L3271" s="16" t="inlineStr">
        <is>
          <t>Low</t>
        </is>
      </c>
      <c r="M3271" s="16" t="inlineStr"/>
      <c r="N3271" s="16" t="inlineStr"/>
      <c r="O3271" s="16" t="inlineStr"/>
    </row>
    <row r="3272" ht="72" customHeight="1">
      <c r="A3272" s="16" t="inlineStr">
        <is>
          <t>TC-CG-0165</t>
        </is>
      </c>
      <c r="B3272" s="16" t="inlineStr">
        <is>
          <t>Code Generation</t>
        </is>
      </c>
      <c r="C3272" s="16" t="inlineStr">
        <is>
          <t>PHP curl</t>
        </is>
      </c>
      <c r="D3272" s="16" t="inlineStr">
        <is>
          <t>Functional</t>
        </is>
      </c>
      <c r="E3272" s="16" t="inlineStr">
        <is>
          <t>Codegen PHP curl: AWS SigV4</t>
        </is>
      </c>
      <c r="F3272" s="16" t="inlineStr">
        <is>
          <t>-</t>
        </is>
      </c>
      <c r="G3272" s="16" t="inlineStr">
        <is>
          <t>1. Set up request shape: Signed request.
2. Generate code for PHP curl (UI Copy-as / MCP generate.code).
3. Run the generated snippet in a PHP curl runtime against the same endpoint.</t>
        </is>
      </c>
      <c r="H3272" s="16" t="inlineStr">
        <is>
          <t>lang=PHP curl shape=AWS SigV4</t>
        </is>
      </c>
      <c r="I3272" s="16" t="inlineStr">
        <is>
          <t>Generated code is syntactically valid for PHP curl; executes against the same endpoint and produces the same response. Variables are interpolated to their resolved values (not as literal '{{var}}'); secrets are masked or warning shown when copying.</t>
        </is>
      </c>
      <c r="J3272" s="16" t="inlineStr"/>
      <c r="K3272" s="16" t="inlineStr">
        <is>
          <t>Not Run</t>
        </is>
      </c>
      <c r="L3272" s="16" t="inlineStr">
        <is>
          <t>Low</t>
        </is>
      </c>
      <c r="M3272" s="16" t="inlineStr"/>
      <c r="N3272" s="16" t="inlineStr"/>
      <c r="O3272" s="16" t="inlineStr"/>
    </row>
    <row r="3273" ht="72" customHeight="1">
      <c r="A3273" s="16" t="inlineStr">
        <is>
          <t>TC-CG-0166</t>
        </is>
      </c>
      <c r="B3273" s="16" t="inlineStr">
        <is>
          <t>Code Generation</t>
        </is>
      </c>
      <c r="C3273" s="16" t="inlineStr">
        <is>
          <t>PHP curl</t>
        </is>
      </c>
      <c r="D3273" s="16" t="inlineStr">
        <is>
          <t>Functional</t>
        </is>
      </c>
      <c r="E3273" s="16" t="inlineStr">
        <is>
          <t>Codegen PHP curl: Custom headers</t>
        </is>
      </c>
      <c r="F3273" s="16" t="inlineStr">
        <is>
          <t>-</t>
        </is>
      </c>
      <c r="G3273" s="16" t="inlineStr">
        <is>
          <t>1. Set up request shape: User-set.
2. Generate code for PHP curl (UI Copy-as / MCP generate.code).
3. Run the generated snippet in a PHP curl runtime against the same endpoint.</t>
        </is>
      </c>
      <c r="H3273" s="16" t="inlineStr">
        <is>
          <t>lang=PHP curl shape=Custom headers</t>
        </is>
      </c>
      <c r="I3273" s="16" t="inlineStr">
        <is>
          <t>Generated code is syntactically valid for PHP curl; executes against the same endpoint and produces the same response. Variables are interpolated to their resolved values (not as literal '{{var}}'); secrets are masked or warning shown when copying.</t>
        </is>
      </c>
      <c r="J3273" s="16" t="inlineStr"/>
      <c r="K3273" s="16" t="inlineStr">
        <is>
          <t>Not Run</t>
        </is>
      </c>
      <c r="L3273" s="16" t="inlineStr">
        <is>
          <t>Low</t>
        </is>
      </c>
      <c r="M3273" s="16" t="inlineStr"/>
      <c r="N3273" s="16" t="inlineStr"/>
      <c r="O3273" s="16" t="inlineStr"/>
    </row>
    <row r="3274" ht="72" customHeight="1">
      <c r="A3274" s="16" t="inlineStr">
        <is>
          <t>TC-CG-0167</t>
        </is>
      </c>
      <c r="B3274" s="16" t="inlineStr">
        <is>
          <t>Code Generation</t>
        </is>
      </c>
      <c r="C3274" s="16" t="inlineStr">
        <is>
          <t>PHP curl</t>
        </is>
      </c>
      <c r="D3274" s="16" t="inlineStr">
        <is>
          <t>Functional</t>
        </is>
      </c>
      <c r="E3274" s="16" t="inlineStr">
        <is>
          <t>Codegen PHP curl: Path params</t>
        </is>
      </c>
      <c r="F3274" s="16" t="inlineStr">
        <is>
          <t>-</t>
        </is>
      </c>
      <c r="G3274" s="16" t="inlineStr">
        <is>
          <t>1. Set up request shape: URL with {id}.
2. Generate code for PHP curl (UI Copy-as / MCP generate.code).
3. Run the generated snippet in a PHP curl runtime against the same endpoint.</t>
        </is>
      </c>
      <c r="H3274" s="16" t="inlineStr">
        <is>
          <t>lang=PHP curl shape=Path params</t>
        </is>
      </c>
      <c r="I3274" s="16" t="inlineStr">
        <is>
          <t>Generated code is syntactically valid for PHP curl; executes against the same endpoint and produces the same response. Variables are interpolated to their resolved values (not as literal '{{var}}'); secrets are masked or warning shown when copying.</t>
        </is>
      </c>
      <c r="J3274" s="16" t="inlineStr"/>
      <c r="K3274" s="16" t="inlineStr">
        <is>
          <t>Not Run</t>
        </is>
      </c>
      <c r="L3274" s="16" t="inlineStr">
        <is>
          <t>Low</t>
        </is>
      </c>
      <c r="M3274" s="16" t="inlineStr"/>
      <c r="N3274" s="16" t="inlineStr"/>
      <c r="O3274" s="16" t="inlineStr"/>
    </row>
    <row r="3275" ht="72" customHeight="1">
      <c r="A3275" s="16" t="inlineStr">
        <is>
          <t>TC-CG-0168</t>
        </is>
      </c>
      <c r="B3275" s="16" t="inlineStr">
        <is>
          <t>Code Generation</t>
        </is>
      </c>
      <c r="C3275" s="16" t="inlineStr">
        <is>
          <t>PHP curl</t>
        </is>
      </c>
      <c r="D3275" s="16" t="inlineStr">
        <is>
          <t>Functional</t>
        </is>
      </c>
      <c r="E3275" s="16" t="inlineStr">
        <is>
          <t>Codegen PHP curl: Query params with arrays</t>
        </is>
      </c>
      <c r="F3275" s="16" t="inlineStr">
        <is>
          <t>-</t>
        </is>
      </c>
      <c r="G3275" s="16" t="inlineStr">
        <is>
          <t>1. Set up request shape: ?a=1&amp;a=2.
2. Generate code for PHP curl (UI Copy-as / MCP generate.code).
3. Run the generated snippet in a PHP curl runtime against the same endpoint.</t>
        </is>
      </c>
      <c r="H3275" s="16" t="inlineStr">
        <is>
          <t>lang=PHP curl shape=Query params with arrays</t>
        </is>
      </c>
      <c r="I3275" s="16" t="inlineStr">
        <is>
          <t>Generated code is syntactically valid for PHP curl; executes against the same endpoint and produces the same response. Variables are interpolated to their resolved values (not as literal '{{var}}'); secrets are masked or warning shown when copying.</t>
        </is>
      </c>
      <c r="J3275" s="16" t="inlineStr"/>
      <c r="K3275" s="16" t="inlineStr">
        <is>
          <t>Not Run</t>
        </is>
      </c>
      <c r="L3275" s="16" t="inlineStr">
        <is>
          <t>Low</t>
        </is>
      </c>
      <c r="M3275" s="16" t="inlineStr"/>
      <c r="N3275" s="16" t="inlineStr"/>
      <c r="O3275" s="16" t="inlineStr"/>
    </row>
    <row r="3276" ht="72" customHeight="1">
      <c r="A3276" s="16" t="inlineStr">
        <is>
          <t>TC-CG-0169</t>
        </is>
      </c>
      <c r="B3276" s="16" t="inlineStr">
        <is>
          <t>Code Generation</t>
        </is>
      </c>
      <c r="C3276" s="16" t="inlineStr">
        <is>
          <t>PHP curl</t>
        </is>
      </c>
      <c r="D3276" s="16" t="inlineStr">
        <is>
          <t>Functional</t>
        </is>
      </c>
      <c r="E3276" s="16" t="inlineStr">
        <is>
          <t>Codegen PHP curl: Cookies</t>
        </is>
      </c>
      <c r="F3276" s="16" t="inlineStr">
        <is>
          <t>-</t>
        </is>
      </c>
      <c r="G3276" s="16" t="inlineStr">
        <is>
          <t>1. Set up request shape: Cookie header.
2. Generate code for PHP curl (UI Copy-as / MCP generate.code).
3. Run the generated snippet in a PHP curl runtime against the same endpoint.</t>
        </is>
      </c>
      <c r="H3276" s="16" t="inlineStr">
        <is>
          <t>lang=PHP curl shape=Cookies</t>
        </is>
      </c>
      <c r="I3276" s="16" t="inlineStr">
        <is>
          <t>Generated code is syntactically valid for PHP curl; executes against the same endpoint and produces the same response. Variables are interpolated to their resolved values (not as literal '{{var}}'); secrets are masked or warning shown when copying.</t>
        </is>
      </c>
      <c r="J3276" s="16" t="inlineStr"/>
      <c r="K3276" s="16" t="inlineStr">
        <is>
          <t>Not Run</t>
        </is>
      </c>
      <c r="L3276" s="16" t="inlineStr">
        <is>
          <t>Low</t>
        </is>
      </c>
      <c r="M3276" s="16" t="inlineStr"/>
      <c r="N3276" s="16" t="inlineStr"/>
      <c r="O3276" s="16" t="inlineStr"/>
    </row>
    <row r="3277" ht="72" customHeight="1">
      <c r="A3277" s="16" t="inlineStr">
        <is>
          <t>TC-CG-0170</t>
        </is>
      </c>
      <c r="B3277" s="16" t="inlineStr">
        <is>
          <t>Code Generation</t>
        </is>
      </c>
      <c r="C3277" s="16" t="inlineStr">
        <is>
          <t>PHP curl</t>
        </is>
      </c>
      <c r="D3277" s="16" t="inlineStr">
        <is>
          <t>Functional</t>
        </is>
      </c>
      <c r="E3277" s="16" t="inlineStr">
        <is>
          <t>Codegen PHP curl: Variable interpolation</t>
        </is>
      </c>
      <c r="F3277" s="16" t="inlineStr">
        <is>
          <t>-</t>
        </is>
      </c>
      <c r="G3277" s="16" t="inlineStr">
        <is>
          <t>1. Set up request shape: Resolved values.
2. Generate code for PHP curl (UI Copy-as / MCP generate.code).
3. Run the generated snippet in a PHP curl runtime against the same endpoint.</t>
        </is>
      </c>
      <c r="H3277" s="16" t="inlineStr">
        <is>
          <t>lang=PHP curl shape=Variable interpolation</t>
        </is>
      </c>
      <c r="I3277" s="16" t="inlineStr">
        <is>
          <t>Generated code is syntactically valid for PHP curl; executes against the same endpoint and produces the same response. Variables are interpolated to their resolved values (not as literal '{{var}}'); secrets are masked or warning shown when copying.</t>
        </is>
      </c>
      <c r="J3277" s="16" t="inlineStr"/>
      <c r="K3277" s="16" t="inlineStr">
        <is>
          <t>Not Run</t>
        </is>
      </c>
      <c r="L3277" s="16" t="inlineStr">
        <is>
          <t>Low</t>
        </is>
      </c>
      <c r="M3277" s="16" t="inlineStr"/>
      <c r="N3277" s="16" t="inlineStr"/>
      <c r="O3277" s="16" t="inlineStr"/>
    </row>
    <row r="3278" ht="72" customHeight="1">
      <c r="A3278" s="16" t="inlineStr">
        <is>
          <t>TC-CG-0171</t>
        </is>
      </c>
      <c r="B3278" s="16" t="inlineStr">
        <is>
          <t>Code Generation</t>
        </is>
      </c>
      <c r="C3278" s="16" t="inlineStr">
        <is>
          <t>Ruby Net::HTTP</t>
        </is>
      </c>
      <c r="D3278" s="16" t="inlineStr">
        <is>
          <t>Functional</t>
        </is>
      </c>
      <c r="E3278" s="16" t="inlineStr">
        <is>
          <t>Codegen Ruby Net::HTTP: Simple GET</t>
        </is>
      </c>
      <c r="F3278" s="16" t="inlineStr">
        <is>
          <t>-</t>
        </is>
      </c>
      <c r="G3278" s="16" t="inlineStr">
        <is>
          <t>1. Set up request shape: Just URL + method.
2. Generate code for Ruby Net::HTTP (UI Copy-as / MCP generate.code).
3. Run the generated snippet in a Ruby Net::HTTP runtime against the same endpoint.</t>
        </is>
      </c>
      <c r="H3278" s="16" t="inlineStr">
        <is>
          <t>lang=Ruby Net::HTTP shape=Simple GET</t>
        </is>
      </c>
      <c r="I3278" s="16" t="inlineStr">
        <is>
          <t>Generated code is syntactically valid for Ruby Net::HTTP; executes against the same endpoint and produces the same response. Variables are interpolated to their resolved values (not as literal '{{var}}'); secrets are masked or warning shown when copying.</t>
        </is>
      </c>
      <c r="J3278" s="16" t="inlineStr"/>
      <c r="K3278" s="16" t="inlineStr">
        <is>
          <t>Not Run</t>
        </is>
      </c>
      <c r="L3278" s="16" t="inlineStr">
        <is>
          <t>Low</t>
        </is>
      </c>
      <c r="M3278" s="16" t="inlineStr"/>
      <c r="N3278" s="16" t="inlineStr"/>
      <c r="O3278" s="16" t="inlineStr"/>
    </row>
    <row r="3279" ht="72" customHeight="1">
      <c r="A3279" s="16" t="inlineStr">
        <is>
          <t>TC-CG-0172</t>
        </is>
      </c>
      <c r="B3279" s="16" t="inlineStr">
        <is>
          <t>Code Generation</t>
        </is>
      </c>
      <c r="C3279" s="16" t="inlineStr">
        <is>
          <t>Ruby Net::HTTP</t>
        </is>
      </c>
      <c r="D3279" s="16" t="inlineStr">
        <is>
          <t>Functional</t>
        </is>
      </c>
      <c r="E3279" s="16" t="inlineStr">
        <is>
          <t>Codegen Ruby Net::HTTP: POST JSON</t>
        </is>
      </c>
      <c r="F3279" s="16" t="inlineStr">
        <is>
          <t>-</t>
        </is>
      </c>
      <c r="G3279" s="16" t="inlineStr">
        <is>
          <t>1. Set up request shape: Body + headers.
2. Generate code for Ruby Net::HTTP (UI Copy-as / MCP generate.code).
3. Run the generated snippet in a Ruby Net::HTTP runtime against the same endpoint.</t>
        </is>
      </c>
      <c r="H3279" s="16" t="inlineStr">
        <is>
          <t>lang=Ruby Net::HTTP shape=POST JSON</t>
        </is>
      </c>
      <c r="I3279" s="16" t="inlineStr">
        <is>
          <t>Generated code is syntactically valid for Ruby Net::HTTP; executes against the same endpoint and produces the same response. Variables are interpolated to their resolved values (not as literal '{{var}}'); secrets are masked or warning shown when copying.</t>
        </is>
      </c>
      <c r="J3279" s="16" t="inlineStr"/>
      <c r="K3279" s="16" t="inlineStr">
        <is>
          <t>Not Run</t>
        </is>
      </c>
      <c r="L3279" s="16" t="inlineStr">
        <is>
          <t>Low</t>
        </is>
      </c>
      <c r="M3279" s="16" t="inlineStr"/>
      <c r="N3279" s="16" t="inlineStr"/>
      <c r="O3279" s="16" t="inlineStr"/>
    </row>
    <row r="3280" ht="72" customHeight="1">
      <c r="A3280" s="16" t="inlineStr">
        <is>
          <t>TC-CG-0173</t>
        </is>
      </c>
      <c r="B3280" s="16" t="inlineStr">
        <is>
          <t>Code Generation</t>
        </is>
      </c>
      <c r="C3280" s="16" t="inlineStr">
        <is>
          <t>Ruby Net::HTTP</t>
        </is>
      </c>
      <c r="D3280" s="16" t="inlineStr">
        <is>
          <t>Functional</t>
        </is>
      </c>
      <c r="E3280" s="16" t="inlineStr">
        <is>
          <t>Codegen Ruby Net::HTTP: POST form-data</t>
        </is>
      </c>
      <c r="F3280" s="16" t="inlineStr">
        <is>
          <t>-</t>
        </is>
      </c>
      <c r="G3280" s="16" t="inlineStr">
        <is>
          <t>1. Set up request shape: Multipart.
2. Generate code for Ruby Net::HTTP (UI Copy-as / MCP generate.code).
3. Run the generated snippet in a Ruby Net::HTTP runtime against the same endpoint.</t>
        </is>
      </c>
      <c r="H3280" s="16" t="inlineStr">
        <is>
          <t>lang=Ruby Net::HTTP shape=POST form-data</t>
        </is>
      </c>
      <c r="I3280" s="16" t="inlineStr">
        <is>
          <t>Generated code is syntactically valid for Ruby Net::HTTP; executes against the same endpoint and produces the same response. Variables are interpolated to their resolved values (not as literal '{{var}}'); secrets are masked or warning shown when copying.</t>
        </is>
      </c>
      <c r="J3280" s="16" t="inlineStr"/>
      <c r="K3280" s="16" t="inlineStr">
        <is>
          <t>Not Run</t>
        </is>
      </c>
      <c r="L3280" s="16" t="inlineStr">
        <is>
          <t>Low</t>
        </is>
      </c>
      <c r="M3280" s="16" t="inlineStr"/>
      <c r="N3280" s="16" t="inlineStr"/>
      <c r="O3280" s="16" t="inlineStr"/>
    </row>
    <row r="3281" ht="72" customHeight="1">
      <c r="A3281" s="16" t="inlineStr">
        <is>
          <t>TC-CG-0174</t>
        </is>
      </c>
      <c r="B3281" s="16" t="inlineStr">
        <is>
          <t>Code Generation</t>
        </is>
      </c>
      <c r="C3281" s="16" t="inlineStr">
        <is>
          <t>Ruby Net::HTTP</t>
        </is>
      </c>
      <c r="D3281" s="16" t="inlineStr">
        <is>
          <t>Functional</t>
        </is>
      </c>
      <c r="E3281" s="16" t="inlineStr">
        <is>
          <t>Codegen Ruby Net::HTTP: POST urlencoded</t>
        </is>
      </c>
      <c r="F3281" s="16" t="inlineStr">
        <is>
          <t>-</t>
        </is>
      </c>
      <c r="G3281" s="16" t="inlineStr">
        <is>
          <t>1. Set up request shape: x-www-form-urlencoded.
2. Generate code for Ruby Net::HTTP (UI Copy-as / MCP generate.code).
3. Run the generated snippet in a Ruby Net::HTTP runtime against the same endpoint.</t>
        </is>
      </c>
      <c r="H3281" s="16" t="inlineStr">
        <is>
          <t>lang=Ruby Net::HTTP shape=POST urlencoded</t>
        </is>
      </c>
      <c r="I3281" s="16" t="inlineStr">
        <is>
          <t>Generated code is syntactically valid for Ruby Net::HTTP; executes against the same endpoint and produces the same response. Variables are interpolated to their resolved values (not as literal '{{var}}'); secrets are masked or warning shown when copying.</t>
        </is>
      </c>
      <c r="J3281" s="16" t="inlineStr"/>
      <c r="K3281" s="16" t="inlineStr">
        <is>
          <t>Not Run</t>
        </is>
      </c>
      <c r="L3281" s="16" t="inlineStr">
        <is>
          <t>Low</t>
        </is>
      </c>
      <c r="M3281" s="16" t="inlineStr"/>
      <c r="N3281" s="16" t="inlineStr"/>
      <c r="O3281" s="16" t="inlineStr"/>
    </row>
    <row r="3282" ht="72" customHeight="1">
      <c r="A3282" s="16" t="inlineStr">
        <is>
          <t>TC-CG-0175</t>
        </is>
      </c>
      <c r="B3282" s="16" t="inlineStr">
        <is>
          <t>Code Generation</t>
        </is>
      </c>
      <c r="C3282" s="16" t="inlineStr">
        <is>
          <t>Ruby Net::HTTP</t>
        </is>
      </c>
      <c r="D3282" s="16" t="inlineStr">
        <is>
          <t>Functional</t>
        </is>
      </c>
      <c r="E3282" s="16" t="inlineStr">
        <is>
          <t>Codegen Ruby Net::HTTP: File upload</t>
        </is>
      </c>
      <c r="F3282" s="16" t="inlineStr">
        <is>
          <t>-</t>
        </is>
      </c>
      <c r="G3282" s="16" t="inlineStr">
        <is>
          <t>1. Set up request shape: Binary.
2. Generate code for Ruby Net::HTTP (UI Copy-as / MCP generate.code).
3. Run the generated snippet in a Ruby Net::HTTP runtime against the same endpoint.</t>
        </is>
      </c>
      <c r="H3282" s="16" t="inlineStr">
        <is>
          <t>lang=Ruby Net::HTTP shape=File upload</t>
        </is>
      </c>
      <c r="I3282" s="16" t="inlineStr">
        <is>
          <t>Generated code is syntactically valid for Ruby Net::HTTP; executes against the same endpoint and produces the same response. Variables are interpolated to their resolved values (not as literal '{{var}}'); secrets are masked or warning shown when copying.</t>
        </is>
      </c>
      <c r="J3282" s="16" t="inlineStr"/>
      <c r="K3282" s="16" t="inlineStr">
        <is>
          <t>Not Run</t>
        </is>
      </c>
      <c r="L3282" s="16" t="inlineStr">
        <is>
          <t>Low</t>
        </is>
      </c>
      <c r="M3282" s="16" t="inlineStr"/>
      <c r="N3282" s="16" t="inlineStr"/>
      <c r="O3282" s="16" t="inlineStr"/>
    </row>
    <row r="3283" ht="72" customHeight="1">
      <c r="A3283" s="16" t="inlineStr">
        <is>
          <t>TC-CG-0176</t>
        </is>
      </c>
      <c r="B3283" s="16" t="inlineStr">
        <is>
          <t>Code Generation</t>
        </is>
      </c>
      <c r="C3283" s="16" t="inlineStr">
        <is>
          <t>Ruby Net::HTTP</t>
        </is>
      </c>
      <c r="D3283" s="16" t="inlineStr">
        <is>
          <t>Functional</t>
        </is>
      </c>
      <c r="E3283" s="16" t="inlineStr">
        <is>
          <t>Codegen Ruby Net::HTTP: GraphQL</t>
        </is>
      </c>
      <c r="F3283" s="16" t="inlineStr">
        <is>
          <t>-</t>
        </is>
      </c>
      <c r="G3283" s="16" t="inlineStr">
        <is>
          <t>1. Set up request shape: Query + variables.
2. Generate code for Ruby Net::HTTP (UI Copy-as / MCP generate.code).
3. Run the generated snippet in a Ruby Net::HTTP runtime against the same endpoint.</t>
        </is>
      </c>
      <c r="H3283" s="16" t="inlineStr">
        <is>
          <t>lang=Ruby Net::HTTP shape=GraphQL</t>
        </is>
      </c>
      <c r="I3283" s="16" t="inlineStr">
        <is>
          <t>Generated code is syntactically valid for Ruby Net::HTTP; executes against the same endpoint and produces the same response. Variables are interpolated to their resolved values (not as literal '{{var}}'); secrets are masked or warning shown when copying.</t>
        </is>
      </c>
      <c r="J3283" s="16" t="inlineStr"/>
      <c r="K3283" s="16" t="inlineStr">
        <is>
          <t>Not Run</t>
        </is>
      </c>
      <c r="L3283" s="16" t="inlineStr">
        <is>
          <t>Low</t>
        </is>
      </c>
      <c r="M3283" s="16" t="inlineStr"/>
      <c r="N3283" s="16" t="inlineStr"/>
      <c r="O3283" s="16" t="inlineStr"/>
    </row>
    <row r="3284" ht="72" customHeight="1">
      <c r="A3284" s="16" t="inlineStr">
        <is>
          <t>TC-CG-0177</t>
        </is>
      </c>
      <c r="B3284" s="16" t="inlineStr">
        <is>
          <t>Code Generation</t>
        </is>
      </c>
      <c r="C3284" s="16" t="inlineStr">
        <is>
          <t>Ruby Net::HTTP</t>
        </is>
      </c>
      <c r="D3284" s="16" t="inlineStr">
        <is>
          <t>Functional</t>
        </is>
      </c>
      <c r="E3284" s="16" t="inlineStr">
        <is>
          <t>Codegen Ruby Net::HTTP: Bearer auth</t>
        </is>
      </c>
      <c r="F3284" s="16" t="inlineStr">
        <is>
          <t>-</t>
        </is>
      </c>
      <c r="G3284" s="16" t="inlineStr">
        <is>
          <t>1. Set up request shape: Authorization header.
2. Generate code for Ruby Net::HTTP (UI Copy-as / MCP generate.code).
3. Run the generated snippet in a Ruby Net::HTTP runtime against the same endpoint.</t>
        </is>
      </c>
      <c r="H3284" s="16" t="inlineStr">
        <is>
          <t>lang=Ruby Net::HTTP shape=Bearer auth</t>
        </is>
      </c>
      <c r="I3284" s="16" t="inlineStr">
        <is>
          <t>Generated code is syntactically valid for Ruby Net::HTTP; executes against the same endpoint and produces the same response. Variables are interpolated to their resolved values (not as literal '{{var}}'); secrets are masked or warning shown when copying.</t>
        </is>
      </c>
      <c r="J3284" s="16" t="inlineStr"/>
      <c r="K3284" s="16" t="inlineStr">
        <is>
          <t>Not Run</t>
        </is>
      </c>
      <c r="L3284" s="16" t="inlineStr">
        <is>
          <t>Low</t>
        </is>
      </c>
      <c r="M3284" s="16" t="inlineStr"/>
      <c r="N3284" s="16" t="inlineStr"/>
      <c r="O3284" s="16" t="inlineStr"/>
    </row>
    <row r="3285" ht="72" customHeight="1">
      <c r="A3285" s="16" t="inlineStr">
        <is>
          <t>TC-CG-0178</t>
        </is>
      </c>
      <c r="B3285" s="16" t="inlineStr">
        <is>
          <t>Code Generation</t>
        </is>
      </c>
      <c r="C3285" s="16" t="inlineStr">
        <is>
          <t>Ruby Net::HTTP</t>
        </is>
      </c>
      <c r="D3285" s="16" t="inlineStr">
        <is>
          <t>Functional</t>
        </is>
      </c>
      <c r="E3285" s="16" t="inlineStr">
        <is>
          <t>Codegen Ruby Net::HTTP: Basic auth</t>
        </is>
      </c>
      <c r="F3285" s="16" t="inlineStr">
        <is>
          <t>-</t>
        </is>
      </c>
      <c r="G3285" s="16" t="inlineStr">
        <is>
          <t>1. Set up request shape: user:pass.
2. Generate code for Ruby Net::HTTP (UI Copy-as / MCP generate.code).
3. Run the generated snippet in a Ruby Net::HTTP runtime against the same endpoint.</t>
        </is>
      </c>
      <c r="H3285" s="16" t="inlineStr">
        <is>
          <t>lang=Ruby Net::HTTP shape=Basic auth</t>
        </is>
      </c>
      <c r="I3285" s="16" t="inlineStr">
        <is>
          <t>Generated code is syntactically valid for Ruby Net::HTTP; executes against the same endpoint and produces the same response. Variables are interpolated to their resolved values (not as literal '{{var}}'); secrets are masked or warning shown when copying.</t>
        </is>
      </c>
      <c r="J3285" s="16" t="inlineStr"/>
      <c r="K3285" s="16" t="inlineStr">
        <is>
          <t>Not Run</t>
        </is>
      </c>
      <c r="L3285" s="16" t="inlineStr">
        <is>
          <t>Low</t>
        </is>
      </c>
      <c r="M3285" s="16" t="inlineStr"/>
      <c r="N3285" s="16" t="inlineStr"/>
      <c r="O3285" s="16" t="inlineStr"/>
    </row>
    <row r="3286" ht="72" customHeight="1">
      <c r="A3286" s="16" t="inlineStr">
        <is>
          <t>TC-CG-0179</t>
        </is>
      </c>
      <c r="B3286" s="16" t="inlineStr">
        <is>
          <t>Code Generation</t>
        </is>
      </c>
      <c r="C3286" s="16" t="inlineStr">
        <is>
          <t>Ruby Net::HTTP</t>
        </is>
      </c>
      <c r="D3286" s="16" t="inlineStr">
        <is>
          <t>Functional</t>
        </is>
      </c>
      <c r="E3286" s="16" t="inlineStr">
        <is>
          <t>Codegen Ruby Net::HTTP: API Key header</t>
        </is>
      </c>
      <c r="F3286" s="16" t="inlineStr">
        <is>
          <t>-</t>
        </is>
      </c>
      <c r="G3286" s="16" t="inlineStr">
        <is>
          <t>1. Set up request shape: Custom header.
2. Generate code for Ruby Net::HTTP (UI Copy-as / MCP generate.code).
3. Run the generated snippet in a Ruby Net::HTTP runtime against the same endpoint.</t>
        </is>
      </c>
      <c r="H3286" s="16" t="inlineStr">
        <is>
          <t>lang=Ruby Net::HTTP shape=API Key header</t>
        </is>
      </c>
      <c r="I3286" s="16" t="inlineStr">
        <is>
          <t>Generated code is syntactically valid for Ruby Net::HTTP; executes against the same endpoint and produces the same response. Variables are interpolated to their resolved values (not as literal '{{var}}'); secrets are masked or warning shown when copying.</t>
        </is>
      </c>
      <c r="J3286" s="16" t="inlineStr"/>
      <c r="K3286" s="16" t="inlineStr">
        <is>
          <t>Not Run</t>
        </is>
      </c>
      <c r="L3286" s="16" t="inlineStr">
        <is>
          <t>Low</t>
        </is>
      </c>
      <c r="M3286" s="16" t="inlineStr"/>
      <c r="N3286" s="16" t="inlineStr"/>
      <c r="O3286" s="16" t="inlineStr"/>
    </row>
    <row r="3287" ht="72" customHeight="1">
      <c r="A3287" s="16" t="inlineStr">
        <is>
          <t>TC-CG-0180</t>
        </is>
      </c>
      <c r="B3287" s="16" t="inlineStr">
        <is>
          <t>Code Generation</t>
        </is>
      </c>
      <c r="C3287" s="16" t="inlineStr">
        <is>
          <t>Ruby Net::HTTP</t>
        </is>
      </c>
      <c r="D3287" s="16" t="inlineStr">
        <is>
          <t>Functional</t>
        </is>
      </c>
      <c r="E3287" s="16" t="inlineStr">
        <is>
          <t>Codegen Ruby Net::HTTP: API Key query</t>
        </is>
      </c>
      <c r="F3287" s="16" t="inlineStr">
        <is>
          <t>-</t>
        </is>
      </c>
      <c r="G3287" s="16" t="inlineStr">
        <is>
          <t>1. Set up request shape: Query param.
2. Generate code for Ruby Net::HTTP (UI Copy-as / MCP generate.code).
3. Run the generated snippet in a Ruby Net::HTTP runtime against the same endpoint.</t>
        </is>
      </c>
      <c r="H3287" s="16" t="inlineStr">
        <is>
          <t>lang=Ruby Net::HTTP shape=API Key query</t>
        </is>
      </c>
      <c r="I3287" s="16" t="inlineStr">
        <is>
          <t>Generated code is syntactically valid for Ruby Net::HTTP; executes against the same endpoint and produces the same response. Variables are interpolated to their resolved values (not as literal '{{var}}'); secrets are masked or warning shown when copying.</t>
        </is>
      </c>
      <c r="J3287" s="16" t="inlineStr"/>
      <c r="K3287" s="16" t="inlineStr">
        <is>
          <t>Not Run</t>
        </is>
      </c>
      <c r="L3287" s="16" t="inlineStr">
        <is>
          <t>Low</t>
        </is>
      </c>
      <c r="M3287" s="16" t="inlineStr"/>
      <c r="N3287" s="16" t="inlineStr"/>
      <c r="O3287" s="16" t="inlineStr"/>
    </row>
    <row r="3288" ht="72" customHeight="1">
      <c r="A3288" s="16" t="inlineStr">
        <is>
          <t>TC-CG-0181</t>
        </is>
      </c>
      <c r="B3288" s="16" t="inlineStr">
        <is>
          <t>Code Generation</t>
        </is>
      </c>
      <c r="C3288" s="16" t="inlineStr">
        <is>
          <t>Ruby Net::HTTP</t>
        </is>
      </c>
      <c r="D3288" s="16" t="inlineStr">
        <is>
          <t>Functional</t>
        </is>
      </c>
      <c r="E3288" s="16" t="inlineStr">
        <is>
          <t>Codegen Ruby Net::HTTP: OAuth2 (with token)</t>
        </is>
      </c>
      <c r="F3288" s="16" t="inlineStr">
        <is>
          <t>-</t>
        </is>
      </c>
      <c r="G3288" s="16" t="inlineStr">
        <is>
          <t>1. Set up request shape: Token attached.
2. Generate code for Ruby Net::HTTP (UI Copy-as / MCP generate.code).
3. Run the generated snippet in a Ruby Net::HTTP runtime against the same endpoint.</t>
        </is>
      </c>
      <c r="H3288" s="16" t="inlineStr">
        <is>
          <t>lang=Ruby Net::HTTP shape=OAuth2 (with token)</t>
        </is>
      </c>
      <c r="I3288" s="16" t="inlineStr">
        <is>
          <t>Generated code is syntactically valid for Ruby Net::HTTP; executes against the same endpoint and produces the same response. Variables are interpolated to their resolved values (not as literal '{{var}}'); secrets are masked or warning shown when copying.</t>
        </is>
      </c>
      <c r="J3288" s="16" t="inlineStr"/>
      <c r="K3288" s="16" t="inlineStr">
        <is>
          <t>Not Run</t>
        </is>
      </c>
      <c r="L3288" s="16" t="inlineStr">
        <is>
          <t>Low</t>
        </is>
      </c>
      <c r="M3288" s="16" t="inlineStr"/>
      <c r="N3288" s="16" t="inlineStr"/>
      <c r="O3288" s="16" t="inlineStr"/>
    </row>
    <row r="3289" ht="72" customHeight="1">
      <c r="A3289" s="16" t="inlineStr">
        <is>
          <t>TC-CG-0182</t>
        </is>
      </c>
      <c r="B3289" s="16" t="inlineStr">
        <is>
          <t>Code Generation</t>
        </is>
      </c>
      <c r="C3289" s="16" t="inlineStr">
        <is>
          <t>Ruby Net::HTTP</t>
        </is>
      </c>
      <c r="D3289" s="16" t="inlineStr">
        <is>
          <t>Functional</t>
        </is>
      </c>
      <c r="E3289" s="16" t="inlineStr">
        <is>
          <t>Codegen Ruby Net::HTTP: AWS SigV4</t>
        </is>
      </c>
      <c r="F3289" s="16" t="inlineStr">
        <is>
          <t>-</t>
        </is>
      </c>
      <c r="G3289" s="16" t="inlineStr">
        <is>
          <t>1. Set up request shape: Signed request.
2. Generate code for Ruby Net::HTTP (UI Copy-as / MCP generate.code).
3. Run the generated snippet in a Ruby Net::HTTP runtime against the same endpoint.</t>
        </is>
      </c>
      <c r="H3289" s="16" t="inlineStr">
        <is>
          <t>lang=Ruby Net::HTTP shape=AWS SigV4</t>
        </is>
      </c>
      <c r="I3289" s="16" t="inlineStr">
        <is>
          <t>Generated code is syntactically valid for Ruby Net::HTTP; executes against the same endpoint and produces the same response. Variables are interpolated to their resolved values (not as literal '{{var}}'); secrets are masked or warning shown when copying.</t>
        </is>
      </c>
      <c r="J3289" s="16" t="inlineStr"/>
      <c r="K3289" s="16" t="inlineStr">
        <is>
          <t>Not Run</t>
        </is>
      </c>
      <c r="L3289" s="16" t="inlineStr">
        <is>
          <t>Low</t>
        </is>
      </c>
      <c r="M3289" s="16" t="inlineStr"/>
      <c r="N3289" s="16" t="inlineStr"/>
      <c r="O3289" s="16" t="inlineStr"/>
    </row>
    <row r="3290" ht="72" customHeight="1">
      <c r="A3290" s="16" t="inlineStr">
        <is>
          <t>TC-CG-0183</t>
        </is>
      </c>
      <c r="B3290" s="16" t="inlineStr">
        <is>
          <t>Code Generation</t>
        </is>
      </c>
      <c r="C3290" s="16" t="inlineStr">
        <is>
          <t>Ruby Net::HTTP</t>
        </is>
      </c>
      <c r="D3290" s="16" t="inlineStr">
        <is>
          <t>Functional</t>
        </is>
      </c>
      <c r="E3290" s="16" t="inlineStr">
        <is>
          <t>Codegen Ruby Net::HTTP: Custom headers</t>
        </is>
      </c>
      <c r="F3290" s="16" t="inlineStr">
        <is>
          <t>-</t>
        </is>
      </c>
      <c r="G3290" s="16" t="inlineStr">
        <is>
          <t>1. Set up request shape: User-set.
2. Generate code for Ruby Net::HTTP (UI Copy-as / MCP generate.code).
3. Run the generated snippet in a Ruby Net::HTTP runtime against the same endpoint.</t>
        </is>
      </c>
      <c r="H3290" s="16" t="inlineStr">
        <is>
          <t>lang=Ruby Net::HTTP shape=Custom headers</t>
        </is>
      </c>
      <c r="I3290" s="16" t="inlineStr">
        <is>
          <t>Generated code is syntactically valid for Ruby Net::HTTP; executes against the same endpoint and produces the same response. Variables are interpolated to their resolved values (not as literal '{{var}}'); secrets are masked or warning shown when copying.</t>
        </is>
      </c>
      <c r="J3290" s="16" t="inlineStr"/>
      <c r="K3290" s="16" t="inlineStr">
        <is>
          <t>Not Run</t>
        </is>
      </c>
      <c r="L3290" s="16" t="inlineStr">
        <is>
          <t>Low</t>
        </is>
      </c>
      <c r="M3290" s="16" t="inlineStr"/>
      <c r="N3290" s="16" t="inlineStr"/>
      <c r="O3290" s="16" t="inlineStr"/>
    </row>
    <row r="3291" ht="72" customHeight="1">
      <c r="A3291" s="16" t="inlineStr">
        <is>
          <t>TC-CG-0184</t>
        </is>
      </c>
      <c r="B3291" s="16" t="inlineStr">
        <is>
          <t>Code Generation</t>
        </is>
      </c>
      <c r="C3291" s="16" t="inlineStr">
        <is>
          <t>Ruby Net::HTTP</t>
        </is>
      </c>
      <c r="D3291" s="16" t="inlineStr">
        <is>
          <t>Functional</t>
        </is>
      </c>
      <c r="E3291" s="16" t="inlineStr">
        <is>
          <t>Codegen Ruby Net::HTTP: Path params</t>
        </is>
      </c>
      <c r="F3291" s="16" t="inlineStr">
        <is>
          <t>-</t>
        </is>
      </c>
      <c r="G3291" s="16" t="inlineStr">
        <is>
          <t>1. Set up request shape: URL with {id}.
2. Generate code for Ruby Net::HTTP (UI Copy-as / MCP generate.code).
3. Run the generated snippet in a Ruby Net::HTTP runtime against the same endpoint.</t>
        </is>
      </c>
      <c r="H3291" s="16" t="inlineStr">
        <is>
          <t>lang=Ruby Net::HTTP shape=Path params</t>
        </is>
      </c>
      <c r="I3291" s="16" t="inlineStr">
        <is>
          <t>Generated code is syntactically valid for Ruby Net::HTTP; executes against the same endpoint and produces the same response. Variables are interpolated to their resolved values (not as literal '{{var}}'); secrets are masked or warning shown when copying.</t>
        </is>
      </c>
      <c r="J3291" s="16" t="inlineStr"/>
      <c r="K3291" s="16" t="inlineStr">
        <is>
          <t>Not Run</t>
        </is>
      </c>
      <c r="L3291" s="16" t="inlineStr">
        <is>
          <t>Low</t>
        </is>
      </c>
      <c r="M3291" s="16" t="inlineStr"/>
      <c r="N3291" s="16" t="inlineStr"/>
      <c r="O3291" s="16" t="inlineStr"/>
    </row>
    <row r="3292" ht="72" customHeight="1">
      <c r="A3292" s="16" t="inlineStr">
        <is>
          <t>TC-CG-0185</t>
        </is>
      </c>
      <c r="B3292" s="16" t="inlineStr">
        <is>
          <t>Code Generation</t>
        </is>
      </c>
      <c r="C3292" s="16" t="inlineStr">
        <is>
          <t>Ruby Net::HTTP</t>
        </is>
      </c>
      <c r="D3292" s="16" t="inlineStr">
        <is>
          <t>Functional</t>
        </is>
      </c>
      <c r="E3292" s="16" t="inlineStr">
        <is>
          <t>Codegen Ruby Net::HTTP: Query params with arrays</t>
        </is>
      </c>
      <c r="F3292" s="16" t="inlineStr">
        <is>
          <t>-</t>
        </is>
      </c>
      <c r="G3292" s="16" t="inlineStr">
        <is>
          <t>1. Set up request shape: ?a=1&amp;a=2.
2. Generate code for Ruby Net::HTTP (UI Copy-as / MCP generate.code).
3. Run the generated snippet in a Ruby Net::HTTP runtime against the same endpoint.</t>
        </is>
      </c>
      <c r="H3292" s="16" t="inlineStr">
        <is>
          <t>lang=Ruby Net::HTTP shape=Query params with arrays</t>
        </is>
      </c>
      <c r="I3292" s="16" t="inlineStr">
        <is>
          <t>Generated code is syntactically valid for Ruby Net::HTTP; executes against the same endpoint and produces the same response. Variables are interpolated to their resolved values (not as literal '{{var}}'); secrets are masked or warning shown when copying.</t>
        </is>
      </c>
      <c r="J3292" s="16" t="inlineStr"/>
      <c r="K3292" s="16" t="inlineStr">
        <is>
          <t>Not Run</t>
        </is>
      </c>
      <c r="L3292" s="16" t="inlineStr">
        <is>
          <t>Low</t>
        </is>
      </c>
      <c r="M3292" s="16" t="inlineStr"/>
      <c r="N3292" s="16" t="inlineStr"/>
      <c r="O3292" s="16" t="inlineStr"/>
    </row>
    <row r="3293" ht="72" customHeight="1">
      <c r="A3293" s="16" t="inlineStr">
        <is>
          <t>TC-CG-0186</t>
        </is>
      </c>
      <c r="B3293" s="16" t="inlineStr">
        <is>
          <t>Code Generation</t>
        </is>
      </c>
      <c r="C3293" s="16" t="inlineStr">
        <is>
          <t>Ruby Net::HTTP</t>
        </is>
      </c>
      <c r="D3293" s="16" t="inlineStr">
        <is>
          <t>Functional</t>
        </is>
      </c>
      <c r="E3293" s="16" t="inlineStr">
        <is>
          <t>Codegen Ruby Net::HTTP: Cookies</t>
        </is>
      </c>
      <c r="F3293" s="16" t="inlineStr">
        <is>
          <t>-</t>
        </is>
      </c>
      <c r="G3293" s="16" t="inlineStr">
        <is>
          <t>1. Set up request shape: Cookie header.
2. Generate code for Ruby Net::HTTP (UI Copy-as / MCP generate.code).
3. Run the generated snippet in a Ruby Net::HTTP runtime against the same endpoint.</t>
        </is>
      </c>
      <c r="H3293" s="16" t="inlineStr">
        <is>
          <t>lang=Ruby Net::HTTP shape=Cookies</t>
        </is>
      </c>
      <c r="I3293" s="16" t="inlineStr">
        <is>
          <t>Generated code is syntactically valid for Ruby Net::HTTP; executes against the same endpoint and produces the same response. Variables are interpolated to their resolved values (not as literal '{{var}}'); secrets are masked or warning shown when copying.</t>
        </is>
      </c>
      <c r="J3293" s="16" t="inlineStr"/>
      <c r="K3293" s="16" t="inlineStr">
        <is>
          <t>Not Run</t>
        </is>
      </c>
      <c r="L3293" s="16" t="inlineStr">
        <is>
          <t>Low</t>
        </is>
      </c>
      <c r="M3293" s="16" t="inlineStr"/>
      <c r="N3293" s="16" t="inlineStr"/>
      <c r="O3293" s="16" t="inlineStr"/>
    </row>
    <row r="3294" ht="72" customHeight="1">
      <c r="A3294" s="16" t="inlineStr">
        <is>
          <t>TC-CG-0187</t>
        </is>
      </c>
      <c r="B3294" s="16" t="inlineStr">
        <is>
          <t>Code Generation</t>
        </is>
      </c>
      <c r="C3294" s="16" t="inlineStr">
        <is>
          <t>Ruby Net::HTTP</t>
        </is>
      </c>
      <c r="D3294" s="16" t="inlineStr">
        <is>
          <t>Functional</t>
        </is>
      </c>
      <c r="E3294" s="16" t="inlineStr">
        <is>
          <t>Codegen Ruby Net::HTTP: Variable interpolation</t>
        </is>
      </c>
      <c r="F3294" s="16" t="inlineStr">
        <is>
          <t>-</t>
        </is>
      </c>
      <c r="G3294" s="16" t="inlineStr">
        <is>
          <t>1. Set up request shape: Resolved values.
2. Generate code for Ruby Net::HTTP (UI Copy-as / MCP generate.code).
3. Run the generated snippet in a Ruby Net::HTTP runtime against the same endpoint.</t>
        </is>
      </c>
      <c r="H3294" s="16" t="inlineStr">
        <is>
          <t>lang=Ruby Net::HTTP shape=Variable interpolation</t>
        </is>
      </c>
      <c r="I3294" s="16" t="inlineStr">
        <is>
          <t>Generated code is syntactically valid for Ruby Net::HTTP; executes against the same endpoint and produces the same response. Variables are interpolated to their resolved values (not as literal '{{var}}'); secrets are masked or warning shown when copying.</t>
        </is>
      </c>
      <c r="J3294" s="16" t="inlineStr"/>
      <c r="K3294" s="16" t="inlineStr">
        <is>
          <t>Not Run</t>
        </is>
      </c>
      <c r="L3294" s="16" t="inlineStr">
        <is>
          <t>Low</t>
        </is>
      </c>
      <c r="M3294" s="16" t="inlineStr"/>
      <c r="N3294" s="16" t="inlineStr"/>
      <c r="O3294" s="16" t="inlineStr"/>
    </row>
    <row r="3295" ht="72" customHeight="1">
      <c r="A3295" s="16" t="inlineStr">
        <is>
          <t>TC-CG-0188</t>
        </is>
      </c>
      <c r="B3295" s="16" t="inlineStr">
        <is>
          <t>Code Generation</t>
        </is>
      </c>
      <c r="C3295" s="16" t="inlineStr">
        <is>
          <t>Node http</t>
        </is>
      </c>
      <c r="D3295" s="16" t="inlineStr">
        <is>
          <t>Functional</t>
        </is>
      </c>
      <c r="E3295" s="16" t="inlineStr">
        <is>
          <t>Codegen Node http: Simple GET</t>
        </is>
      </c>
      <c r="F3295" s="16" t="inlineStr">
        <is>
          <t>-</t>
        </is>
      </c>
      <c r="G3295" s="16" t="inlineStr">
        <is>
          <t>1. Set up request shape: Just URL + method.
2. Generate code for Node http (UI Copy-as / MCP generate.code).
3. Run the generated snippet in a Node http runtime against the same endpoint.</t>
        </is>
      </c>
      <c r="H3295" s="16" t="inlineStr">
        <is>
          <t>lang=Node http shape=Simple GET</t>
        </is>
      </c>
      <c r="I3295" s="16" t="inlineStr">
        <is>
          <t>Generated code is syntactically valid for Node http; executes against the same endpoint and produces the same response. Variables are interpolated to their resolved values (not as literal '{{var}}'); secrets are masked or warning shown when copying.</t>
        </is>
      </c>
      <c r="J3295" s="16" t="inlineStr"/>
      <c r="K3295" s="16" t="inlineStr">
        <is>
          <t>Not Run</t>
        </is>
      </c>
      <c r="L3295" s="16" t="inlineStr">
        <is>
          <t>Low</t>
        </is>
      </c>
      <c r="M3295" s="16" t="inlineStr"/>
      <c r="N3295" s="16" t="inlineStr"/>
      <c r="O3295" s="16" t="inlineStr"/>
    </row>
    <row r="3296" ht="72" customHeight="1">
      <c r="A3296" s="16" t="inlineStr">
        <is>
          <t>TC-CG-0189</t>
        </is>
      </c>
      <c r="B3296" s="16" t="inlineStr">
        <is>
          <t>Code Generation</t>
        </is>
      </c>
      <c r="C3296" s="16" t="inlineStr">
        <is>
          <t>Node http</t>
        </is>
      </c>
      <c r="D3296" s="16" t="inlineStr">
        <is>
          <t>Functional</t>
        </is>
      </c>
      <c r="E3296" s="16" t="inlineStr">
        <is>
          <t>Codegen Node http: POST JSON</t>
        </is>
      </c>
      <c r="F3296" s="16" t="inlineStr">
        <is>
          <t>-</t>
        </is>
      </c>
      <c r="G3296" s="16" t="inlineStr">
        <is>
          <t>1. Set up request shape: Body + headers.
2. Generate code for Node http (UI Copy-as / MCP generate.code).
3. Run the generated snippet in a Node http runtime against the same endpoint.</t>
        </is>
      </c>
      <c r="H3296" s="16" t="inlineStr">
        <is>
          <t>lang=Node http shape=POST JSON</t>
        </is>
      </c>
      <c r="I3296" s="16" t="inlineStr">
        <is>
          <t>Generated code is syntactically valid for Node http; executes against the same endpoint and produces the same response. Variables are interpolated to their resolved values (not as literal '{{var}}'); secrets are masked or warning shown when copying.</t>
        </is>
      </c>
      <c r="J3296" s="16" t="inlineStr"/>
      <c r="K3296" s="16" t="inlineStr">
        <is>
          <t>Not Run</t>
        </is>
      </c>
      <c r="L3296" s="16" t="inlineStr">
        <is>
          <t>Low</t>
        </is>
      </c>
      <c r="M3296" s="16" t="inlineStr"/>
      <c r="N3296" s="16" t="inlineStr"/>
      <c r="O3296" s="16" t="inlineStr"/>
    </row>
    <row r="3297" ht="72" customHeight="1">
      <c r="A3297" s="16" t="inlineStr">
        <is>
          <t>TC-CG-0190</t>
        </is>
      </c>
      <c r="B3297" s="16" t="inlineStr">
        <is>
          <t>Code Generation</t>
        </is>
      </c>
      <c r="C3297" s="16" t="inlineStr">
        <is>
          <t>Node http</t>
        </is>
      </c>
      <c r="D3297" s="16" t="inlineStr">
        <is>
          <t>Functional</t>
        </is>
      </c>
      <c r="E3297" s="16" t="inlineStr">
        <is>
          <t>Codegen Node http: POST form-data</t>
        </is>
      </c>
      <c r="F3297" s="16" t="inlineStr">
        <is>
          <t>-</t>
        </is>
      </c>
      <c r="G3297" s="16" t="inlineStr">
        <is>
          <t>1. Set up request shape: Multipart.
2. Generate code for Node http (UI Copy-as / MCP generate.code).
3. Run the generated snippet in a Node http runtime against the same endpoint.</t>
        </is>
      </c>
      <c r="H3297" s="16" t="inlineStr">
        <is>
          <t>lang=Node http shape=POST form-data</t>
        </is>
      </c>
      <c r="I3297" s="16" t="inlineStr">
        <is>
          <t>Generated code is syntactically valid for Node http; executes against the same endpoint and produces the same response. Variables are interpolated to their resolved values (not as literal '{{var}}'); secrets are masked or warning shown when copying.</t>
        </is>
      </c>
      <c r="J3297" s="16" t="inlineStr"/>
      <c r="K3297" s="16" t="inlineStr">
        <is>
          <t>Not Run</t>
        </is>
      </c>
      <c r="L3297" s="16" t="inlineStr">
        <is>
          <t>Low</t>
        </is>
      </c>
      <c r="M3297" s="16" t="inlineStr"/>
      <c r="N3297" s="16" t="inlineStr"/>
      <c r="O3297" s="16" t="inlineStr"/>
    </row>
    <row r="3298" ht="72" customHeight="1">
      <c r="A3298" s="16" t="inlineStr">
        <is>
          <t>TC-CG-0191</t>
        </is>
      </c>
      <c r="B3298" s="16" t="inlineStr">
        <is>
          <t>Code Generation</t>
        </is>
      </c>
      <c r="C3298" s="16" t="inlineStr">
        <is>
          <t>Node http</t>
        </is>
      </c>
      <c r="D3298" s="16" t="inlineStr">
        <is>
          <t>Functional</t>
        </is>
      </c>
      <c r="E3298" s="16" t="inlineStr">
        <is>
          <t>Codegen Node http: POST urlencoded</t>
        </is>
      </c>
      <c r="F3298" s="16" t="inlineStr">
        <is>
          <t>-</t>
        </is>
      </c>
      <c r="G3298" s="16" t="inlineStr">
        <is>
          <t>1. Set up request shape: x-www-form-urlencoded.
2. Generate code for Node http (UI Copy-as / MCP generate.code).
3. Run the generated snippet in a Node http runtime against the same endpoint.</t>
        </is>
      </c>
      <c r="H3298" s="16" t="inlineStr">
        <is>
          <t>lang=Node http shape=POST urlencoded</t>
        </is>
      </c>
      <c r="I3298" s="16" t="inlineStr">
        <is>
          <t>Generated code is syntactically valid for Node http; executes against the same endpoint and produces the same response. Variables are interpolated to their resolved values (not as literal '{{var}}'); secrets are masked or warning shown when copying.</t>
        </is>
      </c>
      <c r="J3298" s="16" t="inlineStr"/>
      <c r="K3298" s="16" t="inlineStr">
        <is>
          <t>Not Run</t>
        </is>
      </c>
      <c r="L3298" s="16" t="inlineStr">
        <is>
          <t>Low</t>
        </is>
      </c>
      <c r="M3298" s="16" t="inlineStr"/>
      <c r="N3298" s="16" t="inlineStr"/>
      <c r="O3298" s="16" t="inlineStr"/>
    </row>
    <row r="3299" ht="72" customHeight="1">
      <c r="A3299" s="16" t="inlineStr">
        <is>
          <t>TC-CG-0192</t>
        </is>
      </c>
      <c r="B3299" s="16" t="inlineStr">
        <is>
          <t>Code Generation</t>
        </is>
      </c>
      <c r="C3299" s="16" t="inlineStr">
        <is>
          <t>Node http</t>
        </is>
      </c>
      <c r="D3299" s="16" t="inlineStr">
        <is>
          <t>Functional</t>
        </is>
      </c>
      <c r="E3299" s="16" t="inlineStr">
        <is>
          <t>Codegen Node http: File upload</t>
        </is>
      </c>
      <c r="F3299" s="16" t="inlineStr">
        <is>
          <t>-</t>
        </is>
      </c>
      <c r="G3299" s="16" t="inlineStr">
        <is>
          <t>1. Set up request shape: Binary.
2. Generate code for Node http (UI Copy-as / MCP generate.code).
3. Run the generated snippet in a Node http runtime against the same endpoint.</t>
        </is>
      </c>
      <c r="H3299" s="16" t="inlineStr">
        <is>
          <t>lang=Node http shape=File upload</t>
        </is>
      </c>
      <c r="I3299" s="16" t="inlineStr">
        <is>
          <t>Generated code is syntactically valid for Node http; executes against the same endpoint and produces the same response. Variables are interpolated to their resolved values (not as literal '{{var}}'); secrets are masked or warning shown when copying.</t>
        </is>
      </c>
      <c r="J3299" s="16" t="inlineStr"/>
      <c r="K3299" s="16" t="inlineStr">
        <is>
          <t>Not Run</t>
        </is>
      </c>
      <c r="L3299" s="16" t="inlineStr">
        <is>
          <t>Low</t>
        </is>
      </c>
      <c r="M3299" s="16" t="inlineStr"/>
      <c r="N3299" s="16" t="inlineStr"/>
      <c r="O3299" s="16" t="inlineStr"/>
    </row>
    <row r="3300" ht="72" customHeight="1">
      <c r="A3300" s="16" t="inlineStr">
        <is>
          <t>TC-CG-0193</t>
        </is>
      </c>
      <c r="B3300" s="16" t="inlineStr">
        <is>
          <t>Code Generation</t>
        </is>
      </c>
      <c r="C3300" s="16" t="inlineStr">
        <is>
          <t>Node http</t>
        </is>
      </c>
      <c r="D3300" s="16" t="inlineStr">
        <is>
          <t>Functional</t>
        </is>
      </c>
      <c r="E3300" s="16" t="inlineStr">
        <is>
          <t>Codegen Node http: GraphQL</t>
        </is>
      </c>
      <c r="F3300" s="16" t="inlineStr">
        <is>
          <t>-</t>
        </is>
      </c>
      <c r="G3300" s="16" t="inlineStr">
        <is>
          <t>1. Set up request shape: Query + variables.
2. Generate code for Node http (UI Copy-as / MCP generate.code).
3. Run the generated snippet in a Node http runtime against the same endpoint.</t>
        </is>
      </c>
      <c r="H3300" s="16" t="inlineStr">
        <is>
          <t>lang=Node http shape=GraphQL</t>
        </is>
      </c>
      <c r="I3300" s="16" t="inlineStr">
        <is>
          <t>Generated code is syntactically valid for Node http; executes against the same endpoint and produces the same response. Variables are interpolated to their resolved values (not as literal '{{var}}'); secrets are masked or warning shown when copying.</t>
        </is>
      </c>
      <c r="J3300" s="16" t="inlineStr"/>
      <c r="K3300" s="16" t="inlineStr">
        <is>
          <t>Not Run</t>
        </is>
      </c>
      <c r="L3300" s="16" t="inlineStr">
        <is>
          <t>Low</t>
        </is>
      </c>
      <c r="M3300" s="16" t="inlineStr"/>
      <c r="N3300" s="16" t="inlineStr"/>
      <c r="O3300" s="16" t="inlineStr"/>
    </row>
    <row r="3301" ht="72" customHeight="1">
      <c r="A3301" s="16" t="inlineStr">
        <is>
          <t>TC-CG-0194</t>
        </is>
      </c>
      <c r="B3301" s="16" t="inlineStr">
        <is>
          <t>Code Generation</t>
        </is>
      </c>
      <c r="C3301" s="16" t="inlineStr">
        <is>
          <t>Node http</t>
        </is>
      </c>
      <c r="D3301" s="16" t="inlineStr">
        <is>
          <t>Functional</t>
        </is>
      </c>
      <c r="E3301" s="16" t="inlineStr">
        <is>
          <t>Codegen Node http: Bearer auth</t>
        </is>
      </c>
      <c r="F3301" s="16" t="inlineStr">
        <is>
          <t>-</t>
        </is>
      </c>
      <c r="G3301" s="16" t="inlineStr">
        <is>
          <t>1. Set up request shape: Authorization header.
2. Generate code for Node http (UI Copy-as / MCP generate.code).
3. Run the generated snippet in a Node http runtime against the same endpoint.</t>
        </is>
      </c>
      <c r="H3301" s="16" t="inlineStr">
        <is>
          <t>lang=Node http shape=Bearer auth</t>
        </is>
      </c>
      <c r="I3301" s="16" t="inlineStr">
        <is>
          <t>Generated code is syntactically valid for Node http; executes against the same endpoint and produces the same response. Variables are interpolated to their resolved values (not as literal '{{var}}'); secrets are masked or warning shown when copying.</t>
        </is>
      </c>
      <c r="J3301" s="16" t="inlineStr"/>
      <c r="K3301" s="16" t="inlineStr">
        <is>
          <t>Not Run</t>
        </is>
      </c>
      <c r="L3301" s="16" t="inlineStr">
        <is>
          <t>Low</t>
        </is>
      </c>
      <c r="M3301" s="16" t="inlineStr"/>
      <c r="N3301" s="16" t="inlineStr"/>
      <c r="O3301" s="16" t="inlineStr"/>
    </row>
    <row r="3302" ht="72" customHeight="1">
      <c r="A3302" s="16" t="inlineStr">
        <is>
          <t>TC-CG-0195</t>
        </is>
      </c>
      <c r="B3302" s="16" t="inlineStr">
        <is>
          <t>Code Generation</t>
        </is>
      </c>
      <c r="C3302" s="16" t="inlineStr">
        <is>
          <t>Node http</t>
        </is>
      </c>
      <c r="D3302" s="16" t="inlineStr">
        <is>
          <t>Functional</t>
        </is>
      </c>
      <c r="E3302" s="16" t="inlineStr">
        <is>
          <t>Codegen Node http: Basic auth</t>
        </is>
      </c>
      <c r="F3302" s="16" t="inlineStr">
        <is>
          <t>-</t>
        </is>
      </c>
      <c r="G3302" s="16" t="inlineStr">
        <is>
          <t>1. Set up request shape: user:pass.
2. Generate code for Node http (UI Copy-as / MCP generate.code).
3. Run the generated snippet in a Node http runtime against the same endpoint.</t>
        </is>
      </c>
      <c r="H3302" s="16" t="inlineStr">
        <is>
          <t>lang=Node http shape=Basic auth</t>
        </is>
      </c>
      <c r="I3302" s="16" t="inlineStr">
        <is>
          <t>Generated code is syntactically valid for Node http; executes against the same endpoint and produces the same response. Variables are interpolated to their resolved values (not as literal '{{var}}'); secrets are masked or warning shown when copying.</t>
        </is>
      </c>
      <c r="J3302" s="16" t="inlineStr"/>
      <c r="K3302" s="16" t="inlineStr">
        <is>
          <t>Not Run</t>
        </is>
      </c>
      <c r="L3302" s="16" t="inlineStr">
        <is>
          <t>Low</t>
        </is>
      </c>
      <c r="M3302" s="16" t="inlineStr"/>
      <c r="N3302" s="16" t="inlineStr"/>
      <c r="O3302" s="16" t="inlineStr"/>
    </row>
    <row r="3303" ht="72" customHeight="1">
      <c r="A3303" s="16" t="inlineStr">
        <is>
          <t>TC-CG-0196</t>
        </is>
      </c>
      <c r="B3303" s="16" t="inlineStr">
        <is>
          <t>Code Generation</t>
        </is>
      </c>
      <c r="C3303" s="16" t="inlineStr">
        <is>
          <t>Node http</t>
        </is>
      </c>
      <c r="D3303" s="16" t="inlineStr">
        <is>
          <t>Functional</t>
        </is>
      </c>
      <c r="E3303" s="16" t="inlineStr">
        <is>
          <t>Codegen Node http: API Key header</t>
        </is>
      </c>
      <c r="F3303" s="16" t="inlineStr">
        <is>
          <t>-</t>
        </is>
      </c>
      <c r="G3303" s="16" t="inlineStr">
        <is>
          <t>1. Set up request shape: Custom header.
2. Generate code for Node http (UI Copy-as / MCP generate.code).
3. Run the generated snippet in a Node http runtime against the same endpoint.</t>
        </is>
      </c>
      <c r="H3303" s="16" t="inlineStr">
        <is>
          <t>lang=Node http shape=API Key header</t>
        </is>
      </c>
      <c r="I3303" s="16" t="inlineStr">
        <is>
          <t>Generated code is syntactically valid for Node http; executes against the same endpoint and produces the same response. Variables are interpolated to their resolved values (not as literal '{{var}}'); secrets are masked or warning shown when copying.</t>
        </is>
      </c>
      <c r="J3303" s="16" t="inlineStr"/>
      <c r="K3303" s="16" t="inlineStr">
        <is>
          <t>Not Run</t>
        </is>
      </c>
      <c r="L3303" s="16" t="inlineStr">
        <is>
          <t>Low</t>
        </is>
      </c>
      <c r="M3303" s="16" t="inlineStr"/>
      <c r="N3303" s="16" t="inlineStr"/>
      <c r="O3303" s="16" t="inlineStr"/>
    </row>
    <row r="3304" ht="72" customHeight="1">
      <c r="A3304" s="16" t="inlineStr">
        <is>
          <t>TC-CG-0197</t>
        </is>
      </c>
      <c r="B3304" s="16" t="inlineStr">
        <is>
          <t>Code Generation</t>
        </is>
      </c>
      <c r="C3304" s="16" t="inlineStr">
        <is>
          <t>Node http</t>
        </is>
      </c>
      <c r="D3304" s="16" t="inlineStr">
        <is>
          <t>Functional</t>
        </is>
      </c>
      <c r="E3304" s="16" t="inlineStr">
        <is>
          <t>Codegen Node http: API Key query</t>
        </is>
      </c>
      <c r="F3304" s="16" t="inlineStr">
        <is>
          <t>-</t>
        </is>
      </c>
      <c r="G3304" s="16" t="inlineStr">
        <is>
          <t>1. Set up request shape: Query param.
2. Generate code for Node http (UI Copy-as / MCP generate.code).
3. Run the generated snippet in a Node http runtime against the same endpoint.</t>
        </is>
      </c>
      <c r="H3304" s="16" t="inlineStr">
        <is>
          <t>lang=Node http shape=API Key query</t>
        </is>
      </c>
      <c r="I3304" s="16" t="inlineStr">
        <is>
          <t>Generated code is syntactically valid for Node http; executes against the same endpoint and produces the same response. Variables are interpolated to their resolved values (not as literal '{{var}}'); secrets are masked or warning shown when copying.</t>
        </is>
      </c>
      <c r="J3304" s="16" t="inlineStr"/>
      <c r="K3304" s="16" t="inlineStr">
        <is>
          <t>Not Run</t>
        </is>
      </c>
      <c r="L3304" s="16" t="inlineStr">
        <is>
          <t>Low</t>
        </is>
      </c>
      <c r="M3304" s="16" t="inlineStr"/>
      <c r="N3304" s="16" t="inlineStr"/>
      <c r="O3304" s="16" t="inlineStr"/>
    </row>
    <row r="3305" ht="72" customHeight="1">
      <c r="A3305" s="16" t="inlineStr">
        <is>
          <t>TC-CG-0198</t>
        </is>
      </c>
      <c r="B3305" s="16" t="inlineStr">
        <is>
          <t>Code Generation</t>
        </is>
      </c>
      <c r="C3305" s="16" t="inlineStr">
        <is>
          <t>Node http</t>
        </is>
      </c>
      <c r="D3305" s="16" t="inlineStr">
        <is>
          <t>Functional</t>
        </is>
      </c>
      <c r="E3305" s="16" t="inlineStr">
        <is>
          <t>Codegen Node http: OAuth2 (with token)</t>
        </is>
      </c>
      <c r="F3305" s="16" t="inlineStr">
        <is>
          <t>-</t>
        </is>
      </c>
      <c r="G3305" s="16" t="inlineStr">
        <is>
          <t>1. Set up request shape: Token attached.
2. Generate code for Node http (UI Copy-as / MCP generate.code).
3. Run the generated snippet in a Node http runtime against the same endpoint.</t>
        </is>
      </c>
      <c r="H3305" s="16" t="inlineStr">
        <is>
          <t>lang=Node http shape=OAuth2 (with token)</t>
        </is>
      </c>
      <c r="I3305" s="16" t="inlineStr">
        <is>
          <t>Generated code is syntactically valid for Node http; executes against the same endpoint and produces the same response. Variables are interpolated to their resolved values (not as literal '{{var}}'); secrets are masked or warning shown when copying.</t>
        </is>
      </c>
      <c r="J3305" s="16" t="inlineStr"/>
      <c r="K3305" s="16" t="inlineStr">
        <is>
          <t>Not Run</t>
        </is>
      </c>
      <c r="L3305" s="16" t="inlineStr">
        <is>
          <t>Low</t>
        </is>
      </c>
      <c r="M3305" s="16" t="inlineStr"/>
      <c r="N3305" s="16" t="inlineStr"/>
      <c r="O3305" s="16" t="inlineStr"/>
    </row>
    <row r="3306" ht="72" customHeight="1">
      <c r="A3306" s="16" t="inlineStr">
        <is>
          <t>TC-CG-0199</t>
        </is>
      </c>
      <c r="B3306" s="16" t="inlineStr">
        <is>
          <t>Code Generation</t>
        </is>
      </c>
      <c r="C3306" s="16" t="inlineStr">
        <is>
          <t>Node http</t>
        </is>
      </c>
      <c r="D3306" s="16" t="inlineStr">
        <is>
          <t>Functional</t>
        </is>
      </c>
      <c r="E3306" s="16" t="inlineStr">
        <is>
          <t>Codegen Node http: AWS SigV4</t>
        </is>
      </c>
      <c r="F3306" s="16" t="inlineStr">
        <is>
          <t>-</t>
        </is>
      </c>
      <c r="G3306" s="16" t="inlineStr">
        <is>
          <t>1. Set up request shape: Signed request.
2. Generate code for Node http (UI Copy-as / MCP generate.code).
3. Run the generated snippet in a Node http runtime against the same endpoint.</t>
        </is>
      </c>
      <c r="H3306" s="16" t="inlineStr">
        <is>
          <t>lang=Node http shape=AWS SigV4</t>
        </is>
      </c>
      <c r="I3306" s="16" t="inlineStr">
        <is>
          <t>Generated code is syntactically valid for Node http; executes against the same endpoint and produces the same response. Variables are interpolated to their resolved values (not as literal '{{var}}'); secrets are masked or warning shown when copying.</t>
        </is>
      </c>
      <c r="J3306" s="16" t="inlineStr"/>
      <c r="K3306" s="16" t="inlineStr">
        <is>
          <t>Not Run</t>
        </is>
      </c>
      <c r="L3306" s="16" t="inlineStr">
        <is>
          <t>Low</t>
        </is>
      </c>
      <c r="M3306" s="16" t="inlineStr"/>
      <c r="N3306" s="16" t="inlineStr"/>
      <c r="O3306" s="16" t="inlineStr"/>
    </row>
    <row r="3307" ht="72" customHeight="1">
      <c r="A3307" s="16" t="inlineStr">
        <is>
          <t>TC-CG-0200</t>
        </is>
      </c>
      <c r="B3307" s="16" t="inlineStr">
        <is>
          <t>Code Generation</t>
        </is>
      </c>
      <c r="C3307" s="16" t="inlineStr">
        <is>
          <t>Node http</t>
        </is>
      </c>
      <c r="D3307" s="16" t="inlineStr">
        <is>
          <t>Functional</t>
        </is>
      </c>
      <c r="E3307" s="16" t="inlineStr">
        <is>
          <t>Codegen Node http: Custom headers</t>
        </is>
      </c>
      <c r="F3307" s="16" t="inlineStr">
        <is>
          <t>-</t>
        </is>
      </c>
      <c r="G3307" s="16" t="inlineStr">
        <is>
          <t>1. Set up request shape: User-set.
2. Generate code for Node http (UI Copy-as / MCP generate.code).
3. Run the generated snippet in a Node http runtime against the same endpoint.</t>
        </is>
      </c>
      <c r="H3307" s="16" t="inlineStr">
        <is>
          <t>lang=Node http shape=Custom headers</t>
        </is>
      </c>
      <c r="I3307" s="16" t="inlineStr">
        <is>
          <t>Generated code is syntactically valid for Node http; executes against the same endpoint and produces the same response. Variables are interpolated to their resolved values (not as literal '{{var}}'); secrets are masked or warning shown when copying.</t>
        </is>
      </c>
      <c r="J3307" s="16" t="inlineStr"/>
      <c r="K3307" s="16" t="inlineStr">
        <is>
          <t>Not Run</t>
        </is>
      </c>
      <c r="L3307" s="16" t="inlineStr">
        <is>
          <t>Low</t>
        </is>
      </c>
      <c r="M3307" s="16" t="inlineStr"/>
      <c r="N3307" s="16" t="inlineStr"/>
      <c r="O3307" s="16" t="inlineStr"/>
    </row>
    <row r="3308" ht="72" customHeight="1">
      <c r="A3308" s="16" t="inlineStr">
        <is>
          <t>TC-CG-0201</t>
        </is>
      </c>
      <c r="B3308" s="16" t="inlineStr">
        <is>
          <t>Code Generation</t>
        </is>
      </c>
      <c r="C3308" s="16" t="inlineStr">
        <is>
          <t>Node http</t>
        </is>
      </c>
      <c r="D3308" s="16" t="inlineStr">
        <is>
          <t>Functional</t>
        </is>
      </c>
      <c r="E3308" s="16" t="inlineStr">
        <is>
          <t>Codegen Node http: Path params</t>
        </is>
      </c>
      <c r="F3308" s="16" t="inlineStr">
        <is>
          <t>-</t>
        </is>
      </c>
      <c r="G3308" s="16" t="inlineStr">
        <is>
          <t>1. Set up request shape: URL with {id}.
2. Generate code for Node http (UI Copy-as / MCP generate.code).
3. Run the generated snippet in a Node http runtime against the same endpoint.</t>
        </is>
      </c>
      <c r="H3308" s="16" t="inlineStr">
        <is>
          <t>lang=Node http shape=Path params</t>
        </is>
      </c>
      <c r="I3308" s="16" t="inlineStr">
        <is>
          <t>Generated code is syntactically valid for Node http; executes against the same endpoint and produces the same response. Variables are interpolated to their resolved values (not as literal '{{var}}'); secrets are masked or warning shown when copying.</t>
        </is>
      </c>
      <c r="J3308" s="16" t="inlineStr"/>
      <c r="K3308" s="16" t="inlineStr">
        <is>
          <t>Not Run</t>
        </is>
      </c>
      <c r="L3308" s="16" t="inlineStr">
        <is>
          <t>Low</t>
        </is>
      </c>
      <c r="M3308" s="16" t="inlineStr"/>
      <c r="N3308" s="16" t="inlineStr"/>
      <c r="O3308" s="16" t="inlineStr"/>
    </row>
    <row r="3309" ht="72" customHeight="1">
      <c r="A3309" s="16" t="inlineStr">
        <is>
          <t>TC-CG-0202</t>
        </is>
      </c>
      <c r="B3309" s="16" t="inlineStr">
        <is>
          <t>Code Generation</t>
        </is>
      </c>
      <c r="C3309" s="16" t="inlineStr">
        <is>
          <t>Node http</t>
        </is>
      </c>
      <c r="D3309" s="16" t="inlineStr">
        <is>
          <t>Functional</t>
        </is>
      </c>
      <c r="E3309" s="16" t="inlineStr">
        <is>
          <t>Codegen Node http: Query params with arrays</t>
        </is>
      </c>
      <c r="F3309" s="16" t="inlineStr">
        <is>
          <t>-</t>
        </is>
      </c>
      <c r="G3309" s="16" t="inlineStr">
        <is>
          <t>1. Set up request shape: ?a=1&amp;a=2.
2. Generate code for Node http (UI Copy-as / MCP generate.code).
3. Run the generated snippet in a Node http runtime against the same endpoint.</t>
        </is>
      </c>
      <c r="H3309" s="16" t="inlineStr">
        <is>
          <t>lang=Node http shape=Query params with arrays</t>
        </is>
      </c>
      <c r="I3309" s="16" t="inlineStr">
        <is>
          <t>Generated code is syntactically valid for Node http; executes against the same endpoint and produces the same response. Variables are interpolated to their resolved values (not as literal '{{var}}'); secrets are masked or warning shown when copying.</t>
        </is>
      </c>
      <c r="J3309" s="16" t="inlineStr"/>
      <c r="K3309" s="16" t="inlineStr">
        <is>
          <t>Not Run</t>
        </is>
      </c>
      <c r="L3309" s="16" t="inlineStr">
        <is>
          <t>Low</t>
        </is>
      </c>
      <c r="M3309" s="16" t="inlineStr"/>
      <c r="N3309" s="16" t="inlineStr"/>
      <c r="O3309" s="16" t="inlineStr"/>
    </row>
    <row r="3310" ht="72" customHeight="1">
      <c r="A3310" s="16" t="inlineStr">
        <is>
          <t>TC-CG-0203</t>
        </is>
      </c>
      <c r="B3310" s="16" t="inlineStr">
        <is>
          <t>Code Generation</t>
        </is>
      </c>
      <c r="C3310" s="16" t="inlineStr">
        <is>
          <t>Node http</t>
        </is>
      </c>
      <c r="D3310" s="16" t="inlineStr">
        <is>
          <t>Functional</t>
        </is>
      </c>
      <c r="E3310" s="16" t="inlineStr">
        <is>
          <t>Codegen Node http: Cookies</t>
        </is>
      </c>
      <c r="F3310" s="16" t="inlineStr">
        <is>
          <t>-</t>
        </is>
      </c>
      <c r="G3310" s="16" t="inlineStr">
        <is>
          <t>1. Set up request shape: Cookie header.
2. Generate code for Node http (UI Copy-as / MCP generate.code).
3. Run the generated snippet in a Node http runtime against the same endpoint.</t>
        </is>
      </c>
      <c r="H3310" s="16" t="inlineStr">
        <is>
          <t>lang=Node http shape=Cookies</t>
        </is>
      </c>
      <c r="I3310" s="16" t="inlineStr">
        <is>
          <t>Generated code is syntactically valid for Node http; executes against the same endpoint and produces the same response. Variables are interpolated to their resolved values (not as literal '{{var}}'); secrets are masked or warning shown when copying.</t>
        </is>
      </c>
      <c r="J3310" s="16" t="inlineStr"/>
      <c r="K3310" s="16" t="inlineStr">
        <is>
          <t>Not Run</t>
        </is>
      </c>
      <c r="L3310" s="16" t="inlineStr">
        <is>
          <t>Low</t>
        </is>
      </c>
      <c r="M3310" s="16" t="inlineStr"/>
      <c r="N3310" s="16" t="inlineStr"/>
      <c r="O3310" s="16" t="inlineStr"/>
    </row>
    <row r="3311" ht="72" customHeight="1">
      <c r="A3311" s="16" t="inlineStr">
        <is>
          <t>TC-CG-0204</t>
        </is>
      </c>
      <c r="B3311" s="16" t="inlineStr">
        <is>
          <t>Code Generation</t>
        </is>
      </c>
      <c r="C3311" s="16" t="inlineStr">
        <is>
          <t>Node http</t>
        </is>
      </c>
      <c r="D3311" s="16" t="inlineStr">
        <is>
          <t>Functional</t>
        </is>
      </c>
      <c r="E3311" s="16" t="inlineStr">
        <is>
          <t>Codegen Node http: Variable interpolation</t>
        </is>
      </c>
      <c r="F3311" s="16" t="inlineStr">
        <is>
          <t>-</t>
        </is>
      </c>
      <c r="G3311" s="16" t="inlineStr">
        <is>
          <t>1. Set up request shape: Resolved values.
2. Generate code for Node http (UI Copy-as / MCP generate.code).
3. Run the generated snippet in a Node http runtime against the same endpoint.</t>
        </is>
      </c>
      <c r="H3311" s="16" t="inlineStr">
        <is>
          <t>lang=Node http shape=Variable interpolation</t>
        </is>
      </c>
      <c r="I3311" s="16" t="inlineStr">
        <is>
          <t>Generated code is syntactically valid for Node http; executes against the same endpoint and produces the same response. Variables are interpolated to their resolved values (not as literal '{{var}}'); secrets are masked or warning shown when copying.</t>
        </is>
      </c>
      <c r="J3311" s="16" t="inlineStr"/>
      <c r="K3311" s="16" t="inlineStr">
        <is>
          <t>Not Run</t>
        </is>
      </c>
      <c r="L3311" s="16" t="inlineStr">
        <is>
          <t>Low</t>
        </is>
      </c>
      <c r="M3311" s="16" t="inlineStr"/>
      <c r="N3311" s="16" t="inlineStr"/>
      <c r="O3311" s="16" t="inlineStr"/>
    </row>
    <row r="3312" ht="72" customHeight="1">
      <c r="A3312" s="16" t="inlineStr">
        <is>
          <t>TC-CG-0205</t>
        </is>
      </c>
      <c r="B3312" s="16" t="inlineStr">
        <is>
          <t>Code Generation</t>
        </is>
      </c>
      <c r="C3312" s="16" t="inlineStr">
        <is>
          <t>Kotlin OkHttp</t>
        </is>
      </c>
      <c r="D3312" s="16" t="inlineStr">
        <is>
          <t>Functional</t>
        </is>
      </c>
      <c r="E3312" s="16" t="inlineStr">
        <is>
          <t>Codegen Kotlin OkHttp: Simple GET</t>
        </is>
      </c>
      <c r="F3312" s="16" t="inlineStr">
        <is>
          <t>-</t>
        </is>
      </c>
      <c r="G3312" s="16" t="inlineStr">
        <is>
          <t>1. Set up request shape: Just URL + method.
2. Generate code for Kotlin OkHttp (UI Copy-as / MCP generate.code).
3. Run the generated snippet in a Kotlin OkHttp runtime against the same endpoint.</t>
        </is>
      </c>
      <c r="H3312" s="16" t="inlineStr">
        <is>
          <t>lang=Kotlin OkHttp shape=Simple GET</t>
        </is>
      </c>
      <c r="I3312" s="16" t="inlineStr">
        <is>
          <t>Generated code is syntactically valid for Kotlin OkHttp; executes against the same endpoint and produces the same response. Variables are interpolated to their resolved values (not as literal '{{var}}'); secrets are masked or warning shown when copying.</t>
        </is>
      </c>
      <c r="J3312" s="16" t="inlineStr"/>
      <c r="K3312" s="16" t="inlineStr">
        <is>
          <t>Not Run</t>
        </is>
      </c>
      <c r="L3312" s="16" t="inlineStr">
        <is>
          <t>Low</t>
        </is>
      </c>
      <c r="M3312" s="16" t="inlineStr"/>
      <c r="N3312" s="16" t="inlineStr"/>
      <c r="O3312" s="16" t="inlineStr"/>
    </row>
    <row r="3313" ht="72" customHeight="1">
      <c r="A3313" s="16" t="inlineStr">
        <is>
          <t>TC-CG-0206</t>
        </is>
      </c>
      <c r="B3313" s="16" t="inlineStr">
        <is>
          <t>Code Generation</t>
        </is>
      </c>
      <c r="C3313" s="16" t="inlineStr">
        <is>
          <t>Kotlin OkHttp</t>
        </is>
      </c>
      <c r="D3313" s="16" t="inlineStr">
        <is>
          <t>Functional</t>
        </is>
      </c>
      <c r="E3313" s="16" t="inlineStr">
        <is>
          <t>Codegen Kotlin OkHttp: POST JSON</t>
        </is>
      </c>
      <c r="F3313" s="16" t="inlineStr">
        <is>
          <t>-</t>
        </is>
      </c>
      <c r="G3313" s="16" t="inlineStr">
        <is>
          <t>1. Set up request shape: Body + headers.
2. Generate code for Kotlin OkHttp (UI Copy-as / MCP generate.code).
3. Run the generated snippet in a Kotlin OkHttp runtime against the same endpoint.</t>
        </is>
      </c>
      <c r="H3313" s="16" t="inlineStr">
        <is>
          <t>lang=Kotlin OkHttp shape=POST JSON</t>
        </is>
      </c>
      <c r="I3313" s="16" t="inlineStr">
        <is>
          <t>Generated code is syntactically valid for Kotlin OkHttp; executes against the same endpoint and produces the same response. Variables are interpolated to their resolved values (not as literal '{{var}}'); secrets are masked or warning shown when copying.</t>
        </is>
      </c>
      <c r="J3313" s="16" t="inlineStr"/>
      <c r="K3313" s="16" t="inlineStr">
        <is>
          <t>Not Run</t>
        </is>
      </c>
      <c r="L3313" s="16" t="inlineStr">
        <is>
          <t>Low</t>
        </is>
      </c>
      <c r="M3313" s="16" t="inlineStr"/>
      <c r="N3313" s="16" t="inlineStr"/>
      <c r="O3313" s="16" t="inlineStr"/>
    </row>
    <row r="3314" ht="72" customHeight="1">
      <c r="A3314" s="16" t="inlineStr">
        <is>
          <t>TC-CG-0207</t>
        </is>
      </c>
      <c r="B3314" s="16" t="inlineStr">
        <is>
          <t>Code Generation</t>
        </is>
      </c>
      <c r="C3314" s="16" t="inlineStr">
        <is>
          <t>Kotlin OkHttp</t>
        </is>
      </c>
      <c r="D3314" s="16" t="inlineStr">
        <is>
          <t>Functional</t>
        </is>
      </c>
      <c r="E3314" s="16" t="inlineStr">
        <is>
          <t>Codegen Kotlin OkHttp: POST form-data</t>
        </is>
      </c>
      <c r="F3314" s="16" t="inlineStr">
        <is>
          <t>-</t>
        </is>
      </c>
      <c r="G3314" s="16" t="inlineStr">
        <is>
          <t>1. Set up request shape: Multipart.
2. Generate code for Kotlin OkHttp (UI Copy-as / MCP generate.code).
3. Run the generated snippet in a Kotlin OkHttp runtime against the same endpoint.</t>
        </is>
      </c>
      <c r="H3314" s="16" t="inlineStr">
        <is>
          <t>lang=Kotlin OkHttp shape=POST form-data</t>
        </is>
      </c>
      <c r="I3314" s="16" t="inlineStr">
        <is>
          <t>Generated code is syntactically valid for Kotlin OkHttp; executes against the same endpoint and produces the same response. Variables are interpolated to their resolved values (not as literal '{{var}}'); secrets are masked or warning shown when copying.</t>
        </is>
      </c>
      <c r="J3314" s="16" t="inlineStr"/>
      <c r="K3314" s="16" t="inlineStr">
        <is>
          <t>Not Run</t>
        </is>
      </c>
      <c r="L3314" s="16" t="inlineStr">
        <is>
          <t>Low</t>
        </is>
      </c>
      <c r="M3314" s="16" t="inlineStr"/>
      <c r="N3314" s="16" t="inlineStr"/>
      <c r="O3314" s="16" t="inlineStr"/>
    </row>
    <row r="3315" ht="72" customHeight="1">
      <c r="A3315" s="16" t="inlineStr">
        <is>
          <t>TC-CG-0208</t>
        </is>
      </c>
      <c r="B3315" s="16" t="inlineStr">
        <is>
          <t>Code Generation</t>
        </is>
      </c>
      <c r="C3315" s="16" t="inlineStr">
        <is>
          <t>Kotlin OkHttp</t>
        </is>
      </c>
      <c r="D3315" s="16" t="inlineStr">
        <is>
          <t>Functional</t>
        </is>
      </c>
      <c r="E3315" s="16" t="inlineStr">
        <is>
          <t>Codegen Kotlin OkHttp: POST urlencoded</t>
        </is>
      </c>
      <c r="F3315" s="16" t="inlineStr">
        <is>
          <t>-</t>
        </is>
      </c>
      <c r="G3315" s="16" t="inlineStr">
        <is>
          <t>1. Set up request shape: x-www-form-urlencoded.
2. Generate code for Kotlin OkHttp (UI Copy-as / MCP generate.code).
3. Run the generated snippet in a Kotlin OkHttp runtime against the same endpoint.</t>
        </is>
      </c>
      <c r="H3315" s="16" t="inlineStr">
        <is>
          <t>lang=Kotlin OkHttp shape=POST urlencoded</t>
        </is>
      </c>
      <c r="I3315" s="16" t="inlineStr">
        <is>
          <t>Generated code is syntactically valid for Kotlin OkHttp; executes against the same endpoint and produces the same response. Variables are interpolated to their resolved values (not as literal '{{var}}'); secrets are masked or warning shown when copying.</t>
        </is>
      </c>
      <c r="J3315" s="16" t="inlineStr"/>
      <c r="K3315" s="16" t="inlineStr">
        <is>
          <t>Not Run</t>
        </is>
      </c>
      <c r="L3315" s="16" t="inlineStr">
        <is>
          <t>Low</t>
        </is>
      </c>
      <c r="M3315" s="16" t="inlineStr"/>
      <c r="N3315" s="16" t="inlineStr"/>
      <c r="O3315" s="16" t="inlineStr"/>
    </row>
    <row r="3316" ht="72" customHeight="1">
      <c r="A3316" s="16" t="inlineStr">
        <is>
          <t>TC-CG-0209</t>
        </is>
      </c>
      <c r="B3316" s="16" t="inlineStr">
        <is>
          <t>Code Generation</t>
        </is>
      </c>
      <c r="C3316" s="16" t="inlineStr">
        <is>
          <t>Kotlin OkHttp</t>
        </is>
      </c>
      <c r="D3316" s="16" t="inlineStr">
        <is>
          <t>Functional</t>
        </is>
      </c>
      <c r="E3316" s="16" t="inlineStr">
        <is>
          <t>Codegen Kotlin OkHttp: File upload</t>
        </is>
      </c>
      <c r="F3316" s="16" t="inlineStr">
        <is>
          <t>-</t>
        </is>
      </c>
      <c r="G3316" s="16" t="inlineStr">
        <is>
          <t>1. Set up request shape: Binary.
2. Generate code for Kotlin OkHttp (UI Copy-as / MCP generate.code).
3. Run the generated snippet in a Kotlin OkHttp runtime against the same endpoint.</t>
        </is>
      </c>
      <c r="H3316" s="16" t="inlineStr">
        <is>
          <t>lang=Kotlin OkHttp shape=File upload</t>
        </is>
      </c>
      <c r="I3316" s="16" t="inlineStr">
        <is>
          <t>Generated code is syntactically valid for Kotlin OkHttp; executes against the same endpoint and produces the same response. Variables are interpolated to their resolved values (not as literal '{{var}}'); secrets are masked or warning shown when copying.</t>
        </is>
      </c>
      <c r="J3316" s="16" t="inlineStr"/>
      <c r="K3316" s="16" t="inlineStr">
        <is>
          <t>Not Run</t>
        </is>
      </c>
      <c r="L3316" s="16" t="inlineStr">
        <is>
          <t>Low</t>
        </is>
      </c>
      <c r="M3316" s="16" t="inlineStr"/>
      <c r="N3316" s="16" t="inlineStr"/>
      <c r="O3316" s="16" t="inlineStr"/>
    </row>
    <row r="3317" ht="72" customHeight="1">
      <c r="A3317" s="16" t="inlineStr">
        <is>
          <t>TC-CG-0210</t>
        </is>
      </c>
      <c r="B3317" s="16" t="inlineStr">
        <is>
          <t>Code Generation</t>
        </is>
      </c>
      <c r="C3317" s="16" t="inlineStr">
        <is>
          <t>Kotlin OkHttp</t>
        </is>
      </c>
      <c r="D3317" s="16" t="inlineStr">
        <is>
          <t>Functional</t>
        </is>
      </c>
      <c r="E3317" s="16" t="inlineStr">
        <is>
          <t>Codegen Kotlin OkHttp: GraphQL</t>
        </is>
      </c>
      <c r="F3317" s="16" t="inlineStr">
        <is>
          <t>-</t>
        </is>
      </c>
      <c r="G3317" s="16" t="inlineStr">
        <is>
          <t>1. Set up request shape: Query + variables.
2. Generate code for Kotlin OkHttp (UI Copy-as / MCP generate.code).
3. Run the generated snippet in a Kotlin OkHttp runtime against the same endpoint.</t>
        </is>
      </c>
      <c r="H3317" s="16" t="inlineStr">
        <is>
          <t>lang=Kotlin OkHttp shape=GraphQL</t>
        </is>
      </c>
      <c r="I3317" s="16" t="inlineStr">
        <is>
          <t>Generated code is syntactically valid for Kotlin OkHttp; executes against the same endpoint and produces the same response. Variables are interpolated to their resolved values (not as literal '{{var}}'); secrets are masked or warning shown when copying.</t>
        </is>
      </c>
      <c r="J3317" s="16" t="inlineStr"/>
      <c r="K3317" s="16" t="inlineStr">
        <is>
          <t>Not Run</t>
        </is>
      </c>
      <c r="L3317" s="16" t="inlineStr">
        <is>
          <t>Low</t>
        </is>
      </c>
      <c r="M3317" s="16" t="inlineStr"/>
      <c r="N3317" s="16" t="inlineStr"/>
      <c r="O3317" s="16" t="inlineStr"/>
    </row>
    <row r="3318" ht="72" customHeight="1">
      <c r="A3318" s="16" t="inlineStr">
        <is>
          <t>TC-CG-0211</t>
        </is>
      </c>
      <c r="B3318" s="16" t="inlineStr">
        <is>
          <t>Code Generation</t>
        </is>
      </c>
      <c r="C3318" s="16" t="inlineStr">
        <is>
          <t>Kotlin OkHttp</t>
        </is>
      </c>
      <c r="D3318" s="16" t="inlineStr">
        <is>
          <t>Functional</t>
        </is>
      </c>
      <c r="E3318" s="16" t="inlineStr">
        <is>
          <t>Codegen Kotlin OkHttp: Bearer auth</t>
        </is>
      </c>
      <c r="F3318" s="16" t="inlineStr">
        <is>
          <t>-</t>
        </is>
      </c>
      <c r="G3318" s="16" t="inlineStr">
        <is>
          <t>1. Set up request shape: Authorization header.
2. Generate code for Kotlin OkHttp (UI Copy-as / MCP generate.code).
3. Run the generated snippet in a Kotlin OkHttp runtime against the same endpoint.</t>
        </is>
      </c>
      <c r="H3318" s="16" t="inlineStr">
        <is>
          <t>lang=Kotlin OkHttp shape=Bearer auth</t>
        </is>
      </c>
      <c r="I3318" s="16" t="inlineStr">
        <is>
          <t>Generated code is syntactically valid for Kotlin OkHttp; executes against the same endpoint and produces the same response. Variables are interpolated to their resolved values (not as literal '{{var}}'); secrets are masked or warning shown when copying.</t>
        </is>
      </c>
      <c r="J3318" s="16" t="inlineStr"/>
      <c r="K3318" s="16" t="inlineStr">
        <is>
          <t>Not Run</t>
        </is>
      </c>
      <c r="L3318" s="16" t="inlineStr">
        <is>
          <t>Low</t>
        </is>
      </c>
      <c r="M3318" s="16" t="inlineStr"/>
      <c r="N3318" s="16" t="inlineStr"/>
      <c r="O3318" s="16" t="inlineStr"/>
    </row>
    <row r="3319" ht="72" customHeight="1">
      <c r="A3319" s="16" t="inlineStr">
        <is>
          <t>TC-CG-0212</t>
        </is>
      </c>
      <c r="B3319" s="16" t="inlineStr">
        <is>
          <t>Code Generation</t>
        </is>
      </c>
      <c r="C3319" s="16" t="inlineStr">
        <is>
          <t>Kotlin OkHttp</t>
        </is>
      </c>
      <c r="D3319" s="16" t="inlineStr">
        <is>
          <t>Functional</t>
        </is>
      </c>
      <c r="E3319" s="16" t="inlineStr">
        <is>
          <t>Codegen Kotlin OkHttp: Basic auth</t>
        </is>
      </c>
      <c r="F3319" s="16" t="inlineStr">
        <is>
          <t>-</t>
        </is>
      </c>
      <c r="G3319" s="16" t="inlineStr">
        <is>
          <t>1. Set up request shape: user:pass.
2. Generate code for Kotlin OkHttp (UI Copy-as / MCP generate.code).
3. Run the generated snippet in a Kotlin OkHttp runtime against the same endpoint.</t>
        </is>
      </c>
      <c r="H3319" s="16" t="inlineStr">
        <is>
          <t>lang=Kotlin OkHttp shape=Basic auth</t>
        </is>
      </c>
      <c r="I3319" s="16" t="inlineStr">
        <is>
          <t>Generated code is syntactically valid for Kotlin OkHttp; executes against the same endpoint and produces the same response. Variables are interpolated to their resolved values (not as literal '{{var}}'); secrets are masked or warning shown when copying.</t>
        </is>
      </c>
      <c r="J3319" s="16" t="inlineStr"/>
      <c r="K3319" s="16" t="inlineStr">
        <is>
          <t>Not Run</t>
        </is>
      </c>
      <c r="L3319" s="16" t="inlineStr">
        <is>
          <t>Low</t>
        </is>
      </c>
      <c r="M3319" s="16" t="inlineStr"/>
      <c r="N3319" s="16" t="inlineStr"/>
      <c r="O3319" s="16" t="inlineStr"/>
    </row>
    <row r="3320" ht="72" customHeight="1">
      <c r="A3320" s="16" t="inlineStr">
        <is>
          <t>TC-CG-0213</t>
        </is>
      </c>
      <c r="B3320" s="16" t="inlineStr">
        <is>
          <t>Code Generation</t>
        </is>
      </c>
      <c r="C3320" s="16" t="inlineStr">
        <is>
          <t>Kotlin OkHttp</t>
        </is>
      </c>
      <c r="D3320" s="16" t="inlineStr">
        <is>
          <t>Functional</t>
        </is>
      </c>
      <c r="E3320" s="16" t="inlineStr">
        <is>
          <t>Codegen Kotlin OkHttp: API Key header</t>
        </is>
      </c>
      <c r="F3320" s="16" t="inlineStr">
        <is>
          <t>-</t>
        </is>
      </c>
      <c r="G3320" s="16" t="inlineStr">
        <is>
          <t>1. Set up request shape: Custom header.
2. Generate code for Kotlin OkHttp (UI Copy-as / MCP generate.code).
3. Run the generated snippet in a Kotlin OkHttp runtime against the same endpoint.</t>
        </is>
      </c>
      <c r="H3320" s="16" t="inlineStr">
        <is>
          <t>lang=Kotlin OkHttp shape=API Key header</t>
        </is>
      </c>
      <c r="I3320" s="16" t="inlineStr">
        <is>
          <t>Generated code is syntactically valid for Kotlin OkHttp; executes against the same endpoint and produces the same response. Variables are interpolated to their resolved values (not as literal '{{var}}'); secrets are masked or warning shown when copying.</t>
        </is>
      </c>
      <c r="J3320" s="16" t="inlineStr"/>
      <c r="K3320" s="16" t="inlineStr">
        <is>
          <t>Not Run</t>
        </is>
      </c>
      <c r="L3320" s="16" t="inlineStr">
        <is>
          <t>Low</t>
        </is>
      </c>
      <c r="M3320" s="16" t="inlineStr"/>
      <c r="N3320" s="16" t="inlineStr"/>
      <c r="O3320" s="16" t="inlineStr"/>
    </row>
    <row r="3321" ht="72" customHeight="1">
      <c r="A3321" s="16" t="inlineStr">
        <is>
          <t>TC-CG-0214</t>
        </is>
      </c>
      <c r="B3321" s="16" t="inlineStr">
        <is>
          <t>Code Generation</t>
        </is>
      </c>
      <c r="C3321" s="16" t="inlineStr">
        <is>
          <t>Kotlin OkHttp</t>
        </is>
      </c>
      <c r="D3321" s="16" t="inlineStr">
        <is>
          <t>Functional</t>
        </is>
      </c>
      <c r="E3321" s="16" t="inlineStr">
        <is>
          <t>Codegen Kotlin OkHttp: API Key query</t>
        </is>
      </c>
      <c r="F3321" s="16" t="inlineStr">
        <is>
          <t>-</t>
        </is>
      </c>
      <c r="G3321" s="16" t="inlineStr">
        <is>
          <t>1. Set up request shape: Query param.
2. Generate code for Kotlin OkHttp (UI Copy-as / MCP generate.code).
3. Run the generated snippet in a Kotlin OkHttp runtime against the same endpoint.</t>
        </is>
      </c>
      <c r="H3321" s="16" t="inlineStr">
        <is>
          <t>lang=Kotlin OkHttp shape=API Key query</t>
        </is>
      </c>
      <c r="I3321" s="16" t="inlineStr">
        <is>
          <t>Generated code is syntactically valid for Kotlin OkHttp; executes against the same endpoint and produces the same response. Variables are interpolated to their resolved values (not as literal '{{var}}'); secrets are masked or warning shown when copying.</t>
        </is>
      </c>
      <c r="J3321" s="16" t="inlineStr"/>
      <c r="K3321" s="16" t="inlineStr">
        <is>
          <t>Not Run</t>
        </is>
      </c>
      <c r="L3321" s="16" t="inlineStr">
        <is>
          <t>Low</t>
        </is>
      </c>
      <c r="M3321" s="16" t="inlineStr"/>
      <c r="N3321" s="16" t="inlineStr"/>
      <c r="O3321" s="16" t="inlineStr"/>
    </row>
    <row r="3322" ht="72" customHeight="1">
      <c r="A3322" s="16" t="inlineStr">
        <is>
          <t>TC-CG-0215</t>
        </is>
      </c>
      <c r="B3322" s="16" t="inlineStr">
        <is>
          <t>Code Generation</t>
        </is>
      </c>
      <c r="C3322" s="16" t="inlineStr">
        <is>
          <t>Kotlin OkHttp</t>
        </is>
      </c>
      <c r="D3322" s="16" t="inlineStr">
        <is>
          <t>Functional</t>
        </is>
      </c>
      <c r="E3322" s="16" t="inlineStr">
        <is>
          <t>Codegen Kotlin OkHttp: OAuth2 (with token)</t>
        </is>
      </c>
      <c r="F3322" s="16" t="inlineStr">
        <is>
          <t>-</t>
        </is>
      </c>
      <c r="G3322" s="16" t="inlineStr">
        <is>
          <t>1. Set up request shape: Token attached.
2. Generate code for Kotlin OkHttp (UI Copy-as / MCP generate.code).
3. Run the generated snippet in a Kotlin OkHttp runtime against the same endpoint.</t>
        </is>
      </c>
      <c r="H3322" s="16" t="inlineStr">
        <is>
          <t>lang=Kotlin OkHttp shape=OAuth2 (with token)</t>
        </is>
      </c>
      <c r="I3322" s="16" t="inlineStr">
        <is>
          <t>Generated code is syntactically valid for Kotlin OkHttp; executes against the same endpoint and produces the same response. Variables are interpolated to their resolved values (not as literal '{{var}}'); secrets are masked or warning shown when copying.</t>
        </is>
      </c>
      <c r="J3322" s="16" t="inlineStr"/>
      <c r="K3322" s="16" t="inlineStr">
        <is>
          <t>Not Run</t>
        </is>
      </c>
      <c r="L3322" s="16" t="inlineStr">
        <is>
          <t>Low</t>
        </is>
      </c>
      <c r="M3322" s="16" t="inlineStr"/>
      <c r="N3322" s="16" t="inlineStr"/>
      <c r="O3322" s="16" t="inlineStr"/>
    </row>
    <row r="3323" ht="72" customHeight="1">
      <c r="A3323" s="16" t="inlineStr">
        <is>
          <t>TC-CG-0216</t>
        </is>
      </c>
      <c r="B3323" s="16" t="inlineStr">
        <is>
          <t>Code Generation</t>
        </is>
      </c>
      <c r="C3323" s="16" t="inlineStr">
        <is>
          <t>Kotlin OkHttp</t>
        </is>
      </c>
      <c r="D3323" s="16" t="inlineStr">
        <is>
          <t>Functional</t>
        </is>
      </c>
      <c r="E3323" s="16" t="inlineStr">
        <is>
          <t>Codegen Kotlin OkHttp: AWS SigV4</t>
        </is>
      </c>
      <c r="F3323" s="16" t="inlineStr">
        <is>
          <t>-</t>
        </is>
      </c>
      <c r="G3323" s="16" t="inlineStr">
        <is>
          <t>1. Set up request shape: Signed request.
2. Generate code for Kotlin OkHttp (UI Copy-as / MCP generate.code).
3. Run the generated snippet in a Kotlin OkHttp runtime against the same endpoint.</t>
        </is>
      </c>
      <c r="H3323" s="16" t="inlineStr">
        <is>
          <t>lang=Kotlin OkHttp shape=AWS SigV4</t>
        </is>
      </c>
      <c r="I3323" s="16" t="inlineStr">
        <is>
          <t>Generated code is syntactically valid for Kotlin OkHttp; executes against the same endpoint and produces the same response. Variables are interpolated to their resolved values (not as literal '{{var}}'); secrets are masked or warning shown when copying.</t>
        </is>
      </c>
      <c r="J3323" s="16" t="inlineStr"/>
      <c r="K3323" s="16" t="inlineStr">
        <is>
          <t>Not Run</t>
        </is>
      </c>
      <c r="L3323" s="16" t="inlineStr">
        <is>
          <t>Low</t>
        </is>
      </c>
      <c r="M3323" s="16" t="inlineStr"/>
      <c r="N3323" s="16" t="inlineStr"/>
      <c r="O3323" s="16" t="inlineStr"/>
    </row>
    <row r="3324" ht="72" customHeight="1">
      <c r="A3324" s="16" t="inlineStr">
        <is>
          <t>TC-CG-0217</t>
        </is>
      </c>
      <c r="B3324" s="16" t="inlineStr">
        <is>
          <t>Code Generation</t>
        </is>
      </c>
      <c r="C3324" s="16" t="inlineStr">
        <is>
          <t>Kotlin OkHttp</t>
        </is>
      </c>
      <c r="D3324" s="16" t="inlineStr">
        <is>
          <t>Functional</t>
        </is>
      </c>
      <c r="E3324" s="16" t="inlineStr">
        <is>
          <t>Codegen Kotlin OkHttp: Custom headers</t>
        </is>
      </c>
      <c r="F3324" s="16" t="inlineStr">
        <is>
          <t>-</t>
        </is>
      </c>
      <c r="G3324" s="16" t="inlineStr">
        <is>
          <t>1. Set up request shape: User-set.
2. Generate code for Kotlin OkHttp (UI Copy-as / MCP generate.code).
3. Run the generated snippet in a Kotlin OkHttp runtime against the same endpoint.</t>
        </is>
      </c>
      <c r="H3324" s="16" t="inlineStr">
        <is>
          <t>lang=Kotlin OkHttp shape=Custom headers</t>
        </is>
      </c>
      <c r="I3324" s="16" t="inlineStr">
        <is>
          <t>Generated code is syntactically valid for Kotlin OkHttp; executes against the same endpoint and produces the same response. Variables are interpolated to their resolved values (not as literal '{{var}}'); secrets are masked or warning shown when copying.</t>
        </is>
      </c>
      <c r="J3324" s="16" t="inlineStr"/>
      <c r="K3324" s="16" t="inlineStr">
        <is>
          <t>Not Run</t>
        </is>
      </c>
      <c r="L3324" s="16" t="inlineStr">
        <is>
          <t>Low</t>
        </is>
      </c>
      <c r="M3324" s="16" t="inlineStr"/>
      <c r="N3324" s="16" t="inlineStr"/>
      <c r="O3324" s="16" t="inlineStr"/>
    </row>
    <row r="3325" ht="72" customHeight="1">
      <c r="A3325" s="16" t="inlineStr">
        <is>
          <t>TC-CG-0218</t>
        </is>
      </c>
      <c r="B3325" s="16" t="inlineStr">
        <is>
          <t>Code Generation</t>
        </is>
      </c>
      <c r="C3325" s="16" t="inlineStr">
        <is>
          <t>Kotlin OkHttp</t>
        </is>
      </c>
      <c r="D3325" s="16" t="inlineStr">
        <is>
          <t>Functional</t>
        </is>
      </c>
      <c r="E3325" s="16" t="inlineStr">
        <is>
          <t>Codegen Kotlin OkHttp: Path params</t>
        </is>
      </c>
      <c r="F3325" s="16" t="inlineStr">
        <is>
          <t>-</t>
        </is>
      </c>
      <c r="G3325" s="16" t="inlineStr">
        <is>
          <t>1. Set up request shape: URL with {id}.
2. Generate code for Kotlin OkHttp (UI Copy-as / MCP generate.code).
3. Run the generated snippet in a Kotlin OkHttp runtime against the same endpoint.</t>
        </is>
      </c>
      <c r="H3325" s="16" t="inlineStr">
        <is>
          <t>lang=Kotlin OkHttp shape=Path params</t>
        </is>
      </c>
      <c r="I3325" s="16" t="inlineStr">
        <is>
          <t>Generated code is syntactically valid for Kotlin OkHttp; executes against the same endpoint and produces the same response. Variables are interpolated to their resolved values (not as literal '{{var}}'); secrets are masked or warning shown when copying.</t>
        </is>
      </c>
      <c r="J3325" s="16" t="inlineStr"/>
      <c r="K3325" s="16" t="inlineStr">
        <is>
          <t>Not Run</t>
        </is>
      </c>
      <c r="L3325" s="16" t="inlineStr">
        <is>
          <t>Low</t>
        </is>
      </c>
      <c r="M3325" s="16" t="inlineStr"/>
      <c r="N3325" s="16" t="inlineStr"/>
      <c r="O3325" s="16" t="inlineStr"/>
    </row>
    <row r="3326" ht="72" customHeight="1">
      <c r="A3326" s="16" t="inlineStr">
        <is>
          <t>TC-CG-0219</t>
        </is>
      </c>
      <c r="B3326" s="16" t="inlineStr">
        <is>
          <t>Code Generation</t>
        </is>
      </c>
      <c r="C3326" s="16" t="inlineStr">
        <is>
          <t>Kotlin OkHttp</t>
        </is>
      </c>
      <c r="D3326" s="16" t="inlineStr">
        <is>
          <t>Functional</t>
        </is>
      </c>
      <c r="E3326" s="16" t="inlineStr">
        <is>
          <t>Codegen Kotlin OkHttp: Query params with arrays</t>
        </is>
      </c>
      <c r="F3326" s="16" t="inlineStr">
        <is>
          <t>-</t>
        </is>
      </c>
      <c r="G3326" s="16" t="inlineStr">
        <is>
          <t>1. Set up request shape: ?a=1&amp;a=2.
2. Generate code for Kotlin OkHttp (UI Copy-as / MCP generate.code).
3. Run the generated snippet in a Kotlin OkHttp runtime against the same endpoint.</t>
        </is>
      </c>
      <c r="H3326" s="16" t="inlineStr">
        <is>
          <t>lang=Kotlin OkHttp shape=Query params with arrays</t>
        </is>
      </c>
      <c r="I3326" s="16" t="inlineStr">
        <is>
          <t>Generated code is syntactically valid for Kotlin OkHttp; executes against the same endpoint and produces the same response. Variables are interpolated to their resolved values (not as literal '{{var}}'); secrets are masked or warning shown when copying.</t>
        </is>
      </c>
      <c r="J3326" s="16" t="inlineStr"/>
      <c r="K3326" s="16" t="inlineStr">
        <is>
          <t>Not Run</t>
        </is>
      </c>
      <c r="L3326" s="16" t="inlineStr">
        <is>
          <t>Low</t>
        </is>
      </c>
      <c r="M3326" s="16" t="inlineStr"/>
      <c r="N3326" s="16" t="inlineStr"/>
      <c r="O3326" s="16" t="inlineStr"/>
    </row>
    <row r="3327" ht="72" customHeight="1">
      <c r="A3327" s="16" t="inlineStr">
        <is>
          <t>TC-CG-0220</t>
        </is>
      </c>
      <c r="B3327" s="16" t="inlineStr">
        <is>
          <t>Code Generation</t>
        </is>
      </c>
      <c r="C3327" s="16" t="inlineStr">
        <is>
          <t>Kotlin OkHttp</t>
        </is>
      </c>
      <c r="D3327" s="16" t="inlineStr">
        <is>
          <t>Functional</t>
        </is>
      </c>
      <c r="E3327" s="16" t="inlineStr">
        <is>
          <t>Codegen Kotlin OkHttp: Cookies</t>
        </is>
      </c>
      <c r="F3327" s="16" t="inlineStr">
        <is>
          <t>-</t>
        </is>
      </c>
      <c r="G3327" s="16" t="inlineStr">
        <is>
          <t>1. Set up request shape: Cookie header.
2. Generate code for Kotlin OkHttp (UI Copy-as / MCP generate.code).
3. Run the generated snippet in a Kotlin OkHttp runtime against the same endpoint.</t>
        </is>
      </c>
      <c r="H3327" s="16" t="inlineStr">
        <is>
          <t>lang=Kotlin OkHttp shape=Cookies</t>
        </is>
      </c>
      <c r="I3327" s="16" t="inlineStr">
        <is>
          <t>Generated code is syntactically valid for Kotlin OkHttp; executes against the same endpoint and produces the same response. Variables are interpolated to their resolved values (not as literal '{{var}}'); secrets are masked or warning shown when copying.</t>
        </is>
      </c>
      <c r="J3327" s="16" t="inlineStr"/>
      <c r="K3327" s="16" t="inlineStr">
        <is>
          <t>Not Run</t>
        </is>
      </c>
      <c r="L3327" s="16" t="inlineStr">
        <is>
          <t>Low</t>
        </is>
      </c>
      <c r="M3327" s="16" t="inlineStr"/>
      <c r="N3327" s="16" t="inlineStr"/>
      <c r="O3327" s="16" t="inlineStr"/>
    </row>
    <row r="3328" ht="72" customHeight="1">
      <c r="A3328" s="16" t="inlineStr">
        <is>
          <t>TC-CG-0221</t>
        </is>
      </c>
      <c r="B3328" s="16" t="inlineStr">
        <is>
          <t>Code Generation</t>
        </is>
      </c>
      <c r="C3328" s="16" t="inlineStr">
        <is>
          <t>Kotlin OkHttp</t>
        </is>
      </c>
      <c r="D3328" s="16" t="inlineStr">
        <is>
          <t>Functional</t>
        </is>
      </c>
      <c r="E3328" s="16" t="inlineStr">
        <is>
          <t>Codegen Kotlin OkHttp: Variable interpolation</t>
        </is>
      </c>
      <c r="F3328" s="16" t="inlineStr">
        <is>
          <t>-</t>
        </is>
      </c>
      <c r="G3328" s="16" t="inlineStr">
        <is>
          <t>1. Set up request shape: Resolved values.
2. Generate code for Kotlin OkHttp (UI Copy-as / MCP generate.code).
3. Run the generated snippet in a Kotlin OkHttp runtime against the same endpoint.</t>
        </is>
      </c>
      <c r="H3328" s="16" t="inlineStr">
        <is>
          <t>lang=Kotlin OkHttp shape=Variable interpolation</t>
        </is>
      </c>
      <c r="I3328" s="16" t="inlineStr">
        <is>
          <t>Generated code is syntactically valid for Kotlin OkHttp; executes against the same endpoint and produces the same response. Variables are interpolated to their resolved values (not as literal '{{var}}'); secrets are masked or warning shown when copying.</t>
        </is>
      </c>
      <c r="J3328" s="16" t="inlineStr"/>
      <c r="K3328" s="16" t="inlineStr">
        <is>
          <t>Not Run</t>
        </is>
      </c>
      <c r="L3328" s="16" t="inlineStr">
        <is>
          <t>Low</t>
        </is>
      </c>
      <c r="M3328" s="16" t="inlineStr"/>
      <c r="N3328" s="16" t="inlineStr"/>
      <c r="O3328" s="16" t="inlineStr"/>
    </row>
    <row r="3329" ht="72" customHeight="1">
      <c r="A3329" s="16" t="inlineStr">
        <is>
          <t>TC-CG-0222</t>
        </is>
      </c>
      <c r="B3329" s="16" t="inlineStr">
        <is>
          <t>Code Generation</t>
        </is>
      </c>
      <c r="C3329" s="16" t="inlineStr">
        <is>
          <t>Swift URLSession</t>
        </is>
      </c>
      <c r="D3329" s="16" t="inlineStr">
        <is>
          <t>Functional</t>
        </is>
      </c>
      <c r="E3329" s="16" t="inlineStr">
        <is>
          <t>Codegen Swift URLSession: Simple GET</t>
        </is>
      </c>
      <c r="F3329" s="16" t="inlineStr">
        <is>
          <t>-</t>
        </is>
      </c>
      <c r="G3329" s="16" t="inlineStr">
        <is>
          <t>1. Set up request shape: Just URL + method.
2. Generate code for Swift URLSession (UI Copy-as / MCP generate.code).
3. Run the generated snippet in a Swift URLSession runtime against the same endpoint.</t>
        </is>
      </c>
      <c r="H3329" s="16" t="inlineStr">
        <is>
          <t>lang=Swift URLSession shape=Simple GET</t>
        </is>
      </c>
      <c r="I3329" s="16" t="inlineStr">
        <is>
          <t>Generated code is syntactically valid for Swift URLSession; executes against the same endpoint and produces the same response. Variables are interpolated to their resolved values (not as literal '{{var}}'); secrets are masked or warning shown when copying.</t>
        </is>
      </c>
      <c r="J3329" s="16" t="inlineStr"/>
      <c r="K3329" s="16" t="inlineStr">
        <is>
          <t>Not Run</t>
        </is>
      </c>
      <c r="L3329" s="16" t="inlineStr">
        <is>
          <t>Low</t>
        </is>
      </c>
      <c r="M3329" s="16" t="inlineStr"/>
      <c r="N3329" s="16" t="inlineStr"/>
      <c r="O3329" s="16" t="inlineStr"/>
    </row>
    <row r="3330" ht="72" customHeight="1">
      <c r="A3330" s="16" t="inlineStr">
        <is>
          <t>TC-CG-0223</t>
        </is>
      </c>
      <c r="B3330" s="16" t="inlineStr">
        <is>
          <t>Code Generation</t>
        </is>
      </c>
      <c r="C3330" s="16" t="inlineStr">
        <is>
          <t>Swift URLSession</t>
        </is>
      </c>
      <c r="D3330" s="16" t="inlineStr">
        <is>
          <t>Functional</t>
        </is>
      </c>
      <c r="E3330" s="16" t="inlineStr">
        <is>
          <t>Codegen Swift URLSession: POST JSON</t>
        </is>
      </c>
      <c r="F3330" s="16" t="inlineStr">
        <is>
          <t>-</t>
        </is>
      </c>
      <c r="G3330" s="16" t="inlineStr">
        <is>
          <t>1. Set up request shape: Body + headers.
2. Generate code for Swift URLSession (UI Copy-as / MCP generate.code).
3. Run the generated snippet in a Swift URLSession runtime against the same endpoint.</t>
        </is>
      </c>
      <c r="H3330" s="16" t="inlineStr">
        <is>
          <t>lang=Swift URLSession shape=POST JSON</t>
        </is>
      </c>
      <c r="I3330" s="16" t="inlineStr">
        <is>
          <t>Generated code is syntactically valid for Swift URLSession; executes against the same endpoint and produces the same response. Variables are interpolated to their resolved values (not as literal '{{var}}'); secrets are masked or warning shown when copying.</t>
        </is>
      </c>
      <c r="J3330" s="16" t="inlineStr"/>
      <c r="K3330" s="16" t="inlineStr">
        <is>
          <t>Not Run</t>
        </is>
      </c>
      <c r="L3330" s="16" t="inlineStr">
        <is>
          <t>Low</t>
        </is>
      </c>
      <c r="M3330" s="16" t="inlineStr"/>
      <c r="N3330" s="16" t="inlineStr"/>
      <c r="O3330" s="16" t="inlineStr"/>
    </row>
    <row r="3331" ht="72" customHeight="1">
      <c r="A3331" s="16" t="inlineStr">
        <is>
          <t>TC-CG-0224</t>
        </is>
      </c>
      <c r="B3331" s="16" t="inlineStr">
        <is>
          <t>Code Generation</t>
        </is>
      </c>
      <c r="C3331" s="16" t="inlineStr">
        <is>
          <t>Swift URLSession</t>
        </is>
      </c>
      <c r="D3331" s="16" t="inlineStr">
        <is>
          <t>Functional</t>
        </is>
      </c>
      <c r="E3331" s="16" t="inlineStr">
        <is>
          <t>Codegen Swift URLSession: POST form-data</t>
        </is>
      </c>
      <c r="F3331" s="16" t="inlineStr">
        <is>
          <t>-</t>
        </is>
      </c>
      <c r="G3331" s="16" t="inlineStr">
        <is>
          <t>1. Set up request shape: Multipart.
2. Generate code for Swift URLSession (UI Copy-as / MCP generate.code).
3. Run the generated snippet in a Swift URLSession runtime against the same endpoint.</t>
        </is>
      </c>
      <c r="H3331" s="16" t="inlineStr">
        <is>
          <t>lang=Swift URLSession shape=POST form-data</t>
        </is>
      </c>
      <c r="I3331" s="16" t="inlineStr">
        <is>
          <t>Generated code is syntactically valid for Swift URLSession; executes against the same endpoint and produces the same response. Variables are interpolated to their resolved values (not as literal '{{var}}'); secrets are masked or warning shown when copying.</t>
        </is>
      </c>
      <c r="J3331" s="16" t="inlineStr"/>
      <c r="K3331" s="16" t="inlineStr">
        <is>
          <t>Not Run</t>
        </is>
      </c>
      <c r="L3331" s="16" t="inlineStr">
        <is>
          <t>Low</t>
        </is>
      </c>
      <c r="M3331" s="16" t="inlineStr"/>
      <c r="N3331" s="16" t="inlineStr"/>
      <c r="O3331" s="16" t="inlineStr"/>
    </row>
    <row r="3332" ht="72" customHeight="1">
      <c r="A3332" s="16" t="inlineStr">
        <is>
          <t>TC-CG-0225</t>
        </is>
      </c>
      <c r="B3332" s="16" t="inlineStr">
        <is>
          <t>Code Generation</t>
        </is>
      </c>
      <c r="C3332" s="16" t="inlineStr">
        <is>
          <t>Swift URLSession</t>
        </is>
      </c>
      <c r="D3332" s="16" t="inlineStr">
        <is>
          <t>Functional</t>
        </is>
      </c>
      <c r="E3332" s="16" t="inlineStr">
        <is>
          <t>Codegen Swift URLSession: POST urlencoded</t>
        </is>
      </c>
      <c r="F3332" s="16" t="inlineStr">
        <is>
          <t>-</t>
        </is>
      </c>
      <c r="G3332" s="16" t="inlineStr">
        <is>
          <t>1. Set up request shape: x-www-form-urlencoded.
2. Generate code for Swift URLSession (UI Copy-as / MCP generate.code).
3. Run the generated snippet in a Swift URLSession runtime against the same endpoint.</t>
        </is>
      </c>
      <c r="H3332" s="16" t="inlineStr">
        <is>
          <t>lang=Swift URLSession shape=POST urlencoded</t>
        </is>
      </c>
      <c r="I3332" s="16" t="inlineStr">
        <is>
          <t>Generated code is syntactically valid for Swift URLSession; executes against the same endpoint and produces the same response. Variables are interpolated to their resolved values (not as literal '{{var}}'); secrets are masked or warning shown when copying.</t>
        </is>
      </c>
      <c r="J3332" s="16" t="inlineStr"/>
      <c r="K3332" s="16" t="inlineStr">
        <is>
          <t>Not Run</t>
        </is>
      </c>
      <c r="L3332" s="16" t="inlineStr">
        <is>
          <t>Low</t>
        </is>
      </c>
      <c r="M3332" s="16" t="inlineStr"/>
      <c r="N3332" s="16" t="inlineStr"/>
      <c r="O3332" s="16" t="inlineStr"/>
    </row>
    <row r="3333" ht="72" customHeight="1">
      <c r="A3333" s="16" t="inlineStr">
        <is>
          <t>TC-CG-0226</t>
        </is>
      </c>
      <c r="B3333" s="16" t="inlineStr">
        <is>
          <t>Code Generation</t>
        </is>
      </c>
      <c r="C3333" s="16" t="inlineStr">
        <is>
          <t>Swift URLSession</t>
        </is>
      </c>
      <c r="D3333" s="16" t="inlineStr">
        <is>
          <t>Functional</t>
        </is>
      </c>
      <c r="E3333" s="16" t="inlineStr">
        <is>
          <t>Codegen Swift URLSession: File upload</t>
        </is>
      </c>
      <c r="F3333" s="16" t="inlineStr">
        <is>
          <t>-</t>
        </is>
      </c>
      <c r="G3333" s="16" t="inlineStr">
        <is>
          <t>1. Set up request shape: Binary.
2. Generate code for Swift URLSession (UI Copy-as / MCP generate.code).
3. Run the generated snippet in a Swift URLSession runtime against the same endpoint.</t>
        </is>
      </c>
      <c r="H3333" s="16" t="inlineStr">
        <is>
          <t>lang=Swift URLSession shape=File upload</t>
        </is>
      </c>
      <c r="I3333" s="16" t="inlineStr">
        <is>
          <t>Generated code is syntactically valid for Swift URLSession; executes against the same endpoint and produces the same response. Variables are interpolated to their resolved values (not as literal '{{var}}'); secrets are masked or warning shown when copying.</t>
        </is>
      </c>
      <c r="J3333" s="16" t="inlineStr"/>
      <c r="K3333" s="16" t="inlineStr">
        <is>
          <t>Not Run</t>
        </is>
      </c>
      <c r="L3333" s="16" t="inlineStr">
        <is>
          <t>Low</t>
        </is>
      </c>
      <c r="M3333" s="16" t="inlineStr"/>
      <c r="N3333" s="16" t="inlineStr"/>
      <c r="O3333" s="16" t="inlineStr"/>
    </row>
    <row r="3334" ht="72" customHeight="1">
      <c r="A3334" s="16" t="inlineStr">
        <is>
          <t>TC-CG-0227</t>
        </is>
      </c>
      <c r="B3334" s="16" t="inlineStr">
        <is>
          <t>Code Generation</t>
        </is>
      </c>
      <c r="C3334" s="16" t="inlineStr">
        <is>
          <t>Swift URLSession</t>
        </is>
      </c>
      <c r="D3334" s="16" t="inlineStr">
        <is>
          <t>Functional</t>
        </is>
      </c>
      <c r="E3334" s="16" t="inlineStr">
        <is>
          <t>Codegen Swift URLSession: GraphQL</t>
        </is>
      </c>
      <c r="F3334" s="16" t="inlineStr">
        <is>
          <t>-</t>
        </is>
      </c>
      <c r="G3334" s="16" t="inlineStr">
        <is>
          <t>1. Set up request shape: Query + variables.
2. Generate code for Swift URLSession (UI Copy-as / MCP generate.code).
3. Run the generated snippet in a Swift URLSession runtime against the same endpoint.</t>
        </is>
      </c>
      <c r="H3334" s="16" t="inlineStr">
        <is>
          <t>lang=Swift URLSession shape=GraphQL</t>
        </is>
      </c>
      <c r="I3334" s="16" t="inlineStr">
        <is>
          <t>Generated code is syntactically valid for Swift URLSession; executes against the same endpoint and produces the same response. Variables are interpolated to their resolved values (not as literal '{{var}}'); secrets are masked or warning shown when copying.</t>
        </is>
      </c>
      <c r="J3334" s="16" t="inlineStr"/>
      <c r="K3334" s="16" t="inlineStr">
        <is>
          <t>Not Run</t>
        </is>
      </c>
      <c r="L3334" s="16" t="inlineStr">
        <is>
          <t>Low</t>
        </is>
      </c>
      <c r="M3334" s="16" t="inlineStr"/>
      <c r="N3334" s="16" t="inlineStr"/>
      <c r="O3334" s="16" t="inlineStr"/>
    </row>
    <row r="3335" ht="72" customHeight="1">
      <c r="A3335" s="16" t="inlineStr">
        <is>
          <t>TC-CG-0228</t>
        </is>
      </c>
      <c r="B3335" s="16" t="inlineStr">
        <is>
          <t>Code Generation</t>
        </is>
      </c>
      <c r="C3335" s="16" t="inlineStr">
        <is>
          <t>Swift URLSession</t>
        </is>
      </c>
      <c r="D3335" s="16" t="inlineStr">
        <is>
          <t>Functional</t>
        </is>
      </c>
      <c r="E3335" s="16" t="inlineStr">
        <is>
          <t>Codegen Swift URLSession: Bearer auth</t>
        </is>
      </c>
      <c r="F3335" s="16" t="inlineStr">
        <is>
          <t>-</t>
        </is>
      </c>
      <c r="G3335" s="16" t="inlineStr">
        <is>
          <t>1. Set up request shape: Authorization header.
2. Generate code for Swift URLSession (UI Copy-as / MCP generate.code).
3. Run the generated snippet in a Swift URLSession runtime against the same endpoint.</t>
        </is>
      </c>
      <c r="H3335" s="16" t="inlineStr">
        <is>
          <t>lang=Swift URLSession shape=Bearer auth</t>
        </is>
      </c>
      <c r="I3335" s="16" t="inlineStr">
        <is>
          <t>Generated code is syntactically valid for Swift URLSession; executes against the same endpoint and produces the same response. Variables are interpolated to their resolved values (not as literal '{{var}}'); secrets are masked or warning shown when copying.</t>
        </is>
      </c>
      <c r="J3335" s="16" t="inlineStr"/>
      <c r="K3335" s="16" t="inlineStr">
        <is>
          <t>Not Run</t>
        </is>
      </c>
      <c r="L3335" s="16" t="inlineStr">
        <is>
          <t>Low</t>
        </is>
      </c>
      <c r="M3335" s="16" t="inlineStr"/>
      <c r="N3335" s="16" t="inlineStr"/>
      <c r="O3335" s="16" t="inlineStr"/>
    </row>
    <row r="3336" ht="72" customHeight="1">
      <c r="A3336" s="16" t="inlineStr">
        <is>
          <t>TC-CG-0229</t>
        </is>
      </c>
      <c r="B3336" s="16" t="inlineStr">
        <is>
          <t>Code Generation</t>
        </is>
      </c>
      <c r="C3336" s="16" t="inlineStr">
        <is>
          <t>Swift URLSession</t>
        </is>
      </c>
      <c r="D3336" s="16" t="inlineStr">
        <is>
          <t>Functional</t>
        </is>
      </c>
      <c r="E3336" s="16" t="inlineStr">
        <is>
          <t>Codegen Swift URLSession: Basic auth</t>
        </is>
      </c>
      <c r="F3336" s="16" t="inlineStr">
        <is>
          <t>-</t>
        </is>
      </c>
      <c r="G3336" s="16" t="inlineStr">
        <is>
          <t>1. Set up request shape: user:pass.
2. Generate code for Swift URLSession (UI Copy-as / MCP generate.code).
3. Run the generated snippet in a Swift URLSession runtime against the same endpoint.</t>
        </is>
      </c>
      <c r="H3336" s="16" t="inlineStr">
        <is>
          <t>lang=Swift URLSession shape=Basic auth</t>
        </is>
      </c>
      <c r="I3336" s="16" t="inlineStr">
        <is>
          <t>Generated code is syntactically valid for Swift URLSession; executes against the same endpoint and produces the same response. Variables are interpolated to their resolved values (not as literal '{{var}}'); secrets are masked or warning shown when copying.</t>
        </is>
      </c>
      <c r="J3336" s="16" t="inlineStr"/>
      <c r="K3336" s="16" t="inlineStr">
        <is>
          <t>Not Run</t>
        </is>
      </c>
      <c r="L3336" s="16" t="inlineStr">
        <is>
          <t>Low</t>
        </is>
      </c>
      <c r="M3336" s="16" t="inlineStr"/>
      <c r="N3336" s="16" t="inlineStr"/>
      <c r="O3336" s="16" t="inlineStr"/>
    </row>
    <row r="3337" ht="72" customHeight="1">
      <c r="A3337" s="16" t="inlineStr">
        <is>
          <t>TC-CG-0230</t>
        </is>
      </c>
      <c r="B3337" s="16" t="inlineStr">
        <is>
          <t>Code Generation</t>
        </is>
      </c>
      <c r="C3337" s="16" t="inlineStr">
        <is>
          <t>Swift URLSession</t>
        </is>
      </c>
      <c r="D3337" s="16" t="inlineStr">
        <is>
          <t>Functional</t>
        </is>
      </c>
      <c r="E3337" s="16" t="inlineStr">
        <is>
          <t>Codegen Swift URLSession: API Key header</t>
        </is>
      </c>
      <c r="F3337" s="16" t="inlineStr">
        <is>
          <t>-</t>
        </is>
      </c>
      <c r="G3337" s="16" t="inlineStr">
        <is>
          <t>1. Set up request shape: Custom header.
2. Generate code for Swift URLSession (UI Copy-as / MCP generate.code).
3. Run the generated snippet in a Swift URLSession runtime against the same endpoint.</t>
        </is>
      </c>
      <c r="H3337" s="16" t="inlineStr">
        <is>
          <t>lang=Swift URLSession shape=API Key header</t>
        </is>
      </c>
      <c r="I3337" s="16" t="inlineStr">
        <is>
          <t>Generated code is syntactically valid for Swift URLSession; executes against the same endpoint and produces the same response. Variables are interpolated to their resolved values (not as literal '{{var}}'); secrets are masked or warning shown when copying.</t>
        </is>
      </c>
      <c r="J3337" s="16" t="inlineStr"/>
      <c r="K3337" s="16" t="inlineStr">
        <is>
          <t>Not Run</t>
        </is>
      </c>
      <c r="L3337" s="16" t="inlineStr">
        <is>
          <t>Low</t>
        </is>
      </c>
      <c r="M3337" s="16" t="inlineStr"/>
      <c r="N3337" s="16" t="inlineStr"/>
      <c r="O3337" s="16" t="inlineStr"/>
    </row>
    <row r="3338" ht="72" customHeight="1">
      <c r="A3338" s="16" t="inlineStr">
        <is>
          <t>TC-CG-0231</t>
        </is>
      </c>
      <c r="B3338" s="16" t="inlineStr">
        <is>
          <t>Code Generation</t>
        </is>
      </c>
      <c r="C3338" s="16" t="inlineStr">
        <is>
          <t>Swift URLSession</t>
        </is>
      </c>
      <c r="D3338" s="16" t="inlineStr">
        <is>
          <t>Functional</t>
        </is>
      </c>
      <c r="E3338" s="16" t="inlineStr">
        <is>
          <t>Codegen Swift URLSession: API Key query</t>
        </is>
      </c>
      <c r="F3338" s="16" t="inlineStr">
        <is>
          <t>-</t>
        </is>
      </c>
      <c r="G3338" s="16" t="inlineStr">
        <is>
          <t>1. Set up request shape: Query param.
2. Generate code for Swift URLSession (UI Copy-as / MCP generate.code).
3. Run the generated snippet in a Swift URLSession runtime against the same endpoint.</t>
        </is>
      </c>
      <c r="H3338" s="16" t="inlineStr">
        <is>
          <t>lang=Swift URLSession shape=API Key query</t>
        </is>
      </c>
      <c r="I3338" s="16" t="inlineStr">
        <is>
          <t>Generated code is syntactically valid for Swift URLSession; executes against the same endpoint and produces the same response. Variables are interpolated to their resolved values (not as literal '{{var}}'); secrets are masked or warning shown when copying.</t>
        </is>
      </c>
      <c r="J3338" s="16" t="inlineStr"/>
      <c r="K3338" s="16" t="inlineStr">
        <is>
          <t>Not Run</t>
        </is>
      </c>
      <c r="L3338" s="16" t="inlineStr">
        <is>
          <t>Low</t>
        </is>
      </c>
      <c r="M3338" s="16" t="inlineStr"/>
      <c r="N3338" s="16" t="inlineStr"/>
      <c r="O3338" s="16" t="inlineStr"/>
    </row>
    <row r="3339" ht="72" customHeight="1">
      <c r="A3339" s="16" t="inlineStr">
        <is>
          <t>TC-CG-0232</t>
        </is>
      </c>
      <c r="B3339" s="16" t="inlineStr">
        <is>
          <t>Code Generation</t>
        </is>
      </c>
      <c r="C3339" s="16" t="inlineStr">
        <is>
          <t>Swift URLSession</t>
        </is>
      </c>
      <c r="D3339" s="16" t="inlineStr">
        <is>
          <t>Functional</t>
        </is>
      </c>
      <c r="E3339" s="16" t="inlineStr">
        <is>
          <t>Codegen Swift URLSession: OAuth2 (with token)</t>
        </is>
      </c>
      <c r="F3339" s="16" t="inlineStr">
        <is>
          <t>-</t>
        </is>
      </c>
      <c r="G3339" s="16" t="inlineStr">
        <is>
          <t>1. Set up request shape: Token attached.
2. Generate code for Swift URLSession (UI Copy-as / MCP generate.code).
3. Run the generated snippet in a Swift URLSession runtime against the same endpoint.</t>
        </is>
      </c>
      <c r="H3339" s="16" t="inlineStr">
        <is>
          <t>lang=Swift URLSession shape=OAuth2 (with token)</t>
        </is>
      </c>
      <c r="I3339" s="16" t="inlineStr">
        <is>
          <t>Generated code is syntactically valid for Swift URLSession; executes against the same endpoint and produces the same response. Variables are interpolated to their resolved values (not as literal '{{var}}'); secrets are masked or warning shown when copying.</t>
        </is>
      </c>
      <c r="J3339" s="16" t="inlineStr"/>
      <c r="K3339" s="16" t="inlineStr">
        <is>
          <t>Not Run</t>
        </is>
      </c>
      <c r="L3339" s="16" t="inlineStr">
        <is>
          <t>Low</t>
        </is>
      </c>
      <c r="M3339" s="16" t="inlineStr"/>
      <c r="N3339" s="16" t="inlineStr"/>
      <c r="O3339" s="16" t="inlineStr"/>
    </row>
    <row r="3340" ht="72" customHeight="1">
      <c r="A3340" s="16" t="inlineStr">
        <is>
          <t>TC-CG-0233</t>
        </is>
      </c>
      <c r="B3340" s="16" t="inlineStr">
        <is>
          <t>Code Generation</t>
        </is>
      </c>
      <c r="C3340" s="16" t="inlineStr">
        <is>
          <t>Swift URLSession</t>
        </is>
      </c>
      <c r="D3340" s="16" t="inlineStr">
        <is>
          <t>Functional</t>
        </is>
      </c>
      <c r="E3340" s="16" t="inlineStr">
        <is>
          <t>Codegen Swift URLSession: AWS SigV4</t>
        </is>
      </c>
      <c r="F3340" s="16" t="inlineStr">
        <is>
          <t>-</t>
        </is>
      </c>
      <c r="G3340" s="16" t="inlineStr">
        <is>
          <t>1. Set up request shape: Signed request.
2. Generate code for Swift URLSession (UI Copy-as / MCP generate.code).
3. Run the generated snippet in a Swift URLSession runtime against the same endpoint.</t>
        </is>
      </c>
      <c r="H3340" s="16" t="inlineStr">
        <is>
          <t>lang=Swift URLSession shape=AWS SigV4</t>
        </is>
      </c>
      <c r="I3340" s="16" t="inlineStr">
        <is>
          <t>Generated code is syntactically valid for Swift URLSession; executes against the same endpoint and produces the same response. Variables are interpolated to their resolved values (not as literal '{{var}}'); secrets are masked or warning shown when copying.</t>
        </is>
      </c>
      <c r="J3340" s="16" t="inlineStr"/>
      <c r="K3340" s="16" t="inlineStr">
        <is>
          <t>Not Run</t>
        </is>
      </c>
      <c r="L3340" s="16" t="inlineStr">
        <is>
          <t>Low</t>
        </is>
      </c>
      <c r="M3340" s="16" t="inlineStr"/>
      <c r="N3340" s="16" t="inlineStr"/>
      <c r="O3340" s="16" t="inlineStr"/>
    </row>
    <row r="3341" ht="72" customHeight="1">
      <c r="A3341" s="16" t="inlineStr">
        <is>
          <t>TC-CG-0234</t>
        </is>
      </c>
      <c r="B3341" s="16" t="inlineStr">
        <is>
          <t>Code Generation</t>
        </is>
      </c>
      <c r="C3341" s="16" t="inlineStr">
        <is>
          <t>Swift URLSession</t>
        </is>
      </c>
      <c r="D3341" s="16" t="inlineStr">
        <is>
          <t>Functional</t>
        </is>
      </c>
      <c r="E3341" s="16" t="inlineStr">
        <is>
          <t>Codegen Swift URLSession: Custom headers</t>
        </is>
      </c>
      <c r="F3341" s="16" t="inlineStr">
        <is>
          <t>-</t>
        </is>
      </c>
      <c r="G3341" s="16" t="inlineStr">
        <is>
          <t>1. Set up request shape: User-set.
2. Generate code for Swift URLSession (UI Copy-as / MCP generate.code).
3. Run the generated snippet in a Swift URLSession runtime against the same endpoint.</t>
        </is>
      </c>
      <c r="H3341" s="16" t="inlineStr">
        <is>
          <t>lang=Swift URLSession shape=Custom headers</t>
        </is>
      </c>
      <c r="I3341" s="16" t="inlineStr">
        <is>
          <t>Generated code is syntactically valid for Swift URLSession; executes against the same endpoint and produces the same response. Variables are interpolated to their resolved values (not as literal '{{var}}'); secrets are masked or warning shown when copying.</t>
        </is>
      </c>
      <c r="J3341" s="16" t="inlineStr"/>
      <c r="K3341" s="16" t="inlineStr">
        <is>
          <t>Not Run</t>
        </is>
      </c>
      <c r="L3341" s="16" t="inlineStr">
        <is>
          <t>Low</t>
        </is>
      </c>
      <c r="M3341" s="16" t="inlineStr"/>
      <c r="N3341" s="16" t="inlineStr"/>
      <c r="O3341" s="16" t="inlineStr"/>
    </row>
    <row r="3342" ht="72" customHeight="1">
      <c r="A3342" s="16" t="inlineStr">
        <is>
          <t>TC-CG-0235</t>
        </is>
      </c>
      <c r="B3342" s="16" t="inlineStr">
        <is>
          <t>Code Generation</t>
        </is>
      </c>
      <c r="C3342" s="16" t="inlineStr">
        <is>
          <t>Swift URLSession</t>
        </is>
      </c>
      <c r="D3342" s="16" t="inlineStr">
        <is>
          <t>Functional</t>
        </is>
      </c>
      <c r="E3342" s="16" t="inlineStr">
        <is>
          <t>Codegen Swift URLSession: Path params</t>
        </is>
      </c>
      <c r="F3342" s="16" t="inlineStr">
        <is>
          <t>-</t>
        </is>
      </c>
      <c r="G3342" s="16" t="inlineStr">
        <is>
          <t>1. Set up request shape: URL with {id}.
2. Generate code for Swift URLSession (UI Copy-as / MCP generate.code).
3. Run the generated snippet in a Swift URLSession runtime against the same endpoint.</t>
        </is>
      </c>
      <c r="H3342" s="16" t="inlineStr">
        <is>
          <t>lang=Swift URLSession shape=Path params</t>
        </is>
      </c>
      <c r="I3342" s="16" t="inlineStr">
        <is>
          <t>Generated code is syntactically valid for Swift URLSession; executes against the same endpoint and produces the same response. Variables are interpolated to their resolved values (not as literal '{{var}}'); secrets are masked or warning shown when copying.</t>
        </is>
      </c>
      <c r="J3342" s="16" t="inlineStr"/>
      <c r="K3342" s="16" t="inlineStr">
        <is>
          <t>Not Run</t>
        </is>
      </c>
      <c r="L3342" s="16" t="inlineStr">
        <is>
          <t>Low</t>
        </is>
      </c>
      <c r="M3342" s="16" t="inlineStr"/>
      <c r="N3342" s="16" t="inlineStr"/>
      <c r="O3342" s="16" t="inlineStr"/>
    </row>
    <row r="3343" ht="72" customHeight="1">
      <c r="A3343" s="16" t="inlineStr">
        <is>
          <t>TC-CG-0236</t>
        </is>
      </c>
      <c r="B3343" s="16" t="inlineStr">
        <is>
          <t>Code Generation</t>
        </is>
      </c>
      <c r="C3343" s="16" t="inlineStr">
        <is>
          <t>Swift URLSession</t>
        </is>
      </c>
      <c r="D3343" s="16" t="inlineStr">
        <is>
          <t>Functional</t>
        </is>
      </c>
      <c r="E3343" s="16" t="inlineStr">
        <is>
          <t>Codegen Swift URLSession: Query params with arrays</t>
        </is>
      </c>
      <c r="F3343" s="16" t="inlineStr">
        <is>
          <t>-</t>
        </is>
      </c>
      <c r="G3343" s="16" t="inlineStr">
        <is>
          <t>1. Set up request shape: ?a=1&amp;a=2.
2. Generate code for Swift URLSession (UI Copy-as / MCP generate.code).
3. Run the generated snippet in a Swift URLSession runtime against the same endpoint.</t>
        </is>
      </c>
      <c r="H3343" s="16" t="inlineStr">
        <is>
          <t>lang=Swift URLSession shape=Query params with arrays</t>
        </is>
      </c>
      <c r="I3343" s="16" t="inlineStr">
        <is>
          <t>Generated code is syntactically valid for Swift URLSession; executes against the same endpoint and produces the same response. Variables are interpolated to their resolved values (not as literal '{{var}}'); secrets are masked or warning shown when copying.</t>
        </is>
      </c>
      <c r="J3343" s="16" t="inlineStr"/>
      <c r="K3343" s="16" t="inlineStr">
        <is>
          <t>Not Run</t>
        </is>
      </c>
      <c r="L3343" s="16" t="inlineStr">
        <is>
          <t>Low</t>
        </is>
      </c>
      <c r="M3343" s="16" t="inlineStr"/>
      <c r="N3343" s="16" t="inlineStr"/>
      <c r="O3343" s="16" t="inlineStr"/>
    </row>
    <row r="3344" ht="72" customHeight="1">
      <c r="A3344" s="16" t="inlineStr">
        <is>
          <t>TC-CG-0237</t>
        </is>
      </c>
      <c r="B3344" s="16" t="inlineStr">
        <is>
          <t>Code Generation</t>
        </is>
      </c>
      <c r="C3344" s="16" t="inlineStr">
        <is>
          <t>Swift URLSession</t>
        </is>
      </c>
      <c r="D3344" s="16" t="inlineStr">
        <is>
          <t>Functional</t>
        </is>
      </c>
      <c r="E3344" s="16" t="inlineStr">
        <is>
          <t>Codegen Swift URLSession: Cookies</t>
        </is>
      </c>
      <c r="F3344" s="16" t="inlineStr">
        <is>
          <t>-</t>
        </is>
      </c>
      <c r="G3344" s="16" t="inlineStr">
        <is>
          <t>1. Set up request shape: Cookie header.
2. Generate code for Swift URLSession (UI Copy-as / MCP generate.code).
3. Run the generated snippet in a Swift URLSession runtime against the same endpoint.</t>
        </is>
      </c>
      <c r="H3344" s="16" t="inlineStr">
        <is>
          <t>lang=Swift URLSession shape=Cookies</t>
        </is>
      </c>
      <c r="I3344" s="16" t="inlineStr">
        <is>
          <t>Generated code is syntactically valid for Swift URLSession; executes against the same endpoint and produces the same response. Variables are interpolated to their resolved values (not as literal '{{var}}'); secrets are masked or warning shown when copying.</t>
        </is>
      </c>
      <c r="J3344" s="16" t="inlineStr"/>
      <c r="K3344" s="16" t="inlineStr">
        <is>
          <t>Not Run</t>
        </is>
      </c>
      <c r="L3344" s="16" t="inlineStr">
        <is>
          <t>Low</t>
        </is>
      </c>
      <c r="M3344" s="16" t="inlineStr"/>
      <c r="N3344" s="16" t="inlineStr"/>
      <c r="O3344" s="16" t="inlineStr"/>
    </row>
    <row r="3345" ht="72" customHeight="1">
      <c r="A3345" s="16" t="inlineStr">
        <is>
          <t>TC-CG-0238</t>
        </is>
      </c>
      <c r="B3345" s="16" t="inlineStr">
        <is>
          <t>Code Generation</t>
        </is>
      </c>
      <c r="C3345" s="16" t="inlineStr">
        <is>
          <t>Swift URLSession</t>
        </is>
      </c>
      <c r="D3345" s="16" t="inlineStr">
        <is>
          <t>Functional</t>
        </is>
      </c>
      <c r="E3345" s="16" t="inlineStr">
        <is>
          <t>Codegen Swift URLSession: Variable interpolation</t>
        </is>
      </c>
      <c r="F3345" s="16" t="inlineStr">
        <is>
          <t>-</t>
        </is>
      </c>
      <c r="G3345" s="16" t="inlineStr">
        <is>
          <t>1. Set up request shape: Resolved values.
2. Generate code for Swift URLSession (UI Copy-as / MCP generate.code).
3. Run the generated snippet in a Swift URLSession runtime against the same endpoint.</t>
        </is>
      </c>
      <c r="H3345" s="16" t="inlineStr">
        <is>
          <t>lang=Swift URLSession shape=Variable interpolation</t>
        </is>
      </c>
      <c r="I3345" s="16" t="inlineStr">
        <is>
          <t>Generated code is syntactically valid for Swift URLSession; executes against the same endpoint and produces the same response. Variables are interpolated to their resolved values (not as literal '{{var}}'); secrets are masked or warning shown when copying.</t>
        </is>
      </c>
      <c r="J3345" s="16" t="inlineStr"/>
      <c r="K3345" s="16" t="inlineStr">
        <is>
          <t>Not Run</t>
        </is>
      </c>
      <c r="L3345" s="16" t="inlineStr">
        <is>
          <t>Low</t>
        </is>
      </c>
      <c r="M3345" s="16" t="inlineStr"/>
      <c r="N3345" s="16" t="inlineStr"/>
      <c r="O3345" s="16" t="inlineStr"/>
    </row>
    <row r="3346" ht="72" customHeight="1">
      <c r="A3346" s="16" t="inlineStr">
        <is>
          <t>TC-CG-0239</t>
        </is>
      </c>
      <c r="B3346" s="16" t="inlineStr">
        <is>
          <t>Code Generation</t>
        </is>
      </c>
      <c r="C3346" s="16" t="inlineStr">
        <is>
          <t>Edge</t>
        </is>
      </c>
      <c r="D3346" s="16" t="inlineStr">
        <is>
          <t>Security</t>
        </is>
      </c>
      <c r="E3346" s="16" t="inlineStr">
        <is>
          <t>Codegen redacts secret values when copying to clipboard</t>
        </is>
      </c>
      <c r="F3346" s="16" t="inlineStr">
        <is>
          <t>Bearer with secret token.</t>
        </is>
      </c>
      <c r="G3346" s="16" t="inlineStr">
        <is>
          <t>1. Copy as curl/axios.</t>
        </is>
      </c>
      <c r="H3346" s="16" t="inlineStr">
        <is>
          <t>-</t>
        </is>
      </c>
      <c r="I3346" s="16" t="inlineStr">
        <is>
          <t>Token masked in clipboard preview; full token may be included if user explicitly confirmed.</t>
        </is>
      </c>
      <c r="J3346" s="16" t="inlineStr"/>
      <c r="K3346" s="16" t="inlineStr">
        <is>
          <t>Not Run</t>
        </is>
      </c>
      <c r="L3346" s="16" t="inlineStr">
        <is>
          <t>High</t>
        </is>
      </c>
      <c r="M3346" s="16" t="inlineStr"/>
      <c r="N3346" s="16" t="inlineStr"/>
      <c r="O3346" s="16" t="inlineStr"/>
    </row>
    <row r="3347" ht="72" customHeight="1">
      <c r="A3347" s="16" t="inlineStr">
        <is>
          <t>TC-CG-0240</t>
        </is>
      </c>
      <c r="B3347" s="16" t="inlineStr">
        <is>
          <t>Code Generation</t>
        </is>
      </c>
      <c r="C3347" s="16" t="inlineStr">
        <is>
          <t>Edge</t>
        </is>
      </c>
      <c r="D3347" s="16" t="inlineStr">
        <is>
          <t>Edge Case</t>
        </is>
      </c>
      <c r="E3347" s="16" t="inlineStr">
        <is>
          <t>Codegen handles binary body via file path placeholder</t>
        </is>
      </c>
      <c r="F3347" s="16" t="inlineStr">
        <is>
          <t>Binary body.</t>
        </is>
      </c>
      <c r="G3347" s="16" t="inlineStr">
        <is>
          <t>1. Generate curl.</t>
        </is>
      </c>
      <c r="H3347" s="16" t="inlineStr">
        <is>
          <t>-</t>
        </is>
      </c>
      <c r="I3347" s="16" t="inlineStr">
        <is>
          <t>curl --data-binary @/path/to/file or language-specific equivalent.</t>
        </is>
      </c>
      <c r="J3347" s="16" t="inlineStr"/>
      <c r="K3347" s="16" t="inlineStr">
        <is>
          <t>Not Run</t>
        </is>
      </c>
      <c r="L3347" s="16" t="inlineStr">
        <is>
          <t>Medium</t>
        </is>
      </c>
      <c r="M3347" s="16" t="inlineStr"/>
      <c r="N3347" s="16" t="inlineStr"/>
      <c r="O3347" s="16" t="inlineStr"/>
    </row>
    <row r="3348" ht="72" customHeight="1">
      <c r="A3348" s="16" t="inlineStr">
        <is>
          <t>TC-CG-0241</t>
        </is>
      </c>
      <c r="B3348" s="16" t="inlineStr">
        <is>
          <t>Code Generation</t>
        </is>
      </c>
      <c r="C3348" s="16" t="inlineStr">
        <is>
          <t>Edge</t>
        </is>
      </c>
      <c r="D3348" s="16" t="inlineStr">
        <is>
          <t>Edge Case</t>
        </is>
      </c>
      <c r="E3348" s="16" t="inlineStr">
        <is>
          <t>Codegen for GraphQL preserves query+variables</t>
        </is>
      </c>
      <c r="F3348" s="16" t="inlineStr">
        <is>
          <t>GraphQL.</t>
        </is>
      </c>
      <c r="G3348" s="16" t="inlineStr">
        <is>
          <t>1. Generate.</t>
        </is>
      </c>
      <c r="H3348" s="16" t="inlineStr">
        <is>
          <t>-</t>
        </is>
      </c>
      <c r="I3348" s="16" t="inlineStr">
        <is>
          <t>Body has both fields; correct quoting.</t>
        </is>
      </c>
      <c r="J3348" s="16" t="inlineStr"/>
      <c r="K3348" s="16" t="inlineStr">
        <is>
          <t>Not Run</t>
        </is>
      </c>
      <c r="L3348" s="16" t="inlineStr">
        <is>
          <t>Medium</t>
        </is>
      </c>
      <c r="M3348" s="16" t="inlineStr"/>
      <c r="N3348" s="16" t="inlineStr"/>
      <c r="O3348" s="16" t="inlineStr"/>
    </row>
    <row r="3349" ht="72" customHeight="1">
      <c r="A3349" s="16" t="inlineStr">
        <is>
          <t>TC-CG-0242</t>
        </is>
      </c>
      <c r="B3349" s="16" t="inlineStr">
        <is>
          <t>Code Generation</t>
        </is>
      </c>
      <c r="C3349" s="16" t="inlineStr">
        <is>
          <t>Edge</t>
        </is>
      </c>
      <c r="D3349" s="16" t="inlineStr">
        <is>
          <t>Edge Case</t>
        </is>
      </c>
      <c r="E3349" s="16" t="inlineStr">
        <is>
          <t>Codegen for AWS SigV4 includes signing helper or note</t>
        </is>
      </c>
      <c r="F3349" s="16" t="inlineStr">
        <is>
          <t>AWS request.</t>
        </is>
      </c>
      <c r="G3349" s="16" t="inlineStr">
        <is>
          <t>1. Generate.</t>
        </is>
      </c>
      <c r="H3349" s="16" t="inlineStr">
        <is>
          <t>-</t>
        </is>
      </c>
      <c r="I3349" s="16" t="inlineStr">
        <is>
          <t>Either uses SDK call or includes inline signing; not just hardcoded signature.</t>
        </is>
      </c>
      <c r="J3349" s="16" t="inlineStr"/>
      <c r="K3349" s="16" t="inlineStr">
        <is>
          <t>Not Run</t>
        </is>
      </c>
      <c r="L3349" s="16" t="inlineStr">
        <is>
          <t>Medium</t>
        </is>
      </c>
      <c r="M3349" s="16" t="inlineStr"/>
      <c r="N3349" s="16" t="inlineStr"/>
      <c r="O3349" s="16" t="inlineStr"/>
    </row>
  </sheetData>
  <autoFilter ref="A1:O3349"/>
  <conditionalFormatting sqref="K2:K3349">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fRule type="cellIs" priority="5" operator="equal" dxfId="4">
      <formula>"Skipped"</formula>
    </cfRule>
  </conditionalFormatting>
  <conditionalFormatting sqref="L2:L3349">
    <cfRule type="cellIs" priority="6" operator="equal" dxfId="5">
      <formula>"High"</formula>
    </cfRule>
    <cfRule type="cellIs" priority="7" operator="equal" dxfId="6">
      <formula>"Medium"</formula>
    </cfRule>
    <cfRule type="cellIs" priority="8" operator="equal" dxfId="7">
      <formula>"Low"</formula>
    </cfRule>
  </conditionalFormatting>
  <dataValidations count="3">
    <dataValidation sqref="K2:K3349" showDropDown="0" showInputMessage="0" showErrorMessage="0" allowBlank="1" errorTitle="Invalid status" error="Choose one of: Pass, Fail, Blocked, Skipped, Not Run" type="list">
      <formula1>"Pass,Fail,Blocked,Skipped,Not Run"</formula1>
    </dataValidation>
    <dataValidation sqref="L2:L3349" showDropDown="0" showInputMessage="0" showErrorMessage="0" allowBlank="1" type="list">
      <formula1>"High,Medium,Low"</formula1>
    </dataValidation>
    <dataValidation sqref="D2:D3349" showDropDown="0" showInputMessage="0" showErrorMessage="0" allowBlank="1" type="list">
      <formula1>"Functional,Negative,Edge Case,Security,A11y,Performance,Compatibility,UX/UI,Regression"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2026-05-14T05:58:05Z</dcterms:created>
  <dcterms:modified xmlns:dcterms="http://purl.org/dc/terms/" xmlns:xsi="http://www.w3.org/2001/XMLSchema-instance" xsi:type="dcterms:W3CDTF">2026-05-14T12:00:45Z</dcterms:modified>
</cp:coreProperties>
</file>