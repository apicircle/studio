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Test Cases" sheetId="3" state="visible" r:id="rId3"/>
  </sheets>
  <definedNames>
    <definedName name="_xlnm._FilterDatabase" localSheetId="2" hidden="1">'Test Cases'!$A$1:$O$313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0.0%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6D28D9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APICircle Studio — Web App Manual Test Cases</t>
        </is>
      </c>
    </row>
    <row r="2">
      <c r="A2" s="2" t="inlineStr">
        <is>
          <t>Platform</t>
        </is>
      </c>
      <c r="B2" s="3" t="inlineStr">
        <is>
          <t>web</t>
        </is>
      </c>
    </row>
    <row r="3">
      <c r="A3" s="2" t="inlineStr">
        <is>
          <t>Document owner</t>
        </is>
      </c>
      <c r="B3" s="3" t="inlineStr">
        <is>
          <t>QA Engineering</t>
        </is>
      </c>
    </row>
    <row r="4">
      <c r="A4" s="2" t="inlineStr">
        <is>
          <t>Build under test</t>
        </is>
      </c>
      <c r="B4" s="3" t="inlineStr">
        <is>
          <t>Fill in version before each cycle (top bar shows current).</t>
        </is>
      </c>
    </row>
    <row r="5">
      <c r="A5" s="2" t="inlineStr">
        <is>
          <t>Test environment</t>
        </is>
      </c>
      <c r="B5" s="3" t="inlineStr">
        <is>
          <t>OS, browser/Electron version, network speed, vault state.</t>
        </is>
      </c>
    </row>
    <row r="6">
      <c r="A6" s="2" t="inlineStr">
        <is>
          <t>Last updated</t>
        </is>
      </c>
      <c r="B6" s="3" t="inlineStr">
        <is>
          <t>2026-05-14</t>
        </is>
      </c>
    </row>
    <row r="7">
      <c r="A7" s="2" t="inlineStr">
        <is>
          <t>Total test cases</t>
        </is>
      </c>
      <c r="B7" s="3" t="inlineStr">
        <is>
          <t>312</t>
        </is>
      </c>
    </row>
    <row r="8">
      <c r="A8" s="2" t="inlineStr"/>
      <c r="B8" s="3" t="inlineStr"/>
    </row>
    <row r="9">
      <c r="A9" s="2" t="inlineStr">
        <is>
          <t>Scope</t>
        </is>
      </c>
      <c r="B9" s="3" t="inlineStr">
        <is>
          <t>These test cases cover the APICircle Studio web build (apps/web). OAuth2 uses popup + BroadcastChannel relay. Mock-server runtime is disabled (definitions are still editable). All data is persisted in IndexedDB; secrets are encrypted via passphrase-derived AES-GCM with the master JWK stored wrapped in IndexedDB.</t>
        </is>
      </c>
    </row>
    <row r="10">
      <c r="A10" s="2" t="inlineStr"/>
      <c r="B10" s="3" t="inlineStr"/>
    </row>
    <row r="11">
      <c r="A11" s="2" t="inlineStr">
        <is>
          <t>How to use this workbook</t>
        </is>
      </c>
      <c r="B11" s="3" t="inlineStr"/>
    </row>
    <row r="12">
      <c r="A12" s="2" t="inlineStr">
        <is>
          <t>1.</t>
        </is>
      </c>
      <c r="B12" s="3" t="inlineStr">
        <is>
          <t>Open the 'Test Cases' sheet. Filters are enabled on every column.</t>
        </is>
      </c>
    </row>
    <row r="13">
      <c r="A13" s="2" t="inlineStr">
        <is>
          <t>2.</t>
        </is>
      </c>
      <c r="B13" s="3" t="inlineStr">
        <is>
          <t>Pick a module (column B), Test Type (column D), or priority (column L) to scope your session.</t>
        </is>
      </c>
    </row>
    <row r="14">
      <c r="A14" s="2" t="inlineStr">
        <is>
          <t>3.</t>
        </is>
      </c>
      <c r="B14" s="3" t="inlineStr">
        <is>
          <t>For each row, follow the steps in 'Test Steps' (column G) using 'Test Data' (column H).</t>
        </is>
      </c>
    </row>
    <row r="15">
      <c r="A15" s="2" t="inlineStr">
        <is>
          <t>4.</t>
        </is>
      </c>
      <c r="B15" s="3" t="inlineStr">
        <is>
          <t>Compare what you see against 'Expected Result' (column I).</t>
        </is>
      </c>
    </row>
    <row r="16">
      <c r="A16" s="2" t="inlineStr">
        <is>
          <t>5.</t>
        </is>
      </c>
      <c r="B16" s="3" t="inlineStr">
        <is>
          <t>Record what you saw in 'Actual Result' (column J).</t>
        </is>
      </c>
    </row>
    <row r="17">
      <c r="A17" s="2" t="inlineStr">
        <is>
          <t>6.</t>
        </is>
      </c>
      <c r="B17" s="3" t="inlineStr">
        <is>
          <t>Set 'Status' (column K) to Pass / Fail / Blocked / Skipped / Not Run.</t>
        </is>
      </c>
    </row>
    <row r="18">
      <c r="A18" s="2" t="inlineStr">
        <is>
          <t>7.</t>
        </is>
      </c>
      <c r="B18" s="3" t="inlineStr">
        <is>
          <t>Add 'Tester' (column M), 'Test Date' (column N), and a defect link in 'Notes' (column O) on failure.</t>
        </is>
      </c>
    </row>
    <row r="19">
      <c r="A19" s="2" t="inlineStr"/>
      <c r="B19" s="3" t="inlineStr"/>
    </row>
    <row r="20">
      <c r="A20" s="2" t="inlineStr">
        <is>
          <t>Status values</t>
        </is>
      </c>
      <c r="B20" s="3" t="inlineStr">
        <is>
          <t>Pass, Fail, Blocked, Skipped, Not Run (drop-down on every row)</t>
        </is>
      </c>
    </row>
    <row r="21">
      <c r="A21" s="2" t="inlineStr">
        <is>
          <t>Priority values</t>
        </is>
      </c>
      <c r="B21" s="3" t="inlineStr">
        <is>
          <t>High, Medium, Low</t>
        </is>
      </c>
    </row>
    <row r="22">
      <c r="A22" s="2" t="inlineStr">
        <is>
          <t>Test Type values</t>
        </is>
      </c>
      <c r="B22" s="3" t="inlineStr">
        <is>
          <t>Functional, Negative, Edge Case, Security, Accessibility (A11y), Performance, Compatibility, UX/UI, Regression</t>
        </is>
      </c>
    </row>
    <row r="23">
      <c r="A23" s="2" t="inlineStr"/>
      <c r="B23" s="3" t="inlineStr"/>
    </row>
    <row r="24">
      <c r="A24" s="2" t="inlineStr">
        <is>
          <t>Summary dashboard</t>
        </is>
      </c>
      <c r="B24" s="3" t="inlineStr">
        <is>
          <t>The 'Summary' sheet auto-aggregates counts by module, priority, and test type via formulas. Do not edit it manually.</t>
        </is>
      </c>
    </row>
    <row r="25">
      <c r="A25" s="2" t="inlineStr"/>
      <c r="B25" s="3" t="inlineStr"/>
    </row>
    <row r="26">
      <c r="A26" s="2" t="inlineStr">
        <is>
          <t>Adding test cases</t>
        </is>
      </c>
      <c r="B26" s="3" t="inlineStr">
        <is>
          <t>Insert new rows above the bottom; continue the sequence in column A (e.g., TC-WS-018). Keep the auto-filter range intact.</t>
        </is>
      </c>
    </row>
    <row r="27">
      <c r="A27" s="2" t="inlineStr">
        <is>
          <t>Defect tracking</t>
        </is>
      </c>
      <c r="B27" s="3" t="inlineStr">
        <is>
          <t>Use column O to link the issue tracker (GitHub Issues, Linear, etc.) for failed rows.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Test Execution Summary — Web</t>
        </is>
      </c>
    </row>
    <row r="3">
      <c r="A3" s="4" t="inlineStr">
        <is>
          <t>Module</t>
        </is>
      </c>
      <c r="B3" s="4" t="inlineStr">
        <is>
          <t>Total</t>
        </is>
      </c>
      <c r="C3" s="4" t="inlineStr">
        <is>
          <t>Not Run</t>
        </is>
      </c>
      <c r="D3" s="4" t="inlineStr">
        <is>
          <t>Pass</t>
        </is>
      </c>
      <c r="E3" s="4" t="inlineStr">
        <is>
          <t>Fail</t>
        </is>
      </c>
      <c r="F3" s="4" t="inlineStr">
        <is>
          <t>Blocked</t>
        </is>
      </c>
      <c r="G3" s="4" t="inlineStr">
        <is>
          <t>Skipped</t>
        </is>
      </c>
      <c r="H3" s="4" t="inlineStr">
        <is>
          <t>Pass %</t>
        </is>
      </c>
    </row>
    <row r="4">
      <c r="A4" s="5" t="inlineStr">
        <is>
          <t>Workspace Management</t>
        </is>
      </c>
      <c r="B4" s="6">
        <f>COUNTIF('Test Cases'!B:B,"Workspace Management")</f>
        <v/>
      </c>
      <c r="C4" s="6">
        <f>COUNTIFS('Test Cases'!B:B,"Workspace Management",'Test Cases'!K:K,"Not Run")</f>
        <v/>
      </c>
      <c r="D4" s="6">
        <f>COUNTIFS('Test Cases'!B:B,"Workspace Management",'Test Cases'!K:K,"Pass")</f>
        <v/>
      </c>
      <c r="E4" s="6">
        <f>COUNTIFS('Test Cases'!B:B,"Workspace Management",'Test Cases'!K:K,"Fail")</f>
        <v/>
      </c>
      <c r="F4" s="6">
        <f>COUNTIFS('Test Cases'!B:B,"Workspace Management",'Test Cases'!K:K,"Blocked")</f>
        <v/>
      </c>
      <c r="G4" s="6">
        <f>COUNTIFS('Test Cases'!B:B,"Workspace Management",'Test Cases'!K:K,"Skipped")</f>
        <v/>
      </c>
      <c r="H4" s="7">
        <f>IFERROR(D4/(D4+E4),"-")</f>
        <v/>
      </c>
    </row>
    <row r="5">
      <c r="A5" s="5" t="inlineStr">
        <is>
          <t>Collections &amp; Requests</t>
        </is>
      </c>
      <c r="B5" s="6">
        <f>COUNTIF('Test Cases'!B:B,"Collections &amp; Requests")</f>
        <v/>
      </c>
      <c r="C5" s="6">
        <f>COUNTIFS('Test Cases'!B:B,"Collections &amp; Requests",'Test Cases'!K:K,"Not Run")</f>
        <v/>
      </c>
      <c r="D5" s="6">
        <f>COUNTIFS('Test Cases'!B:B,"Collections &amp; Requests",'Test Cases'!K:K,"Pass")</f>
        <v/>
      </c>
      <c r="E5" s="6">
        <f>COUNTIFS('Test Cases'!B:B,"Collections &amp; Requests",'Test Cases'!K:K,"Fail")</f>
        <v/>
      </c>
      <c r="F5" s="6">
        <f>COUNTIFS('Test Cases'!B:B,"Collections &amp; Requests",'Test Cases'!K:K,"Blocked")</f>
        <v/>
      </c>
      <c r="G5" s="6">
        <f>COUNTIFS('Test Cases'!B:B,"Collections &amp; Requests",'Test Cases'!K:K,"Skipped")</f>
        <v/>
      </c>
      <c r="H5" s="7">
        <f>IFERROR(D5/(D5+E5),"-")</f>
        <v/>
      </c>
    </row>
    <row r="6">
      <c r="A6" s="5" t="inlineStr">
        <is>
          <t>Request Editor</t>
        </is>
      </c>
      <c r="B6" s="6">
        <f>COUNTIF('Test Cases'!B:B,"Request Editor")</f>
        <v/>
      </c>
      <c r="C6" s="6">
        <f>COUNTIFS('Test Cases'!B:B,"Request Editor",'Test Cases'!K:K,"Not Run")</f>
        <v/>
      </c>
      <c r="D6" s="6">
        <f>COUNTIFS('Test Cases'!B:B,"Request Editor",'Test Cases'!K:K,"Pass")</f>
        <v/>
      </c>
      <c r="E6" s="6">
        <f>COUNTIFS('Test Cases'!B:B,"Request Editor",'Test Cases'!K:K,"Fail")</f>
        <v/>
      </c>
      <c r="F6" s="6">
        <f>COUNTIFS('Test Cases'!B:B,"Request Editor",'Test Cases'!K:K,"Blocked")</f>
        <v/>
      </c>
      <c r="G6" s="6">
        <f>COUNTIFS('Test Cases'!B:B,"Request Editor",'Test Cases'!K:K,"Skipped")</f>
        <v/>
      </c>
      <c r="H6" s="7">
        <f>IFERROR(D6/(D6+E6),"-")</f>
        <v/>
      </c>
    </row>
    <row r="7">
      <c r="A7" s="5" t="inlineStr">
        <is>
          <t>Body Editor</t>
        </is>
      </c>
      <c r="B7" s="6">
        <f>COUNTIF('Test Cases'!B:B,"Body Editor")</f>
        <v/>
      </c>
      <c r="C7" s="6">
        <f>COUNTIFS('Test Cases'!B:B,"Body Editor",'Test Cases'!K:K,"Not Run")</f>
        <v/>
      </c>
      <c r="D7" s="6">
        <f>COUNTIFS('Test Cases'!B:B,"Body Editor",'Test Cases'!K:K,"Pass")</f>
        <v/>
      </c>
      <c r="E7" s="6">
        <f>COUNTIFS('Test Cases'!B:B,"Body Editor",'Test Cases'!K:K,"Fail")</f>
        <v/>
      </c>
      <c r="F7" s="6">
        <f>COUNTIFS('Test Cases'!B:B,"Body Editor",'Test Cases'!K:K,"Blocked")</f>
        <v/>
      </c>
      <c r="G7" s="6">
        <f>COUNTIFS('Test Cases'!B:B,"Body Editor",'Test Cases'!K:K,"Skipped")</f>
        <v/>
      </c>
      <c r="H7" s="7">
        <f>IFERROR(D7/(D7+E7),"-")</f>
        <v/>
      </c>
    </row>
    <row r="8">
      <c r="A8" s="5" t="inlineStr">
        <is>
          <t>Authentication</t>
        </is>
      </c>
      <c r="B8" s="6">
        <f>COUNTIF('Test Cases'!B:B,"Authentication")</f>
        <v/>
      </c>
      <c r="C8" s="6">
        <f>COUNTIFS('Test Cases'!B:B,"Authentication",'Test Cases'!K:K,"Not Run")</f>
        <v/>
      </c>
      <c r="D8" s="6">
        <f>COUNTIFS('Test Cases'!B:B,"Authentication",'Test Cases'!K:K,"Pass")</f>
        <v/>
      </c>
      <c r="E8" s="6">
        <f>COUNTIFS('Test Cases'!B:B,"Authentication",'Test Cases'!K:K,"Fail")</f>
        <v/>
      </c>
      <c r="F8" s="6">
        <f>COUNTIFS('Test Cases'!B:B,"Authentication",'Test Cases'!K:K,"Blocked")</f>
        <v/>
      </c>
      <c r="G8" s="6">
        <f>COUNTIFS('Test Cases'!B:B,"Authentication",'Test Cases'!K:K,"Skipped")</f>
        <v/>
      </c>
      <c r="H8" s="7">
        <f>IFERROR(D8/(D8+E8),"-")</f>
        <v/>
      </c>
    </row>
    <row r="9">
      <c r="A9" s="5" t="inlineStr">
        <is>
          <t>OAuth2 Flows</t>
        </is>
      </c>
      <c r="B9" s="6">
        <f>COUNTIF('Test Cases'!B:B,"OAuth2 Flows")</f>
        <v/>
      </c>
      <c r="C9" s="6">
        <f>COUNTIFS('Test Cases'!B:B,"OAuth2 Flows",'Test Cases'!K:K,"Not Run")</f>
        <v/>
      </c>
      <c r="D9" s="6">
        <f>COUNTIFS('Test Cases'!B:B,"OAuth2 Flows",'Test Cases'!K:K,"Pass")</f>
        <v/>
      </c>
      <c r="E9" s="6">
        <f>COUNTIFS('Test Cases'!B:B,"OAuth2 Flows",'Test Cases'!K:K,"Fail")</f>
        <v/>
      </c>
      <c r="F9" s="6">
        <f>COUNTIFS('Test Cases'!B:B,"OAuth2 Flows",'Test Cases'!K:K,"Blocked")</f>
        <v/>
      </c>
      <c r="G9" s="6">
        <f>COUNTIFS('Test Cases'!B:B,"OAuth2 Flows",'Test Cases'!K:K,"Skipped")</f>
        <v/>
      </c>
      <c r="H9" s="7">
        <f>IFERROR(D9/(D9+E9),"-")</f>
        <v/>
      </c>
    </row>
    <row r="10">
      <c r="A10" s="5" t="inlineStr">
        <is>
          <t>Variables &amp; Environments</t>
        </is>
      </c>
      <c r="B10" s="6">
        <f>COUNTIF('Test Cases'!B:B,"Variables &amp; Environments")</f>
        <v/>
      </c>
      <c r="C10" s="6">
        <f>COUNTIFS('Test Cases'!B:B,"Variables &amp; Environments",'Test Cases'!K:K,"Not Run")</f>
        <v/>
      </c>
      <c r="D10" s="6">
        <f>COUNTIFS('Test Cases'!B:B,"Variables &amp; Environments",'Test Cases'!K:K,"Pass")</f>
        <v/>
      </c>
      <c r="E10" s="6">
        <f>COUNTIFS('Test Cases'!B:B,"Variables &amp; Environments",'Test Cases'!K:K,"Fail")</f>
        <v/>
      </c>
      <c r="F10" s="6">
        <f>COUNTIFS('Test Cases'!B:B,"Variables &amp; Environments",'Test Cases'!K:K,"Blocked")</f>
        <v/>
      </c>
      <c r="G10" s="6">
        <f>COUNTIFS('Test Cases'!B:B,"Variables &amp; Environments",'Test Cases'!K:K,"Skipped")</f>
        <v/>
      </c>
      <c r="H10" s="7">
        <f>IFERROR(D10/(D10+E10),"-")</f>
        <v/>
      </c>
    </row>
    <row r="11">
      <c r="A11" s="5" t="inlineStr">
        <is>
          <t>Response Panel</t>
        </is>
      </c>
      <c r="B11" s="6">
        <f>COUNTIF('Test Cases'!B:B,"Response Panel")</f>
        <v/>
      </c>
      <c r="C11" s="6">
        <f>COUNTIFS('Test Cases'!B:B,"Response Panel",'Test Cases'!K:K,"Not Run")</f>
        <v/>
      </c>
      <c r="D11" s="6">
        <f>COUNTIFS('Test Cases'!B:B,"Response Panel",'Test Cases'!K:K,"Pass")</f>
        <v/>
      </c>
      <c r="E11" s="6">
        <f>COUNTIFS('Test Cases'!B:B,"Response Panel",'Test Cases'!K:K,"Fail")</f>
        <v/>
      </c>
      <c r="F11" s="6">
        <f>COUNTIFS('Test Cases'!B:B,"Response Panel",'Test Cases'!K:K,"Blocked")</f>
        <v/>
      </c>
      <c r="G11" s="6">
        <f>COUNTIFS('Test Cases'!B:B,"Response Panel",'Test Cases'!K:K,"Skipped")</f>
        <v/>
      </c>
      <c r="H11" s="7">
        <f>IFERROR(D11/(D11+E11),"-")</f>
        <v/>
      </c>
    </row>
    <row r="12">
      <c r="A12" s="5" t="inlineStr">
        <is>
          <t>Pre-request Scripts &amp; Tests</t>
        </is>
      </c>
      <c r="B12" s="6">
        <f>COUNTIF('Test Cases'!B:B,"Pre-request Scripts &amp; Tests")</f>
        <v/>
      </c>
      <c r="C12" s="6">
        <f>COUNTIFS('Test Cases'!B:B,"Pre-request Scripts &amp; Tests",'Test Cases'!K:K,"Not Run")</f>
        <v/>
      </c>
      <c r="D12" s="6">
        <f>COUNTIFS('Test Cases'!B:B,"Pre-request Scripts &amp; Tests",'Test Cases'!K:K,"Pass")</f>
        <v/>
      </c>
      <c r="E12" s="6">
        <f>COUNTIFS('Test Cases'!B:B,"Pre-request Scripts &amp; Tests",'Test Cases'!K:K,"Fail")</f>
        <v/>
      </c>
      <c r="F12" s="6">
        <f>COUNTIFS('Test Cases'!B:B,"Pre-request Scripts &amp; Tests",'Test Cases'!K:K,"Blocked")</f>
        <v/>
      </c>
      <c r="G12" s="6">
        <f>COUNTIFS('Test Cases'!B:B,"Pre-request Scripts &amp; Tests",'Test Cases'!K:K,"Skipped")</f>
        <v/>
      </c>
      <c r="H12" s="7">
        <f>IFERROR(D12/(D12+E12),"-")</f>
        <v/>
      </c>
    </row>
    <row r="13">
      <c r="A13" s="5" t="inlineStr">
        <is>
          <t>History</t>
        </is>
      </c>
      <c r="B13" s="6">
        <f>COUNTIF('Test Cases'!B:B,"History")</f>
        <v/>
      </c>
      <c r="C13" s="6">
        <f>COUNTIFS('Test Cases'!B:B,"History",'Test Cases'!K:K,"Not Run")</f>
        <v/>
      </c>
      <c r="D13" s="6">
        <f>COUNTIFS('Test Cases'!B:B,"History",'Test Cases'!K:K,"Pass")</f>
        <v/>
      </c>
      <c r="E13" s="6">
        <f>COUNTIFS('Test Cases'!B:B,"History",'Test Cases'!K:K,"Fail")</f>
        <v/>
      </c>
      <c r="F13" s="6">
        <f>COUNTIFS('Test Cases'!B:B,"History",'Test Cases'!K:K,"Blocked")</f>
        <v/>
      </c>
      <c r="G13" s="6">
        <f>COUNTIFS('Test Cases'!B:B,"History",'Test Cases'!K:K,"Skipped")</f>
        <v/>
      </c>
      <c r="H13" s="7">
        <f>IFERROR(D13/(D13+E13),"-")</f>
        <v/>
      </c>
    </row>
    <row r="14">
      <c r="A14" s="5" t="inlineStr">
        <is>
          <t>Cookies</t>
        </is>
      </c>
      <c r="B14" s="6">
        <f>COUNTIF('Test Cases'!B:B,"Cookies")</f>
        <v/>
      </c>
      <c r="C14" s="6">
        <f>COUNTIFS('Test Cases'!B:B,"Cookies",'Test Cases'!K:K,"Not Run")</f>
        <v/>
      </c>
      <c r="D14" s="6">
        <f>COUNTIFS('Test Cases'!B:B,"Cookies",'Test Cases'!K:K,"Pass")</f>
        <v/>
      </c>
      <c r="E14" s="6">
        <f>COUNTIFS('Test Cases'!B:B,"Cookies",'Test Cases'!K:K,"Fail")</f>
        <v/>
      </c>
      <c r="F14" s="6">
        <f>COUNTIFS('Test Cases'!B:B,"Cookies",'Test Cases'!K:K,"Blocked")</f>
        <v/>
      </c>
      <c r="G14" s="6">
        <f>COUNTIFS('Test Cases'!B:B,"Cookies",'Test Cases'!K:K,"Skipped")</f>
        <v/>
      </c>
      <c r="H14" s="7">
        <f>IFERROR(D14/(D14+E14),"-")</f>
        <v/>
      </c>
    </row>
    <row r="15">
      <c r="A15" s="5" t="inlineStr">
        <is>
          <t>Mock Servers</t>
        </is>
      </c>
      <c r="B15" s="6">
        <f>COUNTIF('Test Cases'!B:B,"Mock Servers")</f>
        <v/>
      </c>
      <c r="C15" s="6">
        <f>COUNTIFS('Test Cases'!B:B,"Mock Servers",'Test Cases'!K:K,"Not Run")</f>
        <v/>
      </c>
      <c r="D15" s="6">
        <f>COUNTIFS('Test Cases'!B:B,"Mock Servers",'Test Cases'!K:K,"Pass")</f>
        <v/>
      </c>
      <c r="E15" s="6">
        <f>COUNTIFS('Test Cases'!B:B,"Mock Servers",'Test Cases'!K:K,"Fail")</f>
        <v/>
      </c>
      <c r="F15" s="6">
        <f>COUNTIFS('Test Cases'!B:B,"Mock Servers",'Test Cases'!K:K,"Blocked")</f>
        <v/>
      </c>
      <c r="G15" s="6">
        <f>COUNTIFS('Test Cases'!B:B,"Mock Servers",'Test Cases'!K:K,"Skipped")</f>
        <v/>
      </c>
      <c r="H15" s="7">
        <f>IFERROR(D15/(D15+E15),"-")</f>
        <v/>
      </c>
    </row>
    <row r="16">
      <c r="A16" s="5" t="inlineStr">
        <is>
          <t>Settings &amp; Theming</t>
        </is>
      </c>
      <c r="B16" s="6">
        <f>COUNTIF('Test Cases'!B:B,"Settings &amp; Theming")</f>
        <v/>
      </c>
      <c r="C16" s="6">
        <f>COUNTIFS('Test Cases'!B:B,"Settings &amp; Theming",'Test Cases'!K:K,"Not Run")</f>
        <v/>
      </c>
      <c r="D16" s="6">
        <f>COUNTIFS('Test Cases'!B:B,"Settings &amp; Theming",'Test Cases'!K:K,"Pass")</f>
        <v/>
      </c>
      <c r="E16" s="6">
        <f>COUNTIFS('Test Cases'!B:B,"Settings &amp; Theming",'Test Cases'!K:K,"Fail")</f>
        <v/>
      </c>
      <c r="F16" s="6">
        <f>COUNTIFS('Test Cases'!B:B,"Settings &amp; Theming",'Test Cases'!K:K,"Blocked")</f>
        <v/>
      </c>
      <c r="G16" s="6">
        <f>COUNTIFS('Test Cases'!B:B,"Settings &amp; Theming",'Test Cases'!K:K,"Skipped")</f>
        <v/>
      </c>
      <c r="H16" s="7">
        <f>IFERROR(D16/(D16+E16),"-")</f>
        <v/>
      </c>
    </row>
    <row r="17">
      <c r="A17" s="5" t="inlineStr">
        <is>
          <t>Import / Export</t>
        </is>
      </c>
      <c r="B17" s="6">
        <f>COUNTIF('Test Cases'!B:B,"Import / Export")</f>
        <v/>
      </c>
      <c r="C17" s="6">
        <f>COUNTIFS('Test Cases'!B:B,"Import / Export",'Test Cases'!K:K,"Not Run")</f>
        <v/>
      </c>
      <c r="D17" s="6">
        <f>COUNTIFS('Test Cases'!B:B,"Import / Export",'Test Cases'!K:K,"Pass")</f>
        <v/>
      </c>
      <c r="E17" s="6">
        <f>COUNTIFS('Test Cases'!B:B,"Import / Export",'Test Cases'!K:K,"Fail")</f>
        <v/>
      </c>
      <c r="F17" s="6">
        <f>COUNTIFS('Test Cases'!B:B,"Import / Export",'Test Cases'!K:K,"Blocked")</f>
        <v/>
      </c>
      <c r="G17" s="6">
        <f>COUNTIFS('Test Cases'!B:B,"Import / Export",'Test Cases'!K:K,"Skipped")</f>
        <v/>
      </c>
      <c r="H17" s="7">
        <f>IFERROR(D17/(D17+E17),"-")</f>
        <v/>
      </c>
    </row>
    <row r="18">
      <c r="A18" s="5" t="inlineStr">
        <is>
          <t>Git Integration</t>
        </is>
      </c>
      <c r="B18" s="6">
        <f>COUNTIF('Test Cases'!B:B,"Git Integration")</f>
        <v/>
      </c>
      <c r="C18" s="6">
        <f>COUNTIFS('Test Cases'!B:B,"Git Integration",'Test Cases'!K:K,"Not Run")</f>
        <v/>
      </c>
      <c r="D18" s="6">
        <f>COUNTIFS('Test Cases'!B:B,"Git Integration",'Test Cases'!K:K,"Pass")</f>
        <v/>
      </c>
      <c r="E18" s="6">
        <f>COUNTIFS('Test Cases'!B:B,"Git Integration",'Test Cases'!K:K,"Fail")</f>
        <v/>
      </c>
      <c r="F18" s="6">
        <f>COUNTIFS('Test Cases'!B:B,"Git Integration",'Test Cases'!K:K,"Blocked")</f>
        <v/>
      </c>
      <c r="G18" s="6">
        <f>COUNTIFS('Test Cases'!B:B,"Git Integration",'Test Cases'!K:K,"Skipped")</f>
        <v/>
      </c>
      <c r="H18" s="7">
        <f>IFERROR(D18/(D18+E18),"-")</f>
        <v/>
      </c>
    </row>
    <row r="19">
      <c r="A19" s="5" t="inlineStr">
        <is>
          <t>GraphQL</t>
        </is>
      </c>
      <c r="B19" s="6">
        <f>COUNTIF('Test Cases'!B:B,"GraphQL")</f>
        <v/>
      </c>
      <c r="C19" s="6">
        <f>COUNTIFS('Test Cases'!B:B,"GraphQL",'Test Cases'!K:K,"Not Run")</f>
        <v/>
      </c>
      <c r="D19" s="6">
        <f>COUNTIFS('Test Cases'!B:B,"GraphQL",'Test Cases'!K:K,"Pass")</f>
        <v/>
      </c>
      <c r="E19" s="6">
        <f>COUNTIFS('Test Cases'!B:B,"GraphQL",'Test Cases'!K:K,"Fail")</f>
        <v/>
      </c>
      <c r="F19" s="6">
        <f>COUNTIFS('Test Cases'!B:B,"GraphQL",'Test Cases'!K:K,"Blocked")</f>
        <v/>
      </c>
      <c r="G19" s="6">
        <f>COUNTIFS('Test Cases'!B:B,"GraphQL",'Test Cases'!K:K,"Skipped")</f>
        <v/>
      </c>
      <c r="H19" s="7">
        <f>IFERROR(D19/(D19+E19),"-")</f>
        <v/>
      </c>
    </row>
    <row r="20">
      <c r="A20" s="5" t="inlineStr">
        <is>
          <t>Assertions &amp; Execution Plans</t>
        </is>
      </c>
      <c r="B20" s="6">
        <f>COUNTIF('Test Cases'!B:B,"Assertions &amp; Execution Plans")</f>
        <v/>
      </c>
      <c r="C20" s="6">
        <f>COUNTIFS('Test Cases'!B:B,"Assertions &amp; Execution Plans",'Test Cases'!K:K,"Not Run")</f>
        <v/>
      </c>
      <c r="D20" s="6">
        <f>COUNTIFS('Test Cases'!B:B,"Assertions &amp; Execution Plans",'Test Cases'!K:K,"Pass")</f>
        <v/>
      </c>
      <c r="E20" s="6">
        <f>COUNTIFS('Test Cases'!B:B,"Assertions &amp; Execution Plans",'Test Cases'!K:K,"Fail")</f>
        <v/>
      </c>
      <c r="F20" s="6">
        <f>COUNTIFS('Test Cases'!B:B,"Assertions &amp; Execution Plans",'Test Cases'!K:K,"Blocked")</f>
        <v/>
      </c>
      <c r="G20" s="6">
        <f>COUNTIFS('Test Cases'!B:B,"Assertions &amp; Execution Plans",'Test Cases'!K:K,"Skipped")</f>
        <v/>
      </c>
      <c r="H20" s="7">
        <f>IFERROR(D20/(D20+E20),"-")</f>
        <v/>
      </c>
    </row>
    <row r="21">
      <c r="A21" s="5" t="inlineStr">
        <is>
          <t>Documentation Viewer</t>
        </is>
      </c>
      <c r="B21" s="6">
        <f>COUNTIF('Test Cases'!B:B,"Documentation Viewer")</f>
        <v/>
      </c>
      <c r="C21" s="6">
        <f>COUNTIFS('Test Cases'!B:B,"Documentation Viewer",'Test Cases'!K:K,"Not Run")</f>
        <v/>
      </c>
      <c r="D21" s="6">
        <f>COUNTIFS('Test Cases'!B:B,"Documentation Viewer",'Test Cases'!K:K,"Pass")</f>
        <v/>
      </c>
      <c r="E21" s="6">
        <f>COUNTIFS('Test Cases'!B:B,"Documentation Viewer",'Test Cases'!K:K,"Fail")</f>
        <v/>
      </c>
      <c r="F21" s="6">
        <f>COUNTIFS('Test Cases'!B:B,"Documentation Viewer",'Test Cases'!K:K,"Blocked")</f>
        <v/>
      </c>
      <c r="G21" s="6">
        <f>COUNTIFS('Test Cases'!B:B,"Documentation Viewer",'Test Cases'!K:K,"Skipped")</f>
        <v/>
      </c>
      <c r="H21" s="7">
        <f>IFERROR(D21/(D21+E21),"-")</f>
        <v/>
      </c>
    </row>
    <row r="22">
      <c r="A22" s="5" t="inlineStr">
        <is>
          <t>Search &amp; Marketplace</t>
        </is>
      </c>
      <c r="B22" s="6">
        <f>COUNTIF('Test Cases'!B:B,"Search &amp; Marketplace")</f>
        <v/>
      </c>
      <c r="C22" s="6">
        <f>COUNTIFS('Test Cases'!B:B,"Search &amp; Marketplace",'Test Cases'!K:K,"Not Run")</f>
        <v/>
      </c>
      <c r="D22" s="6">
        <f>COUNTIFS('Test Cases'!B:B,"Search &amp; Marketplace",'Test Cases'!K:K,"Pass")</f>
        <v/>
      </c>
      <c r="E22" s="6">
        <f>COUNTIFS('Test Cases'!B:B,"Search &amp; Marketplace",'Test Cases'!K:K,"Fail")</f>
        <v/>
      </c>
      <c r="F22" s="6">
        <f>COUNTIFS('Test Cases'!B:B,"Search &amp; Marketplace",'Test Cases'!K:K,"Blocked")</f>
        <v/>
      </c>
      <c r="G22" s="6">
        <f>COUNTIFS('Test Cases'!B:B,"Search &amp; Marketplace",'Test Cases'!K:K,"Skipped")</f>
        <v/>
      </c>
      <c r="H22" s="7">
        <f>IFERROR(D22/(D22+E22),"-")</f>
        <v/>
      </c>
    </row>
    <row r="23">
      <c r="A23" s="5" t="inlineStr">
        <is>
          <t>Keyboard Shortcuts</t>
        </is>
      </c>
      <c r="B23" s="6">
        <f>COUNTIF('Test Cases'!B:B,"Keyboard Shortcuts")</f>
        <v/>
      </c>
      <c r="C23" s="6">
        <f>COUNTIFS('Test Cases'!B:B,"Keyboard Shortcuts",'Test Cases'!K:K,"Not Run")</f>
        <v/>
      </c>
      <c r="D23" s="6">
        <f>COUNTIFS('Test Cases'!B:B,"Keyboard Shortcuts",'Test Cases'!K:K,"Pass")</f>
        <v/>
      </c>
      <c r="E23" s="6">
        <f>COUNTIFS('Test Cases'!B:B,"Keyboard Shortcuts",'Test Cases'!K:K,"Fail")</f>
        <v/>
      </c>
      <c r="F23" s="6">
        <f>COUNTIFS('Test Cases'!B:B,"Keyboard Shortcuts",'Test Cases'!K:K,"Blocked")</f>
        <v/>
      </c>
      <c r="G23" s="6">
        <f>COUNTIFS('Test Cases'!B:B,"Keyboard Shortcuts",'Test Cases'!K:K,"Skipped")</f>
        <v/>
      </c>
      <c r="H23" s="7">
        <f>IFERROR(D23/(D23+E23),"-")</f>
        <v/>
      </c>
    </row>
    <row r="24">
      <c r="A24" s="5" t="inlineStr">
        <is>
          <t>Accessibility</t>
        </is>
      </c>
      <c r="B24" s="6">
        <f>COUNTIF('Test Cases'!B:B,"Accessibility")</f>
        <v/>
      </c>
      <c r="C24" s="6">
        <f>COUNTIFS('Test Cases'!B:B,"Accessibility",'Test Cases'!K:K,"Not Run")</f>
        <v/>
      </c>
      <c r="D24" s="6">
        <f>COUNTIFS('Test Cases'!B:B,"Accessibility",'Test Cases'!K:K,"Pass")</f>
        <v/>
      </c>
      <c r="E24" s="6">
        <f>COUNTIFS('Test Cases'!B:B,"Accessibility",'Test Cases'!K:K,"Fail")</f>
        <v/>
      </c>
      <c r="F24" s="6">
        <f>COUNTIFS('Test Cases'!B:B,"Accessibility",'Test Cases'!K:K,"Blocked")</f>
        <v/>
      </c>
      <c r="G24" s="6">
        <f>COUNTIFS('Test Cases'!B:B,"Accessibility",'Test Cases'!K:K,"Skipped")</f>
        <v/>
      </c>
      <c r="H24" s="7">
        <f>IFERROR(D24/(D24+E24),"-")</f>
        <v/>
      </c>
    </row>
    <row r="25">
      <c r="A25" s="5" t="inlineStr">
        <is>
          <t>Network Conditions</t>
        </is>
      </c>
      <c r="B25" s="6">
        <f>COUNTIF('Test Cases'!B:B,"Network Conditions")</f>
        <v/>
      </c>
      <c r="C25" s="6">
        <f>COUNTIFS('Test Cases'!B:B,"Network Conditions",'Test Cases'!K:K,"Not Run")</f>
        <v/>
      </c>
      <c r="D25" s="6">
        <f>COUNTIFS('Test Cases'!B:B,"Network Conditions",'Test Cases'!K:K,"Pass")</f>
        <v/>
      </c>
      <c r="E25" s="6">
        <f>COUNTIFS('Test Cases'!B:B,"Network Conditions",'Test Cases'!K:K,"Fail")</f>
        <v/>
      </c>
      <c r="F25" s="6">
        <f>COUNTIFS('Test Cases'!B:B,"Network Conditions",'Test Cases'!K:K,"Blocked")</f>
        <v/>
      </c>
      <c r="G25" s="6">
        <f>COUNTIFS('Test Cases'!B:B,"Network Conditions",'Test Cases'!K:K,"Skipped")</f>
        <v/>
      </c>
      <c r="H25" s="7">
        <f>IFERROR(D25/(D25+E25),"-")</f>
        <v/>
      </c>
    </row>
    <row r="26">
      <c r="A26" s="5" t="inlineStr">
        <is>
          <t>Performance</t>
        </is>
      </c>
      <c r="B26" s="6">
        <f>COUNTIF('Test Cases'!B:B,"Performance")</f>
        <v/>
      </c>
      <c r="C26" s="6">
        <f>COUNTIFS('Test Cases'!B:B,"Performance",'Test Cases'!K:K,"Not Run")</f>
        <v/>
      </c>
      <c r="D26" s="6">
        <f>COUNTIFS('Test Cases'!B:B,"Performance",'Test Cases'!K:K,"Pass")</f>
        <v/>
      </c>
      <c r="E26" s="6">
        <f>COUNTIFS('Test Cases'!B:B,"Performance",'Test Cases'!K:K,"Fail")</f>
        <v/>
      </c>
      <c r="F26" s="6">
        <f>COUNTIFS('Test Cases'!B:B,"Performance",'Test Cases'!K:K,"Blocked")</f>
        <v/>
      </c>
      <c r="G26" s="6">
        <f>COUNTIFS('Test Cases'!B:B,"Performance",'Test Cases'!K:K,"Skipped")</f>
        <v/>
      </c>
      <c r="H26" s="7">
        <f>IFERROR(D26/(D26+E26),"-")</f>
        <v/>
      </c>
    </row>
    <row r="27">
      <c r="A27" s="5" t="inlineStr">
        <is>
          <t>Security</t>
        </is>
      </c>
      <c r="B27" s="6">
        <f>COUNTIF('Test Cases'!B:B,"Security")</f>
        <v/>
      </c>
      <c r="C27" s="6">
        <f>COUNTIFS('Test Cases'!B:B,"Security",'Test Cases'!K:K,"Not Run")</f>
        <v/>
      </c>
      <c r="D27" s="6">
        <f>COUNTIFS('Test Cases'!B:B,"Security",'Test Cases'!K:K,"Pass")</f>
        <v/>
      </c>
      <c r="E27" s="6">
        <f>COUNTIFS('Test Cases'!B:B,"Security",'Test Cases'!K:K,"Fail")</f>
        <v/>
      </c>
      <c r="F27" s="6">
        <f>COUNTIFS('Test Cases'!B:B,"Security",'Test Cases'!K:K,"Blocked")</f>
        <v/>
      </c>
      <c r="G27" s="6">
        <f>COUNTIFS('Test Cases'!B:B,"Security",'Test Cases'!K:K,"Skipped")</f>
        <v/>
      </c>
      <c r="H27" s="7">
        <f>IFERROR(D27/(D27+E27),"-")</f>
        <v/>
      </c>
    </row>
    <row r="28">
      <c r="A28" s="5" t="inlineStr">
        <is>
          <t>Cross-Cutting UX</t>
        </is>
      </c>
      <c r="B28" s="6">
        <f>COUNTIF('Test Cases'!B:B,"Cross-Cutting UX")</f>
        <v/>
      </c>
      <c r="C28" s="6">
        <f>COUNTIFS('Test Cases'!B:B,"Cross-Cutting UX",'Test Cases'!K:K,"Not Run")</f>
        <v/>
      </c>
      <c r="D28" s="6">
        <f>COUNTIFS('Test Cases'!B:B,"Cross-Cutting UX",'Test Cases'!K:K,"Pass")</f>
        <v/>
      </c>
      <c r="E28" s="6">
        <f>COUNTIFS('Test Cases'!B:B,"Cross-Cutting UX",'Test Cases'!K:K,"Fail")</f>
        <v/>
      </c>
      <c r="F28" s="6">
        <f>COUNTIFS('Test Cases'!B:B,"Cross-Cutting UX",'Test Cases'!K:K,"Blocked")</f>
        <v/>
      </c>
      <c r="G28" s="6">
        <f>COUNTIFS('Test Cases'!B:B,"Cross-Cutting UX",'Test Cases'!K:K,"Skipped")</f>
        <v/>
      </c>
      <c r="H28" s="7">
        <f>IFERROR(D28/(D28+E28),"-")</f>
        <v/>
      </c>
    </row>
    <row r="29">
      <c r="A29" s="5" t="inlineStr">
        <is>
          <t>Web-Specific (Browser)</t>
        </is>
      </c>
      <c r="B29" s="6">
        <f>COUNTIF('Test Cases'!B:B,"Web-Specific (Browser)")</f>
        <v/>
      </c>
      <c r="C29" s="6">
        <f>COUNTIFS('Test Cases'!B:B,"Web-Specific (Browser)",'Test Cases'!K:K,"Not Run")</f>
        <v/>
      </c>
      <c r="D29" s="6">
        <f>COUNTIFS('Test Cases'!B:B,"Web-Specific (Browser)",'Test Cases'!K:K,"Pass")</f>
        <v/>
      </c>
      <c r="E29" s="6">
        <f>COUNTIFS('Test Cases'!B:B,"Web-Specific (Browser)",'Test Cases'!K:K,"Fail")</f>
        <v/>
      </c>
      <c r="F29" s="6">
        <f>COUNTIFS('Test Cases'!B:B,"Web-Specific (Browser)",'Test Cases'!K:K,"Blocked")</f>
        <v/>
      </c>
      <c r="G29" s="6">
        <f>COUNTIFS('Test Cases'!B:B,"Web-Specific (Browser)",'Test Cases'!K:K,"Skipped")</f>
        <v/>
      </c>
      <c r="H29" s="7">
        <f>IFERROR(D29/(D29+E29),"-")</f>
        <v/>
      </c>
    </row>
    <row r="30">
      <c r="A30" s="8" t="inlineStr">
        <is>
          <t>TOTAL</t>
        </is>
      </c>
      <c r="B30" s="9">
        <f>SUM(B4:B29)</f>
        <v/>
      </c>
      <c r="C30" s="9">
        <f>SUM(C4:C29)</f>
        <v/>
      </c>
      <c r="D30" s="9">
        <f>SUM(D4:D29)</f>
        <v/>
      </c>
      <c r="E30" s="9">
        <f>SUM(E4:E29)</f>
        <v/>
      </c>
      <c r="F30" s="9">
        <f>SUM(F4:F29)</f>
        <v/>
      </c>
      <c r="G30" s="9">
        <f>SUM(G4:G29)</f>
        <v/>
      </c>
      <c r="H30" s="10">
        <f>IFERROR(D30/(D30+E30),"-")</f>
        <v/>
      </c>
    </row>
    <row r="33" ht="22" customHeight="1">
      <c r="A33" s="11" t="inlineStr">
        <is>
          <t>Counts by Priority</t>
        </is>
      </c>
    </row>
    <row r="34">
      <c r="A34" s="4" t="inlineStr">
        <is>
          <t>Priority</t>
        </is>
      </c>
      <c r="B34" s="4" t="inlineStr">
        <is>
          <t>Total</t>
        </is>
      </c>
      <c r="C34" s="4" t="inlineStr">
        <is>
          <t>Not Run</t>
        </is>
      </c>
      <c r="D34" s="4" t="inlineStr">
        <is>
          <t>Pass</t>
        </is>
      </c>
      <c r="E34" s="4" t="inlineStr">
        <is>
          <t>Fail</t>
        </is>
      </c>
      <c r="F34" s="4" t="inlineStr">
        <is>
          <t>Blocked</t>
        </is>
      </c>
      <c r="G34" s="4" t="inlineStr">
        <is>
          <t>Skipped</t>
        </is>
      </c>
      <c r="H34" s="4" t="inlineStr">
        <is>
          <t>Pass %</t>
        </is>
      </c>
    </row>
    <row r="35">
      <c r="A35" s="12" t="inlineStr">
        <is>
          <t>High</t>
        </is>
      </c>
      <c r="B35" s="6">
        <f>COUNTIF('Test Cases'!L:L,"High")</f>
        <v/>
      </c>
      <c r="C35" s="6">
        <f>COUNTIFS('Test Cases'!L:L,"High",'Test Cases'!K:K,"Not Run")</f>
        <v/>
      </c>
      <c r="D35" s="6">
        <f>COUNTIFS('Test Cases'!L:L,"High",'Test Cases'!K:K,"Pass")</f>
        <v/>
      </c>
      <c r="E35" s="6">
        <f>COUNTIFS('Test Cases'!L:L,"High",'Test Cases'!K:K,"Fail")</f>
        <v/>
      </c>
      <c r="F35" s="6">
        <f>COUNTIFS('Test Cases'!L:L,"High",'Test Cases'!K:K,"Blocked")</f>
        <v/>
      </c>
      <c r="G35" s="6">
        <f>COUNTIFS('Test Cases'!L:L,"High",'Test Cases'!K:K,"Skipped")</f>
        <v/>
      </c>
      <c r="H35" s="7">
        <f>IFERROR(D35/(D35+E35),"-")</f>
        <v/>
      </c>
    </row>
    <row r="36">
      <c r="A36" s="13" t="inlineStr">
        <is>
          <t>Medium</t>
        </is>
      </c>
      <c r="B36" s="6">
        <f>COUNTIF('Test Cases'!L:L,"Medium")</f>
        <v/>
      </c>
      <c r="C36" s="6">
        <f>COUNTIFS('Test Cases'!L:L,"Medium",'Test Cases'!K:K,"Not Run")</f>
        <v/>
      </c>
      <c r="D36" s="6">
        <f>COUNTIFS('Test Cases'!L:L,"Medium",'Test Cases'!K:K,"Pass")</f>
        <v/>
      </c>
      <c r="E36" s="6">
        <f>COUNTIFS('Test Cases'!L:L,"Medium",'Test Cases'!K:K,"Fail")</f>
        <v/>
      </c>
      <c r="F36" s="6">
        <f>COUNTIFS('Test Cases'!L:L,"Medium",'Test Cases'!K:K,"Blocked")</f>
        <v/>
      </c>
      <c r="G36" s="6">
        <f>COUNTIFS('Test Cases'!L:L,"Medium",'Test Cases'!K:K,"Skipped")</f>
        <v/>
      </c>
      <c r="H36" s="7">
        <f>IFERROR(D36/(D36+E36),"-")</f>
        <v/>
      </c>
    </row>
    <row r="37">
      <c r="A37" s="14" t="inlineStr">
        <is>
          <t>Low</t>
        </is>
      </c>
      <c r="B37" s="6">
        <f>COUNTIF('Test Cases'!L:L,"Low")</f>
        <v/>
      </c>
      <c r="C37" s="6">
        <f>COUNTIFS('Test Cases'!L:L,"Low",'Test Cases'!K:K,"Not Run")</f>
        <v/>
      </c>
      <c r="D37" s="6">
        <f>COUNTIFS('Test Cases'!L:L,"Low",'Test Cases'!K:K,"Pass")</f>
        <v/>
      </c>
      <c r="E37" s="6">
        <f>COUNTIFS('Test Cases'!L:L,"Low",'Test Cases'!K:K,"Fail")</f>
        <v/>
      </c>
      <c r="F37" s="6">
        <f>COUNTIFS('Test Cases'!L:L,"Low",'Test Cases'!K:K,"Blocked")</f>
        <v/>
      </c>
      <c r="G37" s="6">
        <f>COUNTIFS('Test Cases'!L:L,"Low",'Test Cases'!K:K,"Skipped")</f>
        <v/>
      </c>
      <c r="H37" s="7">
        <f>IFERROR(D37/(D37+E37),"-")</f>
        <v/>
      </c>
    </row>
    <row r="40" ht="22" customHeight="1">
      <c r="A40" s="11" t="inlineStr">
        <is>
          <t>Counts by Test Type</t>
        </is>
      </c>
    </row>
    <row r="41">
      <c r="A41" s="4" t="inlineStr">
        <is>
          <t>Test Type</t>
        </is>
      </c>
      <c r="B41" s="4" t="inlineStr">
        <is>
          <t>Total</t>
        </is>
      </c>
      <c r="C41" s="4" t="inlineStr">
        <is>
          <t>Not Run</t>
        </is>
      </c>
      <c r="D41" s="4" t="inlineStr">
        <is>
          <t>Pass</t>
        </is>
      </c>
      <c r="E41" s="4" t="inlineStr">
        <is>
          <t>Fail</t>
        </is>
      </c>
      <c r="F41" s="4" t="inlineStr">
        <is>
          <t>Blocked</t>
        </is>
      </c>
      <c r="G41" s="4" t="inlineStr">
        <is>
          <t>Skipped</t>
        </is>
      </c>
      <c r="H41" s="4" t="inlineStr">
        <is>
          <t>Pass %</t>
        </is>
      </c>
    </row>
    <row r="42">
      <c r="A42" s="15" t="inlineStr">
        <is>
          <t>Functional</t>
        </is>
      </c>
      <c r="B42" s="6">
        <f>COUNTIF('Test Cases'!D:D,"Functional")</f>
        <v/>
      </c>
      <c r="C42" s="6">
        <f>COUNTIFS('Test Cases'!D:D,"Functional",'Test Cases'!K:K,"Not Run")</f>
        <v/>
      </c>
      <c r="D42" s="6">
        <f>COUNTIFS('Test Cases'!D:D,"Functional",'Test Cases'!K:K,"Pass")</f>
        <v/>
      </c>
      <c r="E42" s="6">
        <f>COUNTIFS('Test Cases'!D:D,"Functional",'Test Cases'!K:K,"Fail")</f>
        <v/>
      </c>
      <c r="F42" s="6">
        <f>COUNTIFS('Test Cases'!D:D,"Functional",'Test Cases'!K:K,"Blocked")</f>
        <v/>
      </c>
      <c r="G42" s="6">
        <f>COUNTIFS('Test Cases'!D:D,"Functional",'Test Cases'!K:K,"Skipped")</f>
        <v/>
      </c>
      <c r="H42" s="7">
        <f>IFERROR(D42/(D42+E42),"-")</f>
        <v/>
      </c>
    </row>
    <row r="43">
      <c r="A43" s="15" t="inlineStr">
        <is>
          <t>Negative</t>
        </is>
      </c>
      <c r="B43" s="6">
        <f>COUNTIF('Test Cases'!D:D,"Negative")</f>
        <v/>
      </c>
      <c r="C43" s="6">
        <f>COUNTIFS('Test Cases'!D:D,"Negative",'Test Cases'!K:K,"Not Run")</f>
        <v/>
      </c>
      <c r="D43" s="6">
        <f>COUNTIFS('Test Cases'!D:D,"Negative",'Test Cases'!K:K,"Pass")</f>
        <v/>
      </c>
      <c r="E43" s="6">
        <f>COUNTIFS('Test Cases'!D:D,"Negative",'Test Cases'!K:K,"Fail")</f>
        <v/>
      </c>
      <c r="F43" s="6">
        <f>COUNTIFS('Test Cases'!D:D,"Negative",'Test Cases'!K:K,"Blocked")</f>
        <v/>
      </c>
      <c r="G43" s="6">
        <f>COUNTIFS('Test Cases'!D:D,"Negative",'Test Cases'!K:K,"Skipped")</f>
        <v/>
      </c>
      <c r="H43" s="7">
        <f>IFERROR(D43/(D43+E43),"-")</f>
        <v/>
      </c>
    </row>
    <row r="44">
      <c r="A44" s="15" t="inlineStr">
        <is>
          <t>Edge Case</t>
        </is>
      </c>
      <c r="B44" s="6">
        <f>COUNTIF('Test Cases'!D:D,"Edge Case")</f>
        <v/>
      </c>
      <c r="C44" s="6">
        <f>COUNTIFS('Test Cases'!D:D,"Edge Case",'Test Cases'!K:K,"Not Run")</f>
        <v/>
      </c>
      <c r="D44" s="6">
        <f>COUNTIFS('Test Cases'!D:D,"Edge Case",'Test Cases'!K:K,"Pass")</f>
        <v/>
      </c>
      <c r="E44" s="6">
        <f>COUNTIFS('Test Cases'!D:D,"Edge Case",'Test Cases'!K:K,"Fail")</f>
        <v/>
      </c>
      <c r="F44" s="6">
        <f>COUNTIFS('Test Cases'!D:D,"Edge Case",'Test Cases'!K:K,"Blocked")</f>
        <v/>
      </c>
      <c r="G44" s="6">
        <f>COUNTIFS('Test Cases'!D:D,"Edge Case",'Test Cases'!K:K,"Skipped")</f>
        <v/>
      </c>
      <c r="H44" s="7">
        <f>IFERROR(D44/(D44+E44),"-")</f>
        <v/>
      </c>
    </row>
    <row r="45">
      <c r="A45" s="15" t="inlineStr">
        <is>
          <t>Security</t>
        </is>
      </c>
      <c r="B45" s="6">
        <f>COUNTIF('Test Cases'!D:D,"Security")</f>
        <v/>
      </c>
      <c r="C45" s="6">
        <f>COUNTIFS('Test Cases'!D:D,"Security",'Test Cases'!K:K,"Not Run")</f>
        <v/>
      </c>
      <c r="D45" s="6">
        <f>COUNTIFS('Test Cases'!D:D,"Security",'Test Cases'!K:K,"Pass")</f>
        <v/>
      </c>
      <c r="E45" s="6">
        <f>COUNTIFS('Test Cases'!D:D,"Security",'Test Cases'!K:K,"Fail")</f>
        <v/>
      </c>
      <c r="F45" s="6">
        <f>COUNTIFS('Test Cases'!D:D,"Security",'Test Cases'!K:K,"Blocked")</f>
        <v/>
      </c>
      <c r="G45" s="6">
        <f>COUNTIFS('Test Cases'!D:D,"Security",'Test Cases'!K:K,"Skipped")</f>
        <v/>
      </c>
      <c r="H45" s="7">
        <f>IFERROR(D45/(D45+E45),"-")</f>
        <v/>
      </c>
    </row>
    <row r="46">
      <c r="A46" s="15" t="inlineStr">
        <is>
          <t>A11y</t>
        </is>
      </c>
      <c r="B46" s="6">
        <f>COUNTIF('Test Cases'!D:D,"A11y")</f>
        <v/>
      </c>
      <c r="C46" s="6">
        <f>COUNTIFS('Test Cases'!D:D,"A11y",'Test Cases'!K:K,"Not Run")</f>
        <v/>
      </c>
      <c r="D46" s="6">
        <f>COUNTIFS('Test Cases'!D:D,"A11y",'Test Cases'!K:K,"Pass")</f>
        <v/>
      </c>
      <c r="E46" s="6">
        <f>COUNTIFS('Test Cases'!D:D,"A11y",'Test Cases'!K:K,"Fail")</f>
        <v/>
      </c>
      <c r="F46" s="6">
        <f>COUNTIFS('Test Cases'!D:D,"A11y",'Test Cases'!K:K,"Blocked")</f>
        <v/>
      </c>
      <c r="G46" s="6">
        <f>COUNTIFS('Test Cases'!D:D,"A11y",'Test Cases'!K:K,"Skipped")</f>
        <v/>
      </c>
      <c r="H46" s="7">
        <f>IFERROR(D46/(D46+E46),"-")</f>
        <v/>
      </c>
    </row>
    <row r="47">
      <c r="A47" s="15" t="inlineStr">
        <is>
          <t>Performance</t>
        </is>
      </c>
      <c r="B47" s="6">
        <f>COUNTIF('Test Cases'!D:D,"Performance")</f>
        <v/>
      </c>
      <c r="C47" s="6">
        <f>COUNTIFS('Test Cases'!D:D,"Performance",'Test Cases'!K:K,"Not Run")</f>
        <v/>
      </c>
      <c r="D47" s="6">
        <f>COUNTIFS('Test Cases'!D:D,"Performance",'Test Cases'!K:K,"Pass")</f>
        <v/>
      </c>
      <c r="E47" s="6">
        <f>COUNTIFS('Test Cases'!D:D,"Performance",'Test Cases'!K:K,"Fail")</f>
        <v/>
      </c>
      <c r="F47" s="6">
        <f>COUNTIFS('Test Cases'!D:D,"Performance",'Test Cases'!K:K,"Blocked")</f>
        <v/>
      </c>
      <c r="G47" s="6">
        <f>COUNTIFS('Test Cases'!D:D,"Performance",'Test Cases'!K:K,"Skipped")</f>
        <v/>
      </c>
      <c r="H47" s="7">
        <f>IFERROR(D47/(D47+E47),"-")</f>
        <v/>
      </c>
    </row>
    <row r="48">
      <c r="A48" s="15" t="inlineStr">
        <is>
          <t>Compatibility</t>
        </is>
      </c>
      <c r="B48" s="6">
        <f>COUNTIF('Test Cases'!D:D,"Compatibility")</f>
        <v/>
      </c>
      <c r="C48" s="6">
        <f>COUNTIFS('Test Cases'!D:D,"Compatibility",'Test Cases'!K:K,"Not Run")</f>
        <v/>
      </c>
      <c r="D48" s="6">
        <f>COUNTIFS('Test Cases'!D:D,"Compatibility",'Test Cases'!K:K,"Pass")</f>
        <v/>
      </c>
      <c r="E48" s="6">
        <f>COUNTIFS('Test Cases'!D:D,"Compatibility",'Test Cases'!K:K,"Fail")</f>
        <v/>
      </c>
      <c r="F48" s="6">
        <f>COUNTIFS('Test Cases'!D:D,"Compatibility",'Test Cases'!K:K,"Blocked")</f>
        <v/>
      </c>
      <c r="G48" s="6">
        <f>COUNTIFS('Test Cases'!D:D,"Compatibility",'Test Cases'!K:K,"Skipped")</f>
        <v/>
      </c>
      <c r="H48" s="7">
        <f>IFERROR(D48/(D48+E48),"-")</f>
        <v/>
      </c>
    </row>
    <row r="49">
      <c r="A49" s="15" t="inlineStr">
        <is>
          <t>UX/UI</t>
        </is>
      </c>
      <c r="B49" s="6">
        <f>COUNTIF('Test Cases'!D:D,"UX/UI")</f>
        <v/>
      </c>
      <c r="C49" s="6">
        <f>COUNTIFS('Test Cases'!D:D,"UX/UI",'Test Cases'!K:K,"Not Run")</f>
        <v/>
      </c>
      <c r="D49" s="6">
        <f>COUNTIFS('Test Cases'!D:D,"UX/UI",'Test Cases'!K:K,"Pass")</f>
        <v/>
      </c>
      <c r="E49" s="6">
        <f>COUNTIFS('Test Cases'!D:D,"UX/UI",'Test Cases'!K:K,"Fail")</f>
        <v/>
      </c>
      <c r="F49" s="6">
        <f>COUNTIFS('Test Cases'!D:D,"UX/UI",'Test Cases'!K:K,"Blocked")</f>
        <v/>
      </c>
      <c r="G49" s="6">
        <f>COUNTIFS('Test Cases'!D:D,"UX/UI",'Test Cases'!K:K,"Skipped")</f>
        <v/>
      </c>
      <c r="H49" s="7">
        <f>IFERROR(D49/(D49+E49),"-")</f>
        <v/>
      </c>
    </row>
    <row r="50">
      <c r="A50" s="15" t="inlineStr">
        <is>
          <t>Regression</t>
        </is>
      </c>
      <c r="B50" s="6">
        <f>COUNTIF('Test Cases'!D:D,"Regression")</f>
        <v/>
      </c>
      <c r="C50" s="6">
        <f>COUNTIFS('Test Cases'!D:D,"Regression",'Test Cases'!K:K,"Not Run")</f>
        <v/>
      </c>
      <c r="D50" s="6">
        <f>COUNTIFS('Test Cases'!D:D,"Regression",'Test Cases'!K:K,"Pass")</f>
        <v/>
      </c>
      <c r="E50" s="6">
        <f>COUNTIFS('Test Cases'!D:D,"Regression",'Test Cases'!K:K,"Fail")</f>
        <v/>
      </c>
      <c r="F50" s="6">
        <f>COUNTIFS('Test Cases'!D:D,"Regression",'Test Cases'!K:K,"Blocked")</f>
        <v/>
      </c>
      <c r="G50" s="6">
        <f>COUNTIFS('Test Cases'!D:D,"Regression",'Test Cases'!K:K,"Skipped")</f>
        <v/>
      </c>
      <c r="H50" s="7">
        <f>IFERROR(D50/(D50+E50),"-")</f>
        <v/>
      </c>
    </row>
  </sheetData>
  <mergeCells count="3">
    <mergeCell ref="A33:H33"/>
    <mergeCell ref="A40:H4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38" customWidth="1" min="5" max="5"/>
    <col width="30" customWidth="1" min="6" max="6"/>
    <col width="50" customWidth="1" min="7" max="7"/>
    <col width="28" customWidth="1" min="8" max="8"/>
    <col width="50" customWidth="1" min="9" max="9"/>
    <col width="30" customWidth="1" min="10" max="10"/>
    <col width="12" customWidth="1" min="11" max="11"/>
    <col width="10" customWidth="1" min="12" max="12"/>
    <col width="14" customWidth="1" min="13" max="13"/>
    <col width="12" customWidth="1" min="14" max="14"/>
    <col width="28" customWidth="1" min="15" max="15"/>
  </cols>
  <sheetData>
    <row r="1" ht="32" customHeight="1">
      <c r="A1" s="4" t="inlineStr">
        <is>
          <t>TC ID</t>
        </is>
      </c>
      <c r="B1" s="4" t="inlineStr">
        <is>
          <t>Module</t>
        </is>
      </c>
      <c r="C1" s="4" t="inlineStr">
        <is>
          <t>Sub-Feature</t>
        </is>
      </c>
      <c r="D1" s="4" t="inlineStr">
        <is>
          <t>Test Type</t>
        </is>
      </c>
      <c r="E1" s="4" t="inlineStr">
        <is>
          <t>Test Case Title</t>
        </is>
      </c>
      <c r="F1" s="4" t="inlineStr">
        <is>
          <t>Pre-conditions</t>
        </is>
      </c>
      <c r="G1" s="4" t="inlineStr">
        <is>
          <t>Test Steps (How to Execute)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Tester</t>
        </is>
      </c>
      <c r="N1" s="4" t="inlineStr">
        <is>
          <t>Test Date</t>
        </is>
      </c>
      <c r="O1" s="4" t="inlineStr">
        <is>
          <t>Notes / Defect ID</t>
        </is>
      </c>
    </row>
    <row r="2" ht="78" customHeight="1">
      <c r="A2" s="16" t="inlineStr">
        <is>
          <t>TC-WS-001</t>
        </is>
      </c>
      <c r="B2" s="16" t="inlineStr">
        <is>
          <t>Workspace Management</t>
        </is>
      </c>
      <c r="C2" s="16" t="inlineStr">
        <is>
          <t>Create</t>
        </is>
      </c>
      <c r="D2" s="16" t="inlineStr">
        <is>
          <t>Functional</t>
        </is>
      </c>
      <c r="E2" s="16" t="inlineStr">
        <is>
          <t>Create a new local workspace</t>
        </is>
      </c>
      <c r="F2" s="16" t="inlineStr">
        <is>
          <t>App is launched; no workspace active.</t>
        </is>
      </c>
      <c r="G2" s="16" t="inlineStr">
        <is>
          <t>1. Open Workspace switcher.
2. Click 'Create new workspace'.
3. Enter name 'QA-Smoke-WS' and confirm.</t>
        </is>
      </c>
      <c r="H2" s="16" t="inlineStr">
        <is>
          <t>Name: QA-Smoke-WS</t>
        </is>
      </c>
      <c r="I2" s="16" t="inlineStr">
        <is>
          <t>Workspace 'QA-Smoke-WS' is created and becomes active; explorer shows zero collections; top bar shows the workspace name.</t>
        </is>
      </c>
      <c r="J2" s="16" t="inlineStr"/>
      <c r="K2" s="16" t="inlineStr">
        <is>
          <t>Not Run</t>
        </is>
      </c>
      <c r="L2" s="16" t="inlineStr">
        <is>
          <t>High</t>
        </is>
      </c>
      <c r="M2" s="16" t="inlineStr"/>
      <c r="N2" s="16" t="inlineStr"/>
      <c r="O2" s="16" t="inlineStr"/>
    </row>
    <row r="3" ht="78" customHeight="1">
      <c r="A3" s="16" t="inlineStr">
        <is>
          <t>TC-WS-002</t>
        </is>
      </c>
      <c r="B3" s="16" t="inlineStr">
        <is>
          <t>Workspace Management</t>
        </is>
      </c>
      <c r="C3" s="16" t="inlineStr">
        <is>
          <t>Create</t>
        </is>
      </c>
      <c r="D3" s="16" t="inlineStr">
        <is>
          <t>Negative</t>
        </is>
      </c>
      <c r="E3" s="16" t="inlineStr">
        <is>
          <t>Reject blank workspace name</t>
        </is>
      </c>
      <c r="F3" s="16" t="inlineStr">
        <is>
          <t>Create workspace dialog is open.</t>
        </is>
      </c>
      <c r="G3" s="16" t="inlineStr">
        <is>
          <t>1. Leave name empty.
2. Click Create.</t>
        </is>
      </c>
      <c r="H3" s="16" t="inlineStr">
        <is>
          <t>Name: (empty)</t>
        </is>
      </c>
      <c r="I3" s="16" t="inlineStr">
        <is>
          <t>Create button is disabled or validation error 'Workspace name is required' is shown; no workspace is created.</t>
        </is>
      </c>
      <c r="J3" s="16" t="inlineStr"/>
      <c r="K3" s="16" t="inlineStr">
        <is>
          <t>Not Run</t>
        </is>
      </c>
      <c r="L3" s="16" t="inlineStr">
        <is>
          <t>Medium</t>
        </is>
      </c>
      <c r="M3" s="16" t="inlineStr"/>
      <c r="N3" s="16" t="inlineStr"/>
      <c r="O3" s="16" t="inlineStr"/>
    </row>
    <row r="4" ht="78" customHeight="1">
      <c r="A4" s="16" t="inlineStr">
        <is>
          <t>TC-WS-003</t>
        </is>
      </c>
      <c r="B4" s="16" t="inlineStr">
        <is>
          <t>Workspace Management</t>
        </is>
      </c>
      <c r="C4" s="16" t="inlineStr">
        <is>
          <t>Create</t>
        </is>
      </c>
      <c r="D4" s="16" t="inlineStr">
        <is>
          <t>Edge Case</t>
        </is>
      </c>
      <c r="E4" s="16" t="inlineStr">
        <is>
          <t>Workspace name supports unicode and emoji</t>
        </is>
      </c>
      <c r="F4" s="16" t="inlineStr">
        <is>
          <t>Create workspace dialog open.</t>
        </is>
      </c>
      <c r="G4" s="16" t="inlineStr">
        <is>
          <t>1. Enter name 'Café 🚀 测试 αβγ'.
2. Confirm.</t>
        </is>
      </c>
      <c r="H4" s="16" t="inlineStr">
        <is>
          <t>Name: Café 🚀 测试 αβγ</t>
        </is>
      </c>
      <c r="I4" s="16" t="inlineStr">
        <is>
          <t>Workspace is created and the unicode/emoji name renders correctly in switcher, top bar, and persisted state.</t>
        </is>
      </c>
      <c r="J4" s="16" t="inlineStr"/>
      <c r="K4" s="16" t="inlineStr">
        <is>
          <t>Not Run</t>
        </is>
      </c>
      <c r="L4" s="16" t="inlineStr">
        <is>
          <t>Low</t>
        </is>
      </c>
      <c r="M4" s="16" t="inlineStr"/>
      <c r="N4" s="16" t="inlineStr"/>
      <c r="O4" s="16" t="inlineStr"/>
    </row>
    <row r="5" ht="78" customHeight="1">
      <c r="A5" s="16" t="inlineStr">
        <is>
          <t>TC-WS-004</t>
        </is>
      </c>
      <c r="B5" s="16" t="inlineStr">
        <is>
          <t>Workspace Management</t>
        </is>
      </c>
      <c r="C5" s="16" t="inlineStr">
        <is>
          <t>Create</t>
        </is>
      </c>
      <c r="D5" s="16" t="inlineStr">
        <is>
          <t>Edge Case</t>
        </is>
      </c>
      <c r="E5" s="16" t="inlineStr">
        <is>
          <t>Workspace name max length</t>
        </is>
      </c>
      <c r="F5" s="16" t="inlineStr">
        <is>
          <t>Create dialog open.</t>
        </is>
      </c>
      <c r="G5" s="16" t="inlineStr">
        <is>
          <t>1. Paste a 256-character name.
2. Confirm.</t>
        </is>
      </c>
      <c r="H5" s="16" t="inlineStr">
        <is>
          <t>256-char name</t>
        </is>
      </c>
      <c r="I5" s="16" t="inlineStr">
        <is>
          <t>Either name is accepted and truncated to the documented limit, or a clear validation error appears; UI does not break layout.</t>
        </is>
      </c>
      <c r="J5" s="16" t="inlineStr"/>
      <c r="K5" s="16" t="inlineStr">
        <is>
          <t>Not Run</t>
        </is>
      </c>
      <c r="L5" s="16" t="inlineStr">
        <is>
          <t>Low</t>
        </is>
      </c>
      <c r="M5" s="16" t="inlineStr"/>
      <c r="N5" s="16" t="inlineStr"/>
      <c r="O5" s="16" t="inlineStr"/>
    </row>
    <row r="6" ht="78" customHeight="1">
      <c r="A6" s="16" t="inlineStr">
        <is>
          <t>TC-WS-005</t>
        </is>
      </c>
      <c r="B6" s="16" t="inlineStr">
        <is>
          <t>Workspace Management</t>
        </is>
      </c>
      <c r="C6" s="16" t="inlineStr">
        <is>
          <t>Switcher</t>
        </is>
      </c>
      <c r="D6" s="16" t="inlineStr">
        <is>
          <t>Functional</t>
        </is>
      </c>
      <c r="E6" s="16" t="inlineStr">
        <is>
          <t>Switch between two workspaces</t>
        </is>
      </c>
      <c r="F6" s="16" t="inlineStr">
        <is>
          <t>Workspaces 'A' and 'B' exist.</t>
        </is>
      </c>
      <c r="G6" s="16" t="inlineStr">
        <is>
          <t>1. Open switcher.
2. Select 'B'.
3. Wait for hydrate.</t>
        </is>
      </c>
      <c r="H6" s="16" t="inlineStr">
        <is>
          <t>Two workspaces</t>
        </is>
      </c>
      <c r="I6" s="16" t="inlineStr">
        <is>
          <t>Active workspace changes to B; explorer, environments, history all reflect B's data; top bar updates.</t>
        </is>
      </c>
      <c r="J6" s="16" t="inlineStr"/>
      <c r="K6" s="16" t="inlineStr">
        <is>
          <t>Not Run</t>
        </is>
      </c>
      <c r="L6" s="16" t="inlineStr">
        <is>
          <t>High</t>
        </is>
      </c>
      <c r="M6" s="16" t="inlineStr"/>
      <c r="N6" s="16" t="inlineStr"/>
      <c r="O6" s="16" t="inlineStr"/>
    </row>
    <row r="7" ht="78" customHeight="1">
      <c r="A7" s="16" t="inlineStr">
        <is>
          <t>TC-WS-006</t>
        </is>
      </c>
      <c r="B7" s="16" t="inlineStr">
        <is>
          <t>Workspace Management</t>
        </is>
      </c>
      <c r="C7" s="16" t="inlineStr">
        <is>
          <t>Switcher</t>
        </is>
      </c>
      <c r="D7" s="16" t="inlineStr">
        <is>
          <t>Functional</t>
        </is>
      </c>
      <c r="E7" s="16" t="inlineStr">
        <is>
          <t>Recent workspaces persist across restart</t>
        </is>
      </c>
      <c r="F7" s="16" t="inlineStr">
        <is>
          <t>User has opened 3 workspaces this session.</t>
        </is>
      </c>
      <c r="G7" s="16" t="inlineStr">
        <is>
          <t>1. Restart the app.
2. Open switcher.</t>
        </is>
      </c>
      <c r="H7" s="16" t="inlineStr">
        <is>
          <t>Three workspaces</t>
        </is>
      </c>
      <c r="I7" s="16" t="inlineStr">
        <is>
          <t>All 3 workspaces are listed in last-opened order; the last-active workspace is restored automatically.</t>
        </is>
      </c>
      <c r="J7" s="16" t="inlineStr"/>
      <c r="K7" s="16" t="inlineStr">
        <is>
          <t>Not Run</t>
        </is>
      </c>
      <c r="L7" s="16" t="inlineStr">
        <is>
          <t>High</t>
        </is>
      </c>
      <c r="M7" s="16" t="inlineStr"/>
      <c r="N7" s="16" t="inlineStr"/>
      <c r="O7" s="16" t="inlineStr"/>
    </row>
    <row r="8" ht="78" customHeight="1">
      <c r="A8" s="16" t="inlineStr">
        <is>
          <t>TC-WS-007</t>
        </is>
      </c>
      <c r="B8" s="16" t="inlineStr">
        <is>
          <t>Workspace Management</t>
        </is>
      </c>
      <c r="C8" s="16" t="inlineStr">
        <is>
          <t>Delete</t>
        </is>
      </c>
      <c r="D8" s="16" t="inlineStr">
        <is>
          <t>Functional</t>
        </is>
      </c>
      <c r="E8" s="16" t="inlineStr">
        <is>
          <t>Delete workspace requires confirmation</t>
        </is>
      </c>
      <c r="F8" s="16" t="inlineStr">
        <is>
          <t>Workspace 'Disposable' active.</t>
        </is>
      </c>
      <c r="G8" s="16" t="inlineStr">
        <is>
          <t>1. Workspace settings → Delete workspace.
2. Observe confirm dialog.
3. Click Cancel.</t>
        </is>
      </c>
      <c r="H8" s="16" t="inlineStr">
        <is>
          <t>Disposable workspace</t>
        </is>
      </c>
      <c r="I8" s="16" t="inlineStr">
        <is>
          <t>Destructive confirm dialog shown; on cancel, workspace remains.</t>
        </is>
      </c>
      <c r="J8" s="16" t="inlineStr"/>
      <c r="K8" s="16" t="inlineStr">
        <is>
          <t>Not Run</t>
        </is>
      </c>
      <c r="L8" s="16" t="inlineStr">
        <is>
          <t>High</t>
        </is>
      </c>
      <c r="M8" s="16" t="inlineStr"/>
      <c r="N8" s="16" t="inlineStr"/>
      <c r="O8" s="16" t="inlineStr"/>
    </row>
    <row r="9" ht="78" customHeight="1">
      <c r="A9" s="16" t="inlineStr">
        <is>
          <t>TC-WS-008</t>
        </is>
      </c>
      <c r="B9" s="16" t="inlineStr">
        <is>
          <t>Workspace Management</t>
        </is>
      </c>
      <c r="C9" s="16" t="inlineStr">
        <is>
          <t>Delete</t>
        </is>
      </c>
      <c r="D9" s="16" t="inlineStr">
        <is>
          <t>Functional</t>
        </is>
      </c>
      <c r="E9" s="16" t="inlineStr">
        <is>
          <t>Confirm deletion removes workspace from registry</t>
        </is>
      </c>
      <c r="F9" s="16" t="inlineStr">
        <is>
          <t>Workspace 'Disposable' active.</t>
        </is>
      </c>
      <c r="G9" s="16" t="inlineStr">
        <is>
          <t>1. Trigger delete.
2. Confirm.</t>
        </is>
      </c>
      <c r="H9" s="16" t="inlineStr">
        <is>
          <t>Disposable workspace</t>
        </is>
      </c>
      <c r="I9" s="16" t="inlineStr">
        <is>
          <t>Workspace removed; app switches to another or empty state; deletion persists across restart.</t>
        </is>
      </c>
      <c r="J9" s="16" t="inlineStr"/>
      <c r="K9" s="16" t="inlineStr">
        <is>
          <t>Not Run</t>
        </is>
      </c>
      <c r="L9" s="16" t="inlineStr">
        <is>
          <t>High</t>
        </is>
      </c>
      <c r="M9" s="16" t="inlineStr"/>
      <c r="N9" s="16" t="inlineStr"/>
      <c r="O9" s="16" t="inlineStr"/>
    </row>
    <row r="10" ht="78" customHeight="1">
      <c r="A10" s="16" t="inlineStr">
        <is>
          <t>TC-WS-009</t>
        </is>
      </c>
      <c r="B10" s="16" t="inlineStr">
        <is>
          <t>Workspace Management</t>
        </is>
      </c>
      <c r="C10" s="16" t="inlineStr">
        <is>
          <t>Link to Git</t>
        </is>
      </c>
      <c r="D10" s="16" t="inlineStr">
        <is>
          <t>Functional</t>
        </is>
      </c>
      <c r="E10" s="16" t="inlineStr">
        <is>
          <t>Link workspace to a GitHub repo</t>
        </is>
      </c>
      <c r="F10" s="16" t="inlineStr">
        <is>
          <t>Workspace unlinked; user has GitHub account.</t>
        </is>
      </c>
      <c r="G10" s="16" t="inlineStr">
        <is>
          <t>1. Click 'Link to Git'.
2. Authorize GitHub OAuth.
3. Pick / create repo.
4. Confirm.</t>
        </is>
      </c>
      <c r="H10" s="16" t="inlineStr">
        <is>
          <t>Repo: test-owner/qa-link</t>
        </is>
      </c>
      <c r="I10" s="16" t="inlineStr">
        <is>
          <t>Workspace links; a working branch is created on the remote; Push/Pull enabled; status badge 'Linked'.</t>
        </is>
      </c>
      <c r="J10" s="16" t="inlineStr"/>
      <c r="K10" s="16" t="inlineStr">
        <is>
          <t>Not Run</t>
        </is>
      </c>
      <c r="L10" s="16" t="inlineStr">
        <is>
          <t>High</t>
        </is>
      </c>
      <c r="M10" s="16" t="inlineStr"/>
      <c r="N10" s="16" t="inlineStr"/>
      <c r="O10" s="16" t="inlineStr"/>
    </row>
    <row r="11" ht="78" customHeight="1">
      <c r="A11" s="16" t="inlineStr">
        <is>
          <t>TC-WS-010</t>
        </is>
      </c>
      <c r="B11" s="16" t="inlineStr">
        <is>
          <t>Workspace Management</t>
        </is>
      </c>
      <c r="C11" s="16" t="inlineStr">
        <is>
          <t>Link to Git</t>
        </is>
      </c>
      <c r="D11" s="16" t="inlineStr">
        <is>
          <t>Negative</t>
        </is>
      </c>
      <c r="E11" s="16" t="inlineStr">
        <is>
          <t>OAuth scope denial blocks linking</t>
        </is>
      </c>
      <c r="F11" s="16" t="inlineStr">
        <is>
          <t>Workspace unlinked.</t>
        </is>
      </c>
      <c r="G11" s="16" t="inlineStr">
        <is>
          <t>1. Begin link flow.
2. On GitHub consent, click Cancel.</t>
        </is>
      </c>
      <c r="H11" s="16" t="inlineStr">
        <is>
          <t>—</t>
        </is>
      </c>
      <c r="I11" s="16" t="inlineStr">
        <is>
          <t>Toast 'GitHub authorization was cancelled'; workspace remains unlinked; no working branch created.</t>
        </is>
      </c>
      <c r="J11" s="16" t="inlineStr"/>
      <c r="K11" s="16" t="inlineStr">
        <is>
          <t>Not Run</t>
        </is>
      </c>
      <c r="L11" s="16" t="inlineStr">
        <is>
          <t>Medium</t>
        </is>
      </c>
      <c r="M11" s="16" t="inlineStr"/>
      <c r="N11" s="16" t="inlineStr"/>
      <c r="O11" s="16" t="inlineStr"/>
    </row>
    <row r="12" ht="78" customHeight="1">
      <c r="A12" s="16" t="inlineStr">
        <is>
          <t>TC-WS-011</t>
        </is>
      </c>
      <c r="B12" s="16" t="inlineStr">
        <is>
          <t>Workspace Management</t>
        </is>
      </c>
      <c r="C12" s="16" t="inlineStr">
        <is>
          <t>Link to Git</t>
        </is>
      </c>
      <c r="D12" s="16" t="inlineStr">
        <is>
          <t>Negative</t>
        </is>
      </c>
      <c r="E12" s="16" t="inlineStr">
        <is>
          <t>GitHub token revoked surfaces re-auth prompt</t>
        </is>
      </c>
      <c r="F12" s="16" t="inlineStr">
        <is>
          <t>Workspace linked; user revoked token on github.com.</t>
        </is>
      </c>
      <c r="G12" s="16" t="inlineStr">
        <is>
          <t>1. Click Push.</t>
        </is>
      </c>
      <c r="H12" s="16" t="inlineStr">
        <is>
          <t>—</t>
        </is>
      </c>
      <c r="I12" s="16" t="inlineStr">
        <is>
          <t>App detects 401; prompts user to re-authorize; push aborted; no data lost.</t>
        </is>
      </c>
      <c r="J12" s="16" t="inlineStr"/>
      <c r="K12" s="16" t="inlineStr">
        <is>
          <t>Not Run</t>
        </is>
      </c>
      <c r="L12" s="16" t="inlineStr">
        <is>
          <t>High</t>
        </is>
      </c>
      <c r="M12" s="16" t="inlineStr"/>
      <c r="N12" s="16" t="inlineStr"/>
      <c r="O12" s="16" t="inlineStr"/>
    </row>
    <row r="13" ht="78" customHeight="1">
      <c r="A13" s="16" t="inlineStr">
        <is>
          <t>TC-WS-012</t>
        </is>
      </c>
      <c r="B13" s="16" t="inlineStr">
        <is>
          <t>Workspace Management</t>
        </is>
      </c>
      <c r="C13" s="16" t="inlineStr">
        <is>
          <t>Push</t>
        </is>
      </c>
      <c r="D13" s="16" t="inlineStr">
        <is>
          <t>Functional</t>
        </is>
      </c>
      <c r="E13" s="16" t="inlineStr">
        <is>
          <t>Push edits to working branch</t>
        </is>
      </c>
      <c r="F13" s="16" t="inlineStr">
        <is>
          <t>Workspace linked; user modified ≥1 request.</t>
        </is>
      </c>
      <c r="G13" s="16" t="inlineStr">
        <is>
          <t>1. Click Push.
2. Wait for completion.</t>
        </is>
      </c>
      <c r="H13" s="16" t="inlineStr">
        <is>
          <t>Modified request</t>
        </is>
      </c>
      <c r="I13" s="16" t="inlineStr">
        <is>
          <t>Commit pushed to working branch; commit metadata contains app version + timestamp; sync snapshot updates; UI returns to idle.</t>
        </is>
      </c>
      <c r="J13" s="16" t="inlineStr"/>
      <c r="K13" s="16" t="inlineStr">
        <is>
          <t>Not Run</t>
        </is>
      </c>
      <c r="L13" s="16" t="inlineStr">
        <is>
          <t>High</t>
        </is>
      </c>
      <c r="M13" s="16" t="inlineStr"/>
      <c r="N13" s="16" t="inlineStr"/>
      <c r="O13" s="16" t="inlineStr"/>
    </row>
    <row r="14" ht="78" customHeight="1">
      <c r="A14" s="16" t="inlineStr">
        <is>
          <t>TC-WS-013</t>
        </is>
      </c>
      <c r="B14" s="16" t="inlineStr">
        <is>
          <t>Workspace Management</t>
        </is>
      </c>
      <c r="C14" s="16" t="inlineStr">
        <is>
          <t>Push</t>
        </is>
      </c>
      <c r="D14" s="16" t="inlineStr">
        <is>
          <t>Edge Case</t>
        </is>
      </c>
      <c r="E14" s="16" t="inlineStr">
        <is>
          <t>Push with no local changes is a no-op</t>
        </is>
      </c>
      <c r="F14" s="16" t="inlineStr">
        <is>
          <t>Workspace linked; no edits.</t>
        </is>
      </c>
      <c r="G14" s="16" t="inlineStr">
        <is>
          <t>1. Click Push.</t>
        </is>
      </c>
      <c r="H14" s="16" t="inlineStr">
        <is>
          <t>—</t>
        </is>
      </c>
      <c r="I14" s="16" t="inlineStr">
        <is>
          <t>Push completes silently or shows 'No changes to push'; no new commit is created.</t>
        </is>
      </c>
      <c r="J14" s="16" t="inlineStr"/>
      <c r="K14" s="16" t="inlineStr">
        <is>
          <t>Not Run</t>
        </is>
      </c>
      <c r="L14" s="16" t="inlineStr">
        <is>
          <t>Medium</t>
        </is>
      </c>
      <c r="M14" s="16" t="inlineStr"/>
      <c r="N14" s="16" t="inlineStr"/>
      <c r="O14" s="16" t="inlineStr"/>
    </row>
    <row r="15" ht="78" customHeight="1">
      <c r="A15" s="16" t="inlineStr">
        <is>
          <t>TC-WS-014</t>
        </is>
      </c>
      <c r="B15" s="16" t="inlineStr">
        <is>
          <t>Workspace Management</t>
        </is>
      </c>
      <c r="C15" s="16" t="inlineStr">
        <is>
          <t>Pull</t>
        </is>
      </c>
      <c r="D15" s="16" t="inlineStr">
        <is>
          <t>Functional</t>
        </is>
      </c>
      <c r="E15" s="16" t="inlineStr">
        <is>
          <t>Pull updates from remote</t>
        </is>
      </c>
      <c r="F15" s="16" t="inlineStr">
        <is>
          <t>Working branch updated remotely.</t>
        </is>
      </c>
      <c r="G15" s="16" t="inlineStr">
        <is>
          <t>1. Click Pull.</t>
        </is>
      </c>
      <c r="H15" s="16" t="inlineStr">
        <is>
          <t>Remote commit on working branch</t>
        </is>
      </c>
      <c r="I15" s="16" t="inlineStr">
        <is>
          <t>Latest changes applied; sync snapshot updates; UI reflects new collections/envs.</t>
        </is>
      </c>
      <c r="J15" s="16" t="inlineStr"/>
      <c r="K15" s="16" t="inlineStr">
        <is>
          <t>Not Run</t>
        </is>
      </c>
      <c r="L15" s="16" t="inlineStr">
        <is>
          <t>High</t>
        </is>
      </c>
      <c r="M15" s="16" t="inlineStr"/>
      <c r="N15" s="16" t="inlineStr"/>
      <c r="O15" s="16" t="inlineStr"/>
    </row>
    <row r="16" ht="78" customHeight="1">
      <c r="A16" s="16" t="inlineStr">
        <is>
          <t>TC-WS-015</t>
        </is>
      </c>
      <c r="B16" s="16" t="inlineStr">
        <is>
          <t>Workspace Management</t>
        </is>
      </c>
      <c r="C16" s="16" t="inlineStr">
        <is>
          <t>Refresh</t>
        </is>
      </c>
      <c r="D16" s="16" t="inlineStr">
        <is>
          <t>Functional</t>
        </is>
      </c>
      <c r="E16" s="16" t="inlineStr">
        <is>
          <t>Refresh detects retired branch (PR merged)</t>
        </is>
      </c>
      <c r="F16" s="16" t="inlineStr">
        <is>
          <t>Working branch merged &amp; deleted on remote.</t>
        </is>
      </c>
      <c r="G16" s="16" t="inlineStr">
        <is>
          <t>1. Click Refresh.</t>
        </is>
      </c>
      <c r="H16" s="16" t="inlineStr">
        <is>
          <t>—</t>
        </is>
      </c>
      <c r="I16" s="16" t="inlineStr">
        <is>
          <t>App detects retirement; prompts user to create new branch or switch to main; retired branch recorded.</t>
        </is>
      </c>
      <c r="J16" s="16" t="inlineStr"/>
      <c r="K16" s="16" t="inlineStr">
        <is>
          <t>Not Run</t>
        </is>
      </c>
      <c r="L16" s="16" t="inlineStr">
        <is>
          <t>High</t>
        </is>
      </c>
      <c r="M16" s="16" t="inlineStr"/>
      <c r="N16" s="16" t="inlineStr"/>
      <c r="O16" s="16" t="inlineStr"/>
    </row>
    <row r="17" ht="78" customHeight="1">
      <c r="A17" s="16" t="inlineStr">
        <is>
          <t>TC-WS-016</t>
        </is>
      </c>
      <c r="B17" s="16" t="inlineStr">
        <is>
          <t>Workspace Management</t>
        </is>
      </c>
      <c r="C17" s="16" t="inlineStr">
        <is>
          <t>Reset</t>
        </is>
      </c>
      <c r="D17" s="16" t="inlineStr">
        <is>
          <t>Functional</t>
        </is>
      </c>
      <c r="E17" s="16" t="inlineStr">
        <is>
          <t>Reset workspace discards local edits</t>
        </is>
      </c>
      <c r="F17" s="16" t="inlineStr">
        <is>
          <t>Workspace has uncommitted edits.</t>
        </is>
      </c>
      <c r="G17" s="16" t="inlineStr">
        <is>
          <t>1. Workspace settings → Reset to last sync.
2. Confirm.</t>
        </is>
      </c>
      <c r="H17" s="16" t="inlineStr">
        <is>
          <t>—</t>
        </is>
      </c>
      <c r="I17" s="16" t="inlineStr">
        <is>
          <t>Local edits discarded; workspace returns to last-synced state; history preserved (local-only).</t>
        </is>
      </c>
      <c r="J17" s="16" t="inlineStr"/>
      <c r="K17" s="16" t="inlineStr">
        <is>
          <t>Not Run</t>
        </is>
      </c>
      <c r="L17" s="16" t="inlineStr">
        <is>
          <t>High</t>
        </is>
      </c>
      <c r="M17" s="16" t="inlineStr"/>
      <c r="N17" s="16" t="inlineStr"/>
      <c r="O17" s="16" t="inlineStr"/>
    </row>
    <row r="18" ht="78" customHeight="1">
      <c r="A18" s="16" t="inlineStr">
        <is>
          <t>TC-WS-017</t>
        </is>
      </c>
      <c r="B18" s="16" t="inlineStr">
        <is>
          <t>Workspace Management</t>
        </is>
      </c>
      <c r="C18" s="16" t="inlineStr">
        <is>
          <t>Offline</t>
        </is>
      </c>
      <c r="D18" s="16" t="inlineStr">
        <is>
          <t>Functional</t>
        </is>
      </c>
      <c r="E18" s="16" t="inlineStr">
        <is>
          <t>Create offline workspace has no git affordances</t>
        </is>
      </c>
      <c r="F18" s="16" t="inlineStr">
        <is>
          <t>Switcher open.</t>
        </is>
      </c>
      <c r="G18" s="16" t="inlineStr">
        <is>
          <t>1. Choose 'Create offline workspace'.
2. Name 'Local-Only'.</t>
        </is>
      </c>
      <c r="H18" s="16" t="inlineStr">
        <is>
          <t>—</t>
        </is>
      </c>
      <c r="I18" s="16" t="inlineStr">
        <is>
          <t>Workspace created; Push/Pull buttons hidden/disabled; 'Link to Git' option still available; data persists in IndexedDB only.</t>
        </is>
      </c>
      <c r="J18" s="16" t="inlineStr"/>
      <c r="K18" s="16" t="inlineStr">
        <is>
          <t>Not Run</t>
        </is>
      </c>
      <c r="L18" s="16" t="inlineStr">
        <is>
          <t>Medium</t>
        </is>
      </c>
      <c r="M18" s="16" t="inlineStr"/>
      <c r="N18" s="16" t="inlineStr"/>
      <c r="O18" s="16" t="inlineStr"/>
    </row>
    <row r="19" ht="78" customHeight="1">
      <c r="A19" s="16" t="inlineStr">
        <is>
          <t>TC-WS-018</t>
        </is>
      </c>
      <c r="B19" s="16" t="inlineStr">
        <is>
          <t>Workspace Management</t>
        </is>
      </c>
      <c r="C19" s="16" t="inlineStr">
        <is>
          <t>Hydrate</t>
        </is>
      </c>
      <c r="D19" s="16" t="inlineStr">
        <is>
          <t>Functional</t>
        </is>
      </c>
      <c r="E19" s="16" t="inlineStr">
        <is>
          <t>Passphrase prompt for workspace with secrets</t>
        </is>
      </c>
      <c r="F19" s="16" t="inlineStr">
        <is>
          <t>Workspace has ≥1 secret variable; new session.</t>
        </is>
      </c>
      <c r="G19" s="16" t="inlineStr">
        <is>
          <t>1. Open the workspace.
2. Enter correct passphrase.</t>
        </is>
      </c>
      <c r="H19" s="16" t="inlineStr">
        <is>
          <t>Correct passphrase</t>
        </is>
      </c>
      <c r="I19" s="16" t="inlineStr">
        <is>
          <t>Passphrase modal shown; on correct entry, secrets decrypt; UI proceeds.</t>
        </is>
      </c>
      <c r="J19" s="16" t="inlineStr"/>
      <c r="K19" s="16" t="inlineStr">
        <is>
          <t>Not Run</t>
        </is>
      </c>
      <c r="L19" s="16" t="inlineStr">
        <is>
          <t>High</t>
        </is>
      </c>
      <c r="M19" s="16" t="inlineStr"/>
      <c r="N19" s="16" t="inlineStr"/>
      <c r="O19" s="16" t="inlineStr"/>
    </row>
    <row r="20" ht="78" customHeight="1">
      <c r="A20" s="16" t="inlineStr">
        <is>
          <t>TC-WS-019</t>
        </is>
      </c>
      <c r="B20" s="16" t="inlineStr">
        <is>
          <t>Workspace Management</t>
        </is>
      </c>
      <c r="C20" s="16" t="inlineStr">
        <is>
          <t>Hydrate</t>
        </is>
      </c>
      <c r="D20" s="16" t="inlineStr">
        <is>
          <t>Negative</t>
        </is>
      </c>
      <c r="E20" s="16" t="inlineStr">
        <is>
          <t>Wrong passphrase keeps secrets locked</t>
        </is>
      </c>
      <c r="F20" s="16" t="inlineStr">
        <is>
          <t>Workspace has secrets + passphrase.</t>
        </is>
      </c>
      <c r="G20" s="16" t="inlineStr">
        <is>
          <t>1. Enter incorrect passphrase.
2. Submit.</t>
        </is>
      </c>
      <c r="H20" s="16" t="inlineStr">
        <is>
          <t>Wrong passphrase</t>
        </is>
      </c>
      <c r="I20" s="16" t="inlineStr">
        <is>
          <t>Error 'Incorrect passphrase' displayed; secrets stay encrypted; user can retry or proceed with secrets unavailable.</t>
        </is>
      </c>
      <c r="J20" s="16" t="inlineStr"/>
      <c r="K20" s="16" t="inlineStr">
        <is>
          <t>Not Run</t>
        </is>
      </c>
      <c r="L20" s="16" t="inlineStr">
        <is>
          <t>High</t>
        </is>
      </c>
      <c r="M20" s="16" t="inlineStr"/>
      <c r="N20" s="16" t="inlineStr"/>
      <c r="O20" s="16" t="inlineStr"/>
    </row>
    <row r="21" ht="78" customHeight="1">
      <c r="A21" s="16" t="inlineStr">
        <is>
          <t>TC-WS-020</t>
        </is>
      </c>
      <c r="B21" s="16" t="inlineStr">
        <is>
          <t>Workspace Management</t>
        </is>
      </c>
      <c r="C21" s="16" t="inlineStr">
        <is>
          <t>Hydrate</t>
        </is>
      </c>
      <c r="D21" s="16" t="inlineStr">
        <is>
          <t>Edge Case</t>
        </is>
      </c>
      <c r="E21" s="16" t="inlineStr">
        <is>
          <t>Skip passphrase keeps workspace usable for non-secret data</t>
        </is>
      </c>
      <c r="F21" s="16" t="inlineStr">
        <is>
          <t>Workspace has secrets + passphrase.</t>
        </is>
      </c>
      <c r="G21" s="16" t="inlineStr">
        <is>
          <t>1. Dismiss passphrase modal.</t>
        </is>
      </c>
      <c r="H21" s="16" t="inlineStr">
        <is>
          <t>—</t>
        </is>
      </c>
      <c r="I21" s="16" t="inlineStr">
        <is>
          <t>Workspace loads; UI clearly marks secret-dependent rows (Auth/Vault) as locked; non-secret operations continue normally.</t>
        </is>
      </c>
      <c r="J21" s="16" t="inlineStr"/>
      <c r="K21" s="16" t="inlineStr">
        <is>
          <t>Not Run</t>
        </is>
      </c>
      <c r="L21" s="16" t="inlineStr">
        <is>
          <t>Medium</t>
        </is>
      </c>
      <c r="M21" s="16" t="inlineStr"/>
      <c r="N21" s="16" t="inlineStr"/>
      <c r="O21" s="16" t="inlineStr"/>
    </row>
    <row r="22" ht="78" customHeight="1">
      <c r="A22" s="16" t="inlineStr">
        <is>
          <t>TC-WS-021</t>
        </is>
      </c>
      <c r="B22" s="16" t="inlineStr">
        <is>
          <t>Workspace Management</t>
        </is>
      </c>
      <c r="C22" s="16" t="inlineStr">
        <is>
          <t>Multi-Tab</t>
        </is>
      </c>
      <c r="D22" s="16" t="inlineStr">
        <is>
          <t>Edge Case</t>
        </is>
      </c>
      <c r="E22" s="16" t="inlineStr">
        <is>
          <t>Two browser tabs open the same workspace</t>
        </is>
      </c>
      <c r="F22" s="16" t="inlineStr">
        <is>
          <t>Workspace loaded in Tab A.</t>
        </is>
      </c>
      <c r="G22" s="16" t="inlineStr">
        <is>
          <t>1. Open Tab B with same URL.
2. Edit a request in Tab A.
3. Refresh Tab B.</t>
        </is>
      </c>
      <c r="H22" s="16" t="inlineStr">
        <is>
          <t>Two tabs, one workspace</t>
        </is>
      </c>
      <c r="I22" s="16" t="inlineStr">
        <is>
          <t>Tab B reflects Tab A's persisted edits after refresh; no data corruption from IndexedDB races; last-write wins on rapid concurrent edits in same field.</t>
        </is>
      </c>
      <c r="J22" s="16" t="inlineStr"/>
      <c r="K22" s="16" t="inlineStr">
        <is>
          <t>Not Run</t>
        </is>
      </c>
      <c r="L22" s="16" t="inlineStr">
        <is>
          <t>High</t>
        </is>
      </c>
      <c r="M22" s="16" t="inlineStr"/>
      <c r="N22" s="16" t="inlineStr"/>
      <c r="O22" s="16" t="inlineStr"/>
    </row>
    <row r="23" ht="78" customHeight="1">
      <c r="A23" s="16" t="inlineStr">
        <is>
          <t>TC-WS-022</t>
        </is>
      </c>
      <c r="B23" s="16" t="inlineStr">
        <is>
          <t>Workspace Management</t>
        </is>
      </c>
      <c r="C23" s="16" t="inlineStr">
        <is>
          <t>Refresh</t>
        </is>
      </c>
      <c r="D23" s="16" t="inlineStr">
        <is>
          <t>Functional</t>
        </is>
      </c>
      <c r="E23" s="16" t="inlineStr">
        <is>
          <t>Browser refresh preserves workspace state</t>
        </is>
      </c>
      <c r="F23" s="16" t="inlineStr">
        <is>
          <t>Workspace has unpushed local edits.</t>
        </is>
      </c>
      <c r="G23" s="16" t="inlineStr">
        <is>
          <t>1. Press F5 (or Ctrl/Cmd+R).</t>
        </is>
      </c>
      <c r="H23" s="16" t="inlineStr">
        <is>
          <t>—</t>
        </is>
      </c>
      <c r="I23" s="16" t="inlineStr">
        <is>
          <t>Workspace re-hydrates with all local edits intact; active request and tab preserved.</t>
        </is>
      </c>
      <c r="J23" s="16" t="inlineStr"/>
      <c r="K23" s="16" t="inlineStr">
        <is>
          <t>Not Run</t>
        </is>
      </c>
      <c r="L23" s="16" t="inlineStr">
        <is>
          <t>High</t>
        </is>
      </c>
      <c r="M23" s="16" t="inlineStr"/>
      <c r="N23" s="16" t="inlineStr"/>
      <c r="O23" s="16" t="inlineStr"/>
    </row>
    <row r="24" ht="78" customHeight="1">
      <c r="A24" s="16" t="inlineStr">
        <is>
          <t>TC-WS-023</t>
        </is>
      </c>
      <c r="B24" s="16" t="inlineStr">
        <is>
          <t>Workspace Management</t>
        </is>
      </c>
      <c r="C24" s="16" t="inlineStr">
        <is>
          <t>Refresh</t>
        </is>
      </c>
      <c r="D24" s="16" t="inlineStr">
        <is>
          <t>Edge Case</t>
        </is>
      </c>
      <c r="E24" s="16" t="inlineStr">
        <is>
          <t>Refresh during in-flight request</t>
        </is>
      </c>
      <c r="F24" s="16" t="inlineStr">
        <is>
          <t>Send long-running request.</t>
        </is>
      </c>
      <c r="G24" s="16" t="inlineStr">
        <is>
          <t>1. While 'Sending…' is shown, press F5.</t>
        </is>
      </c>
      <c r="H24" s="16" t="inlineStr">
        <is>
          <t>—</t>
        </is>
      </c>
      <c r="I24" s="16" t="inlineStr">
        <is>
          <t>Request is aborted by reload; on hydrate, no half-saved history entry corrupts state; request can be re-sent.</t>
        </is>
      </c>
      <c r="J24" s="16" t="inlineStr"/>
      <c r="K24" s="16" t="inlineStr">
        <is>
          <t>Not Run</t>
        </is>
      </c>
      <c r="L24" s="16" t="inlineStr">
        <is>
          <t>Medium</t>
        </is>
      </c>
      <c r="M24" s="16" t="inlineStr"/>
      <c r="N24" s="16" t="inlineStr"/>
      <c r="O24" s="16" t="inlineStr"/>
    </row>
    <row r="25" ht="78" customHeight="1">
      <c r="A25" s="16" t="inlineStr">
        <is>
          <t>TC-WS-024</t>
        </is>
      </c>
      <c r="B25" s="16" t="inlineStr">
        <is>
          <t>Workspace Management</t>
        </is>
      </c>
      <c r="C25" s="16" t="inlineStr">
        <is>
          <t>Quota</t>
        </is>
      </c>
      <c r="D25" s="16" t="inlineStr">
        <is>
          <t>Edge Case</t>
        </is>
      </c>
      <c r="E25" s="16" t="inlineStr">
        <is>
          <t>IndexedDB quota near full surfaces warning</t>
        </is>
      </c>
      <c r="F25" s="16" t="inlineStr">
        <is>
          <t>Browser storage quota nearly used (use DevTools to simulate).</t>
        </is>
      </c>
      <c r="G25" s="16" t="inlineStr">
        <is>
          <t>1. Try to add a large attachment / response.</t>
        </is>
      </c>
      <c r="H25" s="16" t="inlineStr">
        <is>
          <t>Quota-limited storage</t>
        </is>
      </c>
      <c r="I25" s="16" t="inlineStr">
        <is>
          <t>Friendly error toast 'Storage limit reached'; user is offered guidance (clear history, export, etc.); app does not silently lose data.</t>
        </is>
      </c>
      <c r="J25" s="16" t="inlineStr"/>
      <c r="K25" s="16" t="inlineStr">
        <is>
          <t>Not Run</t>
        </is>
      </c>
      <c r="L25" s="16" t="inlineStr">
        <is>
          <t>Medium</t>
        </is>
      </c>
      <c r="M25" s="16" t="inlineStr"/>
      <c r="N25" s="16" t="inlineStr"/>
      <c r="O25" s="16" t="inlineStr"/>
    </row>
    <row r="26" ht="78" customHeight="1">
      <c r="A26" s="16" t="inlineStr">
        <is>
          <t>TC-WS-025</t>
        </is>
      </c>
      <c r="B26" s="16" t="inlineStr">
        <is>
          <t>Workspace Management</t>
        </is>
      </c>
      <c r="C26" s="16" t="inlineStr">
        <is>
          <t>Storage</t>
        </is>
      </c>
      <c r="D26" s="16" t="inlineStr">
        <is>
          <t>Edge Case</t>
        </is>
      </c>
      <c r="E26" s="16" t="inlineStr">
        <is>
          <t>Private/incognito session - limited persistence</t>
        </is>
      </c>
      <c r="F26" s="16" t="inlineStr">
        <is>
          <t>Open app in incognito window.</t>
        </is>
      </c>
      <c r="G26" s="16" t="inlineStr">
        <is>
          <t>1. Create workspace.
2. Close window.
3. Re-open in same incognito session.</t>
        </is>
      </c>
      <c r="H26" s="16" t="inlineStr">
        <is>
          <t>Incognito mode</t>
        </is>
      </c>
      <c r="I26" s="16" t="inlineStr">
        <is>
          <t>Workspace persists for the session; user is warned (or it just works) that data clears with window close; no crash.</t>
        </is>
      </c>
      <c r="J26" s="16" t="inlineStr"/>
      <c r="K26" s="16" t="inlineStr">
        <is>
          <t>Not Run</t>
        </is>
      </c>
      <c r="L26" s="16" t="inlineStr">
        <is>
          <t>Low</t>
        </is>
      </c>
      <c r="M26" s="16" t="inlineStr"/>
      <c r="N26" s="16" t="inlineStr"/>
      <c r="O26" s="16" t="inlineStr"/>
    </row>
    <row r="27" ht="78" customHeight="1">
      <c r="A27" s="16" t="inlineStr">
        <is>
          <t>TC-WS-026</t>
        </is>
      </c>
      <c r="B27" s="16" t="inlineStr">
        <is>
          <t>Workspace Management</t>
        </is>
      </c>
      <c r="C27" s="16" t="inlineStr">
        <is>
          <t>Browser Nav</t>
        </is>
      </c>
      <c r="D27" s="16" t="inlineStr">
        <is>
          <t>Edge Case</t>
        </is>
      </c>
      <c r="E27" s="16" t="inlineStr">
        <is>
          <t>Browser back button does not navigate away unexpectedly</t>
        </is>
      </c>
      <c r="F27" s="16" t="inlineStr">
        <is>
          <t>User on workspace view.</t>
        </is>
      </c>
      <c r="G27" s="16" t="inlineStr">
        <is>
          <t>1. Press browser Back.</t>
        </is>
      </c>
      <c r="H27" s="16" t="inlineStr">
        <is>
          <t>—</t>
        </is>
      </c>
      <c r="I27" s="16" t="inlineStr">
        <is>
          <t>Either an in-app navigation occurs (panel/route history) or the user is prompted before unloading; no silent loss of unsaved edits.</t>
        </is>
      </c>
      <c r="J27" s="16" t="inlineStr"/>
      <c r="K27" s="16" t="inlineStr">
        <is>
          <t>Not Run</t>
        </is>
      </c>
      <c r="L27" s="16" t="inlineStr">
        <is>
          <t>Medium</t>
        </is>
      </c>
      <c r="M27" s="16" t="inlineStr"/>
      <c r="N27" s="16" t="inlineStr"/>
      <c r="O27" s="16" t="inlineStr"/>
    </row>
    <row r="28" ht="78" customHeight="1">
      <c r="A28" s="16" t="inlineStr">
        <is>
          <t>TC-CR-001</t>
        </is>
      </c>
      <c r="B28" s="16" t="inlineStr">
        <is>
          <t>Collections &amp; Requests</t>
        </is>
      </c>
      <c r="C28" s="16" t="inlineStr">
        <is>
          <t>Collection</t>
        </is>
      </c>
      <c r="D28" s="16" t="inlineStr">
        <is>
          <t>Functional</t>
        </is>
      </c>
      <c r="E28" s="16" t="inlineStr">
        <is>
          <t>Create collection at root</t>
        </is>
      </c>
      <c r="F28" s="16" t="inlineStr">
        <is>
          <t>Workspace open.</t>
        </is>
      </c>
      <c r="G28" s="16" t="inlineStr">
        <is>
          <t>1. Editor sidebar → + Add → Collection.
2. Name 'Smoke Suite'.</t>
        </is>
      </c>
      <c r="H28" s="16" t="inlineStr">
        <is>
          <t>—</t>
        </is>
      </c>
      <c r="I28" s="16" t="inlineStr">
        <is>
          <t>Collection added at root, selected, empty; rename input auto-focused on initial create.</t>
        </is>
      </c>
      <c r="J28" s="16" t="inlineStr"/>
      <c r="K28" s="16" t="inlineStr">
        <is>
          <t>Not Run</t>
        </is>
      </c>
      <c r="L28" s="16" t="inlineStr">
        <is>
          <t>High</t>
        </is>
      </c>
      <c r="M28" s="16" t="inlineStr"/>
      <c r="N28" s="16" t="inlineStr"/>
      <c r="O28" s="16" t="inlineStr"/>
    </row>
    <row r="29" ht="78" customHeight="1">
      <c r="A29" s="16" t="inlineStr">
        <is>
          <t>TC-CR-002</t>
        </is>
      </c>
      <c r="B29" s="16" t="inlineStr">
        <is>
          <t>Collections &amp; Requests</t>
        </is>
      </c>
      <c r="C29" s="16" t="inlineStr">
        <is>
          <t>Collection</t>
        </is>
      </c>
      <c r="D29" s="16" t="inlineStr">
        <is>
          <t>Functional</t>
        </is>
      </c>
      <c r="E29" s="16" t="inlineStr">
        <is>
          <t>Rename collection inline</t>
        </is>
      </c>
      <c r="F29" s="16" t="inlineStr">
        <is>
          <t>Collection 'Old' exists.</t>
        </is>
      </c>
      <c r="G29" s="16" t="inlineStr">
        <is>
          <t>1. Double-click → enter 'New'.
2. Press Enter.</t>
        </is>
      </c>
      <c r="H29" s="16" t="inlineStr">
        <is>
          <t>—</t>
        </is>
      </c>
      <c r="I29" s="16" t="inlineStr">
        <is>
          <t>Name updates in tree; open request tabs reflect new collection name in breadcrumbs.</t>
        </is>
      </c>
      <c r="J29" s="16" t="inlineStr"/>
      <c r="K29" s="16" t="inlineStr">
        <is>
          <t>Not Run</t>
        </is>
      </c>
      <c r="L29" s="16" t="inlineStr">
        <is>
          <t>Medium</t>
        </is>
      </c>
      <c r="M29" s="16" t="inlineStr"/>
      <c r="N29" s="16" t="inlineStr"/>
      <c r="O29" s="16" t="inlineStr"/>
    </row>
    <row r="30" ht="78" customHeight="1">
      <c r="A30" s="16" t="inlineStr">
        <is>
          <t>TC-CR-003</t>
        </is>
      </c>
      <c r="B30" s="16" t="inlineStr">
        <is>
          <t>Collections &amp; Requests</t>
        </is>
      </c>
      <c r="C30" s="16" t="inlineStr">
        <is>
          <t>Collection</t>
        </is>
      </c>
      <c r="D30" s="16" t="inlineStr">
        <is>
          <t>Edge Case</t>
        </is>
      </c>
      <c r="E30" s="16" t="inlineStr">
        <is>
          <t>Duplicate collection name allowed at different levels</t>
        </is>
      </c>
      <c r="F30" s="16" t="inlineStr">
        <is>
          <t>Collection 'Users' under root exists.</t>
        </is>
      </c>
      <c r="G30" s="16" t="inlineStr">
        <is>
          <t>1. Create another collection named 'Users' under a folder.</t>
        </is>
      </c>
      <c r="H30" s="16" t="inlineStr">
        <is>
          <t>—</t>
        </is>
      </c>
      <c r="I30" s="16" t="inlineStr">
        <is>
          <t>Both exist independently; tree shows full path on hover or breadcrumbs to disambiguate.</t>
        </is>
      </c>
      <c r="J30" s="16" t="inlineStr"/>
      <c r="K30" s="16" t="inlineStr">
        <is>
          <t>Not Run</t>
        </is>
      </c>
      <c r="L30" s="16" t="inlineStr">
        <is>
          <t>Low</t>
        </is>
      </c>
      <c r="M30" s="16" t="inlineStr"/>
      <c r="N30" s="16" t="inlineStr"/>
      <c r="O30" s="16" t="inlineStr"/>
    </row>
    <row r="31" ht="78" customHeight="1">
      <c r="A31" s="16" t="inlineStr">
        <is>
          <t>TC-CR-004</t>
        </is>
      </c>
      <c r="B31" s="16" t="inlineStr">
        <is>
          <t>Collections &amp; Requests</t>
        </is>
      </c>
      <c r="C31" s="16" t="inlineStr">
        <is>
          <t>Collection</t>
        </is>
      </c>
      <c r="D31" s="16" t="inlineStr">
        <is>
          <t>Functional</t>
        </is>
      </c>
      <c r="E31" s="16" t="inlineStr">
        <is>
          <t>Delete empty collection</t>
        </is>
      </c>
      <c r="F31" s="16" t="inlineStr">
        <is>
          <t>Empty collection 'Trash' exists.</t>
        </is>
      </c>
      <c r="G31" s="16" t="inlineStr">
        <is>
          <t>1. Right-click → Delete.
2. Confirm.</t>
        </is>
      </c>
      <c r="H31" s="16" t="inlineStr">
        <is>
          <t>—</t>
        </is>
      </c>
      <c r="I31" s="16" t="inlineStr">
        <is>
          <t>Removed from tree; no orphans.</t>
        </is>
      </c>
      <c r="J31" s="16" t="inlineStr"/>
      <c r="K31" s="16" t="inlineStr">
        <is>
          <t>Not Run</t>
        </is>
      </c>
      <c r="L31" s="16" t="inlineStr">
        <is>
          <t>Medium</t>
        </is>
      </c>
      <c r="M31" s="16" t="inlineStr"/>
      <c r="N31" s="16" t="inlineStr"/>
      <c r="O31" s="16" t="inlineStr"/>
    </row>
    <row r="32" ht="78" customHeight="1">
      <c r="A32" s="16" t="inlineStr">
        <is>
          <t>TC-CR-005</t>
        </is>
      </c>
      <c r="B32" s="16" t="inlineStr">
        <is>
          <t>Collections &amp; Requests</t>
        </is>
      </c>
      <c r="C32" s="16" t="inlineStr">
        <is>
          <t>Collection</t>
        </is>
      </c>
      <c r="D32" s="16" t="inlineStr">
        <is>
          <t>Functional</t>
        </is>
      </c>
      <c r="E32" s="16" t="inlineStr">
        <is>
          <t>Delete collection with children cascades</t>
        </is>
      </c>
      <c r="F32" s="16" t="inlineStr">
        <is>
          <t>Collection with 2 folders + 5 requests.</t>
        </is>
      </c>
      <c r="G32" s="16" t="inlineStr">
        <is>
          <t>1. Right-click → Delete.
2. Read warning.
3. Confirm.</t>
        </is>
      </c>
      <c r="H32" s="16" t="inlineStr">
        <is>
          <t>Collection with children</t>
        </is>
      </c>
      <c r="I32" s="16" t="inlineStr">
        <is>
          <t>Confirm message mentions child counts; on confirm, all descendants removed; tree updates; history entries pointing to deleted IDs remain readable but unlinked.</t>
        </is>
      </c>
      <c r="J32" s="16" t="inlineStr"/>
      <c r="K32" s="16" t="inlineStr">
        <is>
          <t>Not Run</t>
        </is>
      </c>
      <c r="L32" s="16" t="inlineStr">
        <is>
          <t>High</t>
        </is>
      </c>
      <c r="M32" s="16" t="inlineStr"/>
      <c r="N32" s="16" t="inlineStr"/>
      <c r="O32" s="16" t="inlineStr"/>
    </row>
    <row r="33" ht="78" customHeight="1">
      <c r="A33" s="16" t="inlineStr">
        <is>
          <t>TC-CR-006</t>
        </is>
      </c>
      <c r="B33" s="16" t="inlineStr">
        <is>
          <t>Collections &amp; Requests</t>
        </is>
      </c>
      <c r="C33" s="16" t="inlineStr">
        <is>
          <t>Folder</t>
        </is>
      </c>
      <c r="D33" s="16" t="inlineStr">
        <is>
          <t>Functional</t>
        </is>
      </c>
      <c r="E33" s="16" t="inlineStr">
        <is>
          <t>Create folder under collection</t>
        </is>
      </c>
      <c r="F33" s="16" t="inlineStr">
        <is>
          <t>Collection 'API v1' exists.</t>
        </is>
      </c>
      <c r="G33" s="16" t="inlineStr">
        <is>
          <t>1. Right-click → Add folder.
2. Name 'Users'.</t>
        </is>
      </c>
      <c r="H33" s="16" t="inlineStr">
        <is>
          <t>—</t>
        </is>
      </c>
      <c r="I33" s="16" t="inlineStr">
        <is>
          <t>Folder added; expand/collapse works.</t>
        </is>
      </c>
      <c r="J33" s="16" t="inlineStr"/>
      <c r="K33" s="16" t="inlineStr">
        <is>
          <t>Not Run</t>
        </is>
      </c>
      <c r="L33" s="16" t="inlineStr">
        <is>
          <t>High</t>
        </is>
      </c>
      <c r="M33" s="16" t="inlineStr"/>
      <c r="N33" s="16" t="inlineStr"/>
      <c r="O33" s="16" t="inlineStr"/>
    </row>
    <row r="34" ht="78" customHeight="1">
      <c r="A34" s="16" t="inlineStr">
        <is>
          <t>TC-CR-007</t>
        </is>
      </c>
      <c r="B34" s="16" t="inlineStr">
        <is>
          <t>Collections &amp; Requests</t>
        </is>
      </c>
      <c r="C34" s="16" t="inlineStr">
        <is>
          <t>Folder</t>
        </is>
      </c>
      <c r="D34" s="16" t="inlineStr">
        <is>
          <t>Edge Case</t>
        </is>
      </c>
      <c r="E34" s="16" t="inlineStr">
        <is>
          <t>Nested folders to depth 5</t>
        </is>
      </c>
      <c r="F34" s="16" t="inlineStr">
        <is>
          <t>Collection exists.</t>
        </is>
      </c>
      <c r="G34" s="16" t="inlineStr">
        <is>
          <t>1. Create folders A → B → C → D → E.</t>
        </is>
      </c>
      <c r="H34" s="16" t="inlineStr">
        <is>
          <t>5-level nesting</t>
        </is>
      </c>
      <c r="I34" s="16" t="inlineStr">
        <is>
          <t>All levels render; indents visually distinct; expand/collapse at each level works.</t>
        </is>
      </c>
      <c r="J34" s="16" t="inlineStr"/>
      <c r="K34" s="16" t="inlineStr">
        <is>
          <t>Not Run</t>
        </is>
      </c>
      <c r="L34" s="16" t="inlineStr">
        <is>
          <t>Low</t>
        </is>
      </c>
      <c r="M34" s="16" t="inlineStr"/>
      <c r="N34" s="16" t="inlineStr"/>
      <c r="O34" s="16" t="inlineStr"/>
    </row>
    <row r="35" ht="78" customHeight="1">
      <c r="A35" s="16" t="inlineStr">
        <is>
          <t>TC-CR-008</t>
        </is>
      </c>
      <c r="B35" s="16" t="inlineStr">
        <is>
          <t>Collections &amp; Requests</t>
        </is>
      </c>
      <c r="C35" s="16" t="inlineStr">
        <is>
          <t>Request</t>
        </is>
      </c>
      <c r="D35" s="16" t="inlineStr">
        <is>
          <t>Functional</t>
        </is>
      </c>
      <c r="E35" s="16" t="inlineStr">
        <is>
          <t>Create new request via Ctrl+N</t>
        </is>
      </c>
      <c r="F35" s="16" t="inlineStr">
        <is>
          <t>Editor panel focused; collection selected.</t>
        </is>
      </c>
      <c r="G35" s="16" t="inlineStr">
        <is>
          <t>1. Press Ctrl/Cmd+N.</t>
        </is>
      </c>
      <c r="H35" s="16" t="inlineStr">
        <is>
          <t>—</t>
        </is>
      </c>
      <c r="I35" s="16" t="inlineStr">
        <is>
          <t>GET 'Untitled Request' added under selection; editor opens with URL bar focused.</t>
        </is>
      </c>
      <c r="J35" s="16" t="inlineStr"/>
      <c r="K35" s="16" t="inlineStr">
        <is>
          <t>Not Run</t>
        </is>
      </c>
      <c r="L35" s="16" t="inlineStr">
        <is>
          <t>High</t>
        </is>
      </c>
      <c r="M35" s="16" t="inlineStr"/>
      <c r="N35" s="16" t="inlineStr"/>
      <c r="O35" s="16" t="inlineStr"/>
    </row>
    <row r="36" ht="78" customHeight="1">
      <c r="A36" s="16" t="inlineStr">
        <is>
          <t>TC-CR-009</t>
        </is>
      </c>
      <c r="B36" s="16" t="inlineStr">
        <is>
          <t>Collections &amp; Requests</t>
        </is>
      </c>
      <c r="C36" s="16" t="inlineStr">
        <is>
          <t>Request</t>
        </is>
      </c>
      <c r="D36" s="16" t="inlineStr">
        <is>
          <t>Functional</t>
        </is>
      </c>
      <c r="E36" s="16" t="inlineStr">
        <is>
          <t>Duplicate request copies all fields</t>
        </is>
      </c>
      <c r="F36" s="16" t="inlineStr">
        <is>
          <t>Request fully configured (body, headers, auth, scripts, tests).</t>
        </is>
      </c>
      <c r="G36" s="16" t="inlineStr">
        <is>
          <t>1. Right-click → Duplicate.</t>
        </is>
      </c>
      <c r="H36" s="16" t="inlineStr">
        <is>
          <t>—</t>
        </is>
      </c>
      <c r="I36" s="16" t="inlineStr">
        <is>
          <t>New '&lt;name&gt; (copy)' created with every field cloned; original unmodified.</t>
        </is>
      </c>
      <c r="J36" s="16" t="inlineStr"/>
      <c r="K36" s="16" t="inlineStr">
        <is>
          <t>Not Run</t>
        </is>
      </c>
      <c r="L36" s="16" t="inlineStr">
        <is>
          <t>Medium</t>
        </is>
      </c>
      <c r="M36" s="16" t="inlineStr"/>
      <c r="N36" s="16" t="inlineStr"/>
      <c r="O36" s="16" t="inlineStr"/>
    </row>
    <row r="37" ht="78" customHeight="1">
      <c r="A37" s="16" t="inlineStr">
        <is>
          <t>TC-CR-010</t>
        </is>
      </c>
      <c r="B37" s="16" t="inlineStr">
        <is>
          <t>Collections &amp; Requests</t>
        </is>
      </c>
      <c r="C37" s="16" t="inlineStr">
        <is>
          <t>Request</t>
        </is>
      </c>
      <c r="D37" s="16" t="inlineStr">
        <is>
          <t>Functional</t>
        </is>
      </c>
      <c r="E37" s="16" t="inlineStr">
        <is>
          <t>Delete request keeps history readable</t>
        </is>
      </c>
      <c r="F37" s="16" t="inlineStr">
        <is>
          <t>Request 'Get User' has prior runs.</t>
        </is>
      </c>
      <c r="G37" s="16" t="inlineStr">
        <is>
          <t>1. Delete request → Confirm.</t>
        </is>
      </c>
      <c r="H37" s="16" t="inlineStr">
        <is>
          <t>—</t>
        </is>
      </c>
      <c r="I37" s="16" t="inlineStr">
        <is>
          <t>Request removed from tree; History panel still shows old runs (URL, method) for audit.</t>
        </is>
      </c>
      <c r="J37" s="16" t="inlineStr"/>
      <c r="K37" s="16" t="inlineStr">
        <is>
          <t>Not Run</t>
        </is>
      </c>
      <c r="L37" s="16" t="inlineStr">
        <is>
          <t>Medium</t>
        </is>
      </c>
      <c r="M37" s="16" t="inlineStr"/>
      <c r="N37" s="16" t="inlineStr"/>
      <c r="O37" s="16" t="inlineStr"/>
    </row>
    <row r="38" ht="78" customHeight="1">
      <c r="A38" s="16" t="inlineStr">
        <is>
          <t>TC-CR-011</t>
        </is>
      </c>
      <c r="B38" s="16" t="inlineStr">
        <is>
          <t>Collections &amp; Requests</t>
        </is>
      </c>
      <c r="C38" s="16" t="inlineStr">
        <is>
          <t>Reorder</t>
        </is>
      </c>
      <c r="D38" s="16" t="inlineStr">
        <is>
          <t>Functional</t>
        </is>
      </c>
      <c r="E38" s="16" t="inlineStr">
        <is>
          <t>Drag request between folders</t>
        </is>
      </c>
      <c r="F38" s="16" t="inlineStr">
        <is>
          <t>Folders A, B; request R in A.</t>
        </is>
      </c>
      <c r="G38" s="16" t="inlineStr">
        <is>
          <t>1. Drag R from A → drop on B.</t>
        </is>
      </c>
      <c r="H38" s="16" t="inlineStr">
        <is>
          <t>—</t>
        </is>
      </c>
      <c r="I38" s="16" t="inlineStr">
        <is>
          <t>R now under B; A no longer holds it; order persists after refresh/push.</t>
        </is>
      </c>
      <c r="J38" s="16" t="inlineStr"/>
      <c r="K38" s="16" t="inlineStr">
        <is>
          <t>Not Run</t>
        </is>
      </c>
      <c r="L38" s="16" t="inlineStr">
        <is>
          <t>Medium</t>
        </is>
      </c>
      <c r="M38" s="16" t="inlineStr"/>
      <c r="N38" s="16" t="inlineStr"/>
      <c r="O38" s="16" t="inlineStr"/>
    </row>
    <row r="39" ht="78" customHeight="1">
      <c r="A39" s="16" t="inlineStr">
        <is>
          <t>TC-CR-012</t>
        </is>
      </c>
      <c r="B39" s="16" t="inlineStr">
        <is>
          <t>Collections &amp; Requests</t>
        </is>
      </c>
      <c r="C39" s="16" t="inlineStr">
        <is>
          <t>Reorder</t>
        </is>
      </c>
      <c r="D39" s="16" t="inlineStr">
        <is>
          <t>Functional</t>
        </is>
      </c>
      <c r="E39" s="16" t="inlineStr">
        <is>
          <t>Reorder requests within folder</t>
        </is>
      </c>
      <c r="F39" s="16" t="inlineStr">
        <is>
          <t>Folder with R1, R2, R3.</t>
        </is>
      </c>
      <c r="G39" s="16" t="inlineStr">
        <is>
          <t>1. Drag R3 above R1.</t>
        </is>
      </c>
      <c r="H39" s="16" t="inlineStr">
        <is>
          <t>—</t>
        </is>
      </c>
      <c r="I39" s="16" t="inlineStr">
        <is>
          <t>Order: R3, R1, R2; persists after push/pull.</t>
        </is>
      </c>
      <c r="J39" s="16" t="inlineStr"/>
      <c r="K39" s="16" t="inlineStr">
        <is>
          <t>Not Run</t>
        </is>
      </c>
      <c r="L39" s="16" t="inlineStr">
        <is>
          <t>Medium</t>
        </is>
      </c>
      <c r="M39" s="16" t="inlineStr"/>
      <c r="N39" s="16" t="inlineStr"/>
      <c r="O39" s="16" t="inlineStr"/>
    </row>
    <row r="40" ht="78" customHeight="1">
      <c r="A40" s="16" t="inlineStr">
        <is>
          <t>TC-CR-013</t>
        </is>
      </c>
      <c r="B40" s="16" t="inlineStr">
        <is>
          <t>Collections &amp; Requests</t>
        </is>
      </c>
      <c r="C40" s="16" t="inlineStr">
        <is>
          <t>Search</t>
        </is>
      </c>
      <c r="D40" s="16" t="inlineStr">
        <is>
          <t>Functional</t>
        </is>
      </c>
      <c r="E40" s="16" t="inlineStr">
        <is>
          <t>Filter tree by name substring</t>
        </is>
      </c>
      <c r="F40" s="16" t="inlineStr">
        <is>
          <t>Many requests in tree.</t>
        </is>
      </c>
      <c r="G40" s="16" t="inlineStr">
        <is>
          <t>1. Type 'login' in explorer search.</t>
        </is>
      </c>
      <c r="H40" s="16" t="inlineStr">
        <is>
          <t>Filter: login</t>
        </is>
      </c>
      <c r="I40" s="16" t="inlineStr">
        <is>
          <t>Only matching folders/requests show; matches highlighted; clearing search restores full tree.</t>
        </is>
      </c>
      <c r="J40" s="16" t="inlineStr"/>
      <c r="K40" s="16" t="inlineStr">
        <is>
          <t>Not Run</t>
        </is>
      </c>
      <c r="L40" s="16" t="inlineStr">
        <is>
          <t>Medium</t>
        </is>
      </c>
      <c r="M40" s="16" t="inlineStr"/>
      <c r="N40" s="16" t="inlineStr"/>
      <c r="O40" s="16" t="inlineStr"/>
    </row>
    <row r="41" ht="78" customHeight="1">
      <c r="A41" s="16" t="inlineStr">
        <is>
          <t>TC-CR-014</t>
        </is>
      </c>
      <c r="B41" s="16" t="inlineStr">
        <is>
          <t>Collections &amp; Requests</t>
        </is>
      </c>
      <c r="C41" s="16" t="inlineStr">
        <is>
          <t>Search</t>
        </is>
      </c>
      <c r="D41" s="16" t="inlineStr">
        <is>
          <t>Edge Case</t>
        </is>
      </c>
      <c r="E41" s="16" t="inlineStr">
        <is>
          <t>Search is case-insensitive</t>
        </is>
      </c>
      <c r="F41" s="16" t="inlineStr">
        <is>
          <t>Request named 'GetUser' exists.</t>
        </is>
      </c>
      <c r="G41" s="16" t="inlineStr">
        <is>
          <t>1. Search 'getuser'.</t>
        </is>
      </c>
      <c r="H41" s="16" t="inlineStr">
        <is>
          <t>—</t>
        </is>
      </c>
      <c r="I41" s="16" t="inlineStr">
        <is>
          <t>Matches found regardless of casing.</t>
        </is>
      </c>
      <c r="J41" s="16" t="inlineStr"/>
      <c r="K41" s="16" t="inlineStr">
        <is>
          <t>Not Run</t>
        </is>
      </c>
      <c r="L41" s="16" t="inlineStr">
        <is>
          <t>Low</t>
        </is>
      </c>
      <c r="M41" s="16" t="inlineStr"/>
      <c r="N41" s="16" t="inlineStr"/>
      <c r="O41" s="16" t="inlineStr"/>
    </row>
    <row r="42" ht="78" customHeight="1">
      <c r="A42" s="16" t="inlineStr">
        <is>
          <t>TC-RE-001</t>
        </is>
      </c>
      <c r="B42" s="16" t="inlineStr">
        <is>
          <t>Request Editor</t>
        </is>
      </c>
      <c r="C42" s="16" t="inlineStr">
        <is>
          <t>URL Bar</t>
        </is>
      </c>
      <c r="D42" s="16" t="inlineStr">
        <is>
          <t>Functional</t>
        </is>
      </c>
      <c r="E42" s="16" t="inlineStr">
        <is>
          <t>Send simple GET</t>
        </is>
      </c>
      <c r="F42" s="16" t="inlineStr">
        <is>
          <t>Empty request open.</t>
        </is>
      </c>
      <c r="G42" s="16" t="inlineStr">
        <is>
          <t>1. Enter https://httpbin.org/get.
2. Click Send.</t>
        </is>
      </c>
      <c r="H42" s="16" t="inlineStr">
        <is>
          <t>URL: https://httpbin.org/get</t>
        </is>
      </c>
      <c r="I42" s="16" t="inlineStr">
        <is>
          <t>200 status; response body shows JSON; time/size populated.</t>
        </is>
      </c>
      <c r="J42" s="16" t="inlineStr"/>
      <c r="K42" s="16" t="inlineStr">
        <is>
          <t>Not Run</t>
        </is>
      </c>
      <c r="L42" s="16" t="inlineStr">
        <is>
          <t>High</t>
        </is>
      </c>
      <c r="M42" s="16" t="inlineStr"/>
      <c r="N42" s="16" t="inlineStr"/>
      <c r="O42" s="16" t="inlineStr"/>
    </row>
    <row r="43" ht="78" customHeight="1">
      <c r="A43" s="16" t="inlineStr">
        <is>
          <t>TC-RE-002</t>
        </is>
      </c>
      <c r="B43" s="16" t="inlineStr">
        <is>
          <t>Request Editor</t>
        </is>
      </c>
      <c r="C43" s="16" t="inlineStr">
        <is>
          <t>URL Bar</t>
        </is>
      </c>
      <c r="D43" s="16" t="inlineStr">
        <is>
          <t>Functional</t>
        </is>
      </c>
      <c r="E43" s="16" t="inlineStr">
        <is>
          <t>Variable interpolation in URL</t>
        </is>
      </c>
      <c r="F43" s="16" t="inlineStr">
        <is>
          <t>Env: baseUrl=https://httpbin.org</t>
        </is>
      </c>
      <c r="G43" s="16" t="inlineStr">
        <is>
          <t>1. URL: '{{baseUrl}}/get'.
2. Hover variable.
3. Send.</t>
        </is>
      </c>
      <c r="H43" s="16" t="inlineStr">
        <is>
          <t>{{baseUrl}}/get</t>
        </is>
      </c>
      <c r="I43" s="16" t="inlineStr">
        <is>
          <t>Hover popover shows resolved value; on Send returns 200.</t>
        </is>
      </c>
      <c r="J43" s="16" t="inlineStr"/>
      <c r="K43" s="16" t="inlineStr">
        <is>
          <t>Not Run</t>
        </is>
      </c>
      <c r="L43" s="16" t="inlineStr">
        <is>
          <t>High</t>
        </is>
      </c>
      <c r="M43" s="16" t="inlineStr"/>
      <c r="N43" s="16" t="inlineStr"/>
      <c r="O43" s="16" t="inlineStr"/>
    </row>
    <row r="44" ht="78" customHeight="1">
      <c r="A44" s="16" t="inlineStr">
        <is>
          <t>TC-RE-003</t>
        </is>
      </c>
      <c r="B44" s="16" t="inlineStr">
        <is>
          <t>Request Editor</t>
        </is>
      </c>
      <c r="C44" s="16" t="inlineStr">
        <is>
          <t>URL Bar</t>
        </is>
      </c>
      <c r="D44" s="16" t="inlineStr">
        <is>
          <t>Negative</t>
        </is>
      </c>
      <c r="E44" s="16" t="inlineStr">
        <is>
          <t>Undefined variable resolves to empty</t>
        </is>
      </c>
      <c r="F44" s="16" t="inlineStr">
        <is>
          <t>No env active.</t>
        </is>
      </c>
      <c r="G44" s="16" t="inlineStr">
        <is>
          <t>1. URL: 'https://{{missing}}.example.com'.
2. Send.</t>
        </is>
      </c>
      <c r="H44" s="16" t="inlineStr">
        <is>
          <t>—</t>
        </is>
      </c>
      <c r="I44" s="16" t="inlineStr">
        <is>
          <t>URL becomes 'https://.example.com'; request fails with clear network error; user is not silently stuck.</t>
        </is>
      </c>
      <c r="J44" s="16" t="inlineStr"/>
      <c r="K44" s="16" t="inlineStr">
        <is>
          <t>Not Run</t>
        </is>
      </c>
      <c r="L44" s="16" t="inlineStr">
        <is>
          <t>Medium</t>
        </is>
      </c>
      <c r="M44" s="16" t="inlineStr"/>
      <c r="N44" s="16" t="inlineStr"/>
      <c r="O44" s="16" t="inlineStr"/>
    </row>
    <row r="45" ht="78" customHeight="1">
      <c r="A45" s="16" t="inlineStr">
        <is>
          <t>TC-RE-004</t>
        </is>
      </c>
      <c r="B45" s="16" t="inlineStr">
        <is>
          <t>Request Editor</t>
        </is>
      </c>
      <c r="C45" s="16" t="inlineStr">
        <is>
          <t>URL Bar</t>
        </is>
      </c>
      <c r="D45" s="16" t="inlineStr">
        <is>
          <t>Edge Case</t>
        </is>
      </c>
      <c r="E45" s="16" t="inlineStr">
        <is>
          <t>Very long URL &gt; 2KB</t>
        </is>
      </c>
      <c r="F45" s="16" t="inlineStr">
        <is>
          <t>—</t>
        </is>
      </c>
      <c r="G45" s="16" t="inlineStr">
        <is>
          <t>1. Paste a 4KB URL into URL bar.
2. Send.</t>
        </is>
      </c>
      <c r="H45" s="16" t="inlineStr">
        <is>
          <t>4KB URL</t>
        </is>
      </c>
      <c r="I45" s="16" t="inlineStr">
        <is>
          <t>Editor handles it without freezing; server may reject — error surfaces in response panel.</t>
        </is>
      </c>
      <c r="J45" s="16" t="inlineStr"/>
      <c r="K45" s="16" t="inlineStr">
        <is>
          <t>Not Run</t>
        </is>
      </c>
      <c r="L45" s="16" t="inlineStr">
        <is>
          <t>Low</t>
        </is>
      </c>
      <c r="M45" s="16" t="inlineStr"/>
      <c r="N45" s="16" t="inlineStr"/>
      <c r="O45" s="16" t="inlineStr"/>
    </row>
    <row r="46" ht="78" customHeight="1">
      <c r="A46" s="16" t="inlineStr">
        <is>
          <t>TC-RE-005</t>
        </is>
      </c>
      <c r="B46" s="16" t="inlineStr">
        <is>
          <t>Request Editor</t>
        </is>
      </c>
      <c r="C46" s="16" t="inlineStr">
        <is>
          <t>URL Bar</t>
        </is>
      </c>
      <c r="D46" s="16" t="inlineStr">
        <is>
          <t>Edge Case</t>
        </is>
      </c>
      <c r="E46" s="16" t="inlineStr">
        <is>
          <t>URL with non-ASCII path</t>
        </is>
      </c>
      <c r="F46" s="16" t="inlineStr">
        <is>
          <t>—</t>
        </is>
      </c>
      <c r="G46" s="16" t="inlineStr">
        <is>
          <t>1. URL: 'https://httpbin.org/anything/测试'.
2. Send.</t>
        </is>
      </c>
      <c r="H46" s="16" t="inlineStr">
        <is>
          <t>—</t>
        </is>
      </c>
      <c r="I46" s="16" t="inlineStr">
        <is>
          <t>Path is percent-encoded automatically on send; response 200.</t>
        </is>
      </c>
      <c r="J46" s="16" t="inlineStr"/>
      <c r="K46" s="16" t="inlineStr">
        <is>
          <t>Not Run</t>
        </is>
      </c>
      <c r="L46" s="16" t="inlineStr">
        <is>
          <t>Medium</t>
        </is>
      </c>
      <c r="M46" s="16" t="inlineStr"/>
      <c r="N46" s="16" t="inlineStr"/>
      <c r="O46" s="16" t="inlineStr"/>
    </row>
    <row r="47" ht="78" customHeight="1">
      <c r="A47" s="16" t="inlineStr">
        <is>
          <t>TC-RE-006</t>
        </is>
      </c>
      <c r="B47" s="16" t="inlineStr">
        <is>
          <t>Request Editor</t>
        </is>
      </c>
      <c r="C47" s="16" t="inlineStr">
        <is>
          <t>Method</t>
        </is>
      </c>
      <c r="D47" s="16" t="inlineStr">
        <is>
          <t>Functional</t>
        </is>
      </c>
      <c r="E47" s="16" t="inlineStr">
        <is>
          <t>Switch method GET → POST</t>
        </is>
      </c>
      <c r="F47" s="16" t="inlineStr">
        <is>
          <t>Request is GET.</t>
        </is>
      </c>
      <c r="G47" s="16" t="inlineStr">
        <is>
          <t>1. Open method dropdown.
2. Select POST.</t>
        </is>
      </c>
      <c r="H47" s="16" t="inlineStr">
        <is>
          <t>—</t>
        </is>
      </c>
      <c r="I47" s="16" t="inlineStr">
        <is>
          <t>Method updates; Body tab becomes prominent; default body type is 'none' if previously unset.</t>
        </is>
      </c>
      <c r="J47" s="16" t="inlineStr"/>
      <c r="K47" s="16" t="inlineStr">
        <is>
          <t>Not Run</t>
        </is>
      </c>
      <c r="L47" s="16" t="inlineStr">
        <is>
          <t>High</t>
        </is>
      </c>
      <c r="M47" s="16" t="inlineStr"/>
      <c r="N47" s="16" t="inlineStr"/>
      <c r="O47" s="16" t="inlineStr"/>
    </row>
    <row r="48" ht="78" customHeight="1">
      <c r="A48" s="16" t="inlineStr">
        <is>
          <t>TC-RE-007</t>
        </is>
      </c>
      <c r="B48" s="16" t="inlineStr">
        <is>
          <t>Request Editor</t>
        </is>
      </c>
      <c r="C48" s="16" t="inlineStr">
        <is>
          <t>Method</t>
        </is>
      </c>
      <c r="D48" s="16" t="inlineStr">
        <is>
          <t>Functional</t>
        </is>
      </c>
      <c r="E48" s="16" t="inlineStr">
        <is>
          <t>All supported methods present</t>
        </is>
      </c>
      <c r="F48" s="16" t="inlineStr">
        <is>
          <t>Method dropdown open.</t>
        </is>
      </c>
      <c r="G48" s="16" t="inlineStr">
        <is>
          <t>1. Inspect list.</t>
        </is>
      </c>
      <c r="H48" s="16" t="inlineStr">
        <is>
          <t>—</t>
        </is>
      </c>
      <c r="I48" s="16" t="inlineStr">
        <is>
          <t>GET, POST, PUT, PATCH, DELETE, HEAD, OPTIONS all available.</t>
        </is>
      </c>
      <c r="J48" s="16" t="inlineStr"/>
      <c r="K48" s="16" t="inlineStr">
        <is>
          <t>Not Run</t>
        </is>
      </c>
      <c r="L48" s="16" t="inlineStr">
        <is>
          <t>Medium</t>
        </is>
      </c>
      <c r="M48" s="16" t="inlineStr"/>
      <c r="N48" s="16" t="inlineStr"/>
      <c r="O48" s="16" t="inlineStr"/>
    </row>
    <row r="49" ht="78" customHeight="1">
      <c r="A49" s="16" t="inlineStr">
        <is>
          <t>TC-RE-008</t>
        </is>
      </c>
      <c r="B49" s="16" t="inlineStr">
        <is>
          <t>Request Editor</t>
        </is>
      </c>
      <c r="C49" s="16" t="inlineStr">
        <is>
          <t>Params</t>
        </is>
      </c>
      <c r="D49" s="16" t="inlineStr">
        <is>
          <t>Functional</t>
        </is>
      </c>
      <c r="E49" s="16" t="inlineStr">
        <is>
          <t>Add query param updates URL bar</t>
        </is>
      </c>
      <c r="F49" s="16" t="inlineStr">
        <is>
          <t>URL: https://httpbin.org/get</t>
        </is>
      </c>
      <c r="G49" s="16" t="inlineStr">
        <is>
          <t>1. Params tab → add name=alice.
2. Inspect URL bar.</t>
        </is>
      </c>
      <c r="H49" s="16" t="inlineStr">
        <is>
          <t>—</t>
        </is>
      </c>
      <c r="I49" s="16" t="inlineStr">
        <is>
          <t>URL shows '?name=alice'; Send echoes the param in response.</t>
        </is>
      </c>
      <c r="J49" s="16" t="inlineStr"/>
      <c r="K49" s="16" t="inlineStr">
        <is>
          <t>Not Run</t>
        </is>
      </c>
      <c r="L49" s="16" t="inlineStr">
        <is>
          <t>High</t>
        </is>
      </c>
      <c r="M49" s="16" t="inlineStr"/>
      <c r="N49" s="16" t="inlineStr"/>
      <c r="O49" s="16" t="inlineStr"/>
    </row>
    <row r="50" ht="78" customHeight="1">
      <c r="A50" s="16" t="inlineStr">
        <is>
          <t>TC-RE-009</t>
        </is>
      </c>
      <c r="B50" s="16" t="inlineStr">
        <is>
          <t>Request Editor</t>
        </is>
      </c>
      <c r="C50" s="16" t="inlineStr">
        <is>
          <t>Params</t>
        </is>
      </c>
      <c r="D50" s="16" t="inlineStr">
        <is>
          <t>Functional</t>
        </is>
      </c>
      <c r="E50" s="16" t="inlineStr">
        <is>
          <t>Toggle-disable a param removes it</t>
        </is>
      </c>
      <c r="F50" s="16" t="inlineStr">
        <is>
          <t>Two params: name=alice, age=30 enabled.</t>
        </is>
      </c>
      <c r="G50" s="16" t="inlineStr">
        <is>
          <t>1. Uncheck 'age'.</t>
        </is>
      </c>
      <c r="H50" s="16" t="inlineStr">
        <is>
          <t>—</t>
        </is>
      </c>
      <c r="I50" s="16" t="inlineStr">
        <is>
          <t>Outgoing URL has only 'name=alice'; UI shows greyed-out 'age' row.</t>
        </is>
      </c>
      <c r="J50" s="16" t="inlineStr"/>
      <c r="K50" s="16" t="inlineStr">
        <is>
          <t>Not Run</t>
        </is>
      </c>
      <c r="L50" s="16" t="inlineStr">
        <is>
          <t>Medium</t>
        </is>
      </c>
      <c r="M50" s="16" t="inlineStr"/>
      <c r="N50" s="16" t="inlineStr"/>
      <c r="O50" s="16" t="inlineStr"/>
    </row>
    <row r="51" ht="78" customHeight="1">
      <c r="A51" s="16" t="inlineStr">
        <is>
          <t>TC-RE-010</t>
        </is>
      </c>
      <c r="B51" s="16" t="inlineStr">
        <is>
          <t>Request Editor</t>
        </is>
      </c>
      <c r="C51" s="16" t="inlineStr">
        <is>
          <t>Params</t>
        </is>
      </c>
      <c r="D51" s="16" t="inlineStr">
        <is>
          <t>Functional</t>
        </is>
      </c>
      <c r="E51" s="16" t="inlineStr">
        <is>
          <t>URL paste populates Params tab</t>
        </is>
      </c>
      <c r="F51" s="16" t="inlineStr">
        <is>
          <t>Params empty.</t>
        </is>
      </c>
      <c r="G51" s="16" t="inlineStr">
        <is>
          <t>1. Paste 'https://api.test/items?status=open&amp;limit=10'.</t>
        </is>
      </c>
      <c r="H51" s="16" t="inlineStr">
        <is>
          <t>—</t>
        </is>
      </c>
      <c r="I51" s="16" t="inlineStr">
        <is>
          <t>Params tab now has two rows: status=open, limit=10; URL bar shows path only in synced state.</t>
        </is>
      </c>
      <c r="J51" s="16" t="inlineStr"/>
      <c r="K51" s="16" t="inlineStr">
        <is>
          <t>Not Run</t>
        </is>
      </c>
      <c r="L51" s="16" t="inlineStr">
        <is>
          <t>Medium</t>
        </is>
      </c>
      <c r="M51" s="16" t="inlineStr"/>
      <c r="N51" s="16" t="inlineStr"/>
      <c r="O51" s="16" t="inlineStr"/>
    </row>
    <row r="52" ht="78" customHeight="1">
      <c r="A52" s="16" t="inlineStr">
        <is>
          <t>TC-RE-011</t>
        </is>
      </c>
      <c r="B52" s="16" t="inlineStr">
        <is>
          <t>Request Editor</t>
        </is>
      </c>
      <c r="C52" s="16" t="inlineStr">
        <is>
          <t>Params</t>
        </is>
      </c>
      <c r="D52" s="16" t="inlineStr">
        <is>
          <t>Edge Case</t>
        </is>
      </c>
      <c r="E52" s="16" t="inlineStr">
        <is>
          <t>Duplicate param keys preserved</t>
        </is>
      </c>
      <c r="F52" s="16" t="inlineStr">
        <is>
          <t>—</t>
        </is>
      </c>
      <c r="G52" s="16" t="inlineStr">
        <is>
          <t>1. Add foo=1, foo=2.
2. Send to httpbin.org/get.</t>
        </is>
      </c>
      <c r="H52" s="16" t="inlineStr">
        <is>
          <t>—</t>
        </is>
      </c>
      <c r="I52" s="16" t="inlineStr">
        <is>
          <t>Both values transmitted (URL: ?foo=1&amp;foo=2); response echoes both.</t>
        </is>
      </c>
      <c r="J52" s="16" t="inlineStr"/>
      <c r="K52" s="16" t="inlineStr">
        <is>
          <t>Not Run</t>
        </is>
      </c>
      <c r="L52" s="16" t="inlineStr">
        <is>
          <t>Low</t>
        </is>
      </c>
      <c r="M52" s="16" t="inlineStr"/>
      <c r="N52" s="16" t="inlineStr"/>
      <c r="O52" s="16" t="inlineStr"/>
    </row>
    <row r="53" ht="78" customHeight="1">
      <c r="A53" s="16" t="inlineStr">
        <is>
          <t>TC-RE-012</t>
        </is>
      </c>
      <c r="B53" s="16" t="inlineStr">
        <is>
          <t>Request Editor</t>
        </is>
      </c>
      <c r="C53" s="16" t="inlineStr">
        <is>
          <t>Headers</t>
        </is>
      </c>
      <c r="D53" s="16" t="inlineStr">
        <is>
          <t>Functional</t>
        </is>
      </c>
      <c r="E53" s="16" t="inlineStr">
        <is>
          <t>Add custom header</t>
        </is>
      </c>
      <c r="F53" s="16" t="inlineStr">
        <is>
          <t>Request open.</t>
        </is>
      </c>
      <c r="G53" s="16" t="inlineStr">
        <is>
          <t>1. Headers → add X-Trace-Id=abc123.
2. Send.</t>
        </is>
      </c>
      <c r="H53" s="16" t="inlineStr">
        <is>
          <t>—</t>
        </is>
      </c>
      <c r="I53" s="16" t="inlineStr">
        <is>
          <t>Header sent; httpbin response echoes it.</t>
        </is>
      </c>
      <c r="J53" s="16" t="inlineStr"/>
      <c r="K53" s="16" t="inlineStr">
        <is>
          <t>Not Run</t>
        </is>
      </c>
      <c r="L53" s="16" t="inlineStr">
        <is>
          <t>High</t>
        </is>
      </c>
      <c r="M53" s="16" t="inlineStr"/>
      <c r="N53" s="16" t="inlineStr"/>
      <c r="O53" s="16" t="inlineStr"/>
    </row>
    <row r="54" ht="78" customHeight="1">
      <c r="A54" s="16" t="inlineStr">
        <is>
          <t>TC-RE-013</t>
        </is>
      </c>
      <c r="B54" s="16" t="inlineStr">
        <is>
          <t>Request Editor</t>
        </is>
      </c>
      <c r="C54" s="16" t="inlineStr">
        <is>
          <t>Headers</t>
        </is>
      </c>
      <c r="D54" s="16" t="inlineStr">
        <is>
          <t>Functional</t>
        </is>
      </c>
      <c r="E54" s="16" t="inlineStr">
        <is>
          <t>Header autocomplete suggests standard names</t>
        </is>
      </c>
      <c r="F54" s="16" t="inlineStr">
        <is>
          <t>Headers row focused.</t>
        </is>
      </c>
      <c r="G54" s="16" t="inlineStr">
        <is>
          <t>1. Type 'auth' in key.</t>
        </is>
      </c>
      <c r="H54" s="16" t="inlineStr">
        <is>
          <t>—</t>
        </is>
      </c>
      <c r="I54" s="16" t="inlineStr">
        <is>
          <t>Dropdown shows Authorization, Authentication-Info, etc.</t>
        </is>
      </c>
      <c r="J54" s="16" t="inlineStr"/>
      <c r="K54" s="16" t="inlineStr">
        <is>
          <t>Not Run</t>
        </is>
      </c>
      <c r="L54" s="16" t="inlineStr">
        <is>
          <t>Low</t>
        </is>
      </c>
      <c r="M54" s="16" t="inlineStr"/>
      <c r="N54" s="16" t="inlineStr"/>
      <c r="O54" s="16" t="inlineStr"/>
    </row>
    <row r="55" ht="78" customHeight="1">
      <c r="A55" s="16" t="inlineStr">
        <is>
          <t>TC-RE-014</t>
        </is>
      </c>
      <c r="B55" s="16" t="inlineStr">
        <is>
          <t>Request Editor</t>
        </is>
      </c>
      <c r="C55" s="16" t="inlineStr">
        <is>
          <t>Headers</t>
        </is>
      </c>
      <c r="D55" s="16" t="inlineStr">
        <is>
          <t>Edge Case</t>
        </is>
      </c>
      <c r="E55" s="16" t="inlineStr">
        <is>
          <t>Header value supports variable interpolation</t>
        </is>
      </c>
      <c r="F55" s="16" t="inlineStr">
        <is>
          <t>Env: token=abc</t>
        </is>
      </c>
      <c r="G55" s="16" t="inlineStr">
        <is>
          <t>1. Add Authorization: 'Bearer {{token}}'.
2. Send.</t>
        </is>
      </c>
      <c r="H55" s="16" t="inlineStr">
        <is>
          <t>—</t>
        </is>
      </c>
      <c r="I55" s="16" t="inlineStr">
        <is>
          <t>Resolved header sent: 'Bearer abc'.</t>
        </is>
      </c>
      <c r="J55" s="16" t="inlineStr"/>
      <c r="K55" s="16" t="inlineStr">
        <is>
          <t>Not Run</t>
        </is>
      </c>
      <c r="L55" s="16" t="inlineStr">
        <is>
          <t>Medium</t>
        </is>
      </c>
      <c r="M55" s="16" t="inlineStr"/>
      <c r="N55" s="16" t="inlineStr"/>
      <c r="O55" s="16" t="inlineStr"/>
    </row>
    <row r="56" ht="78" customHeight="1">
      <c r="A56" s="16" t="inlineStr">
        <is>
          <t>TC-RE-015</t>
        </is>
      </c>
      <c r="B56" s="16" t="inlineStr">
        <is>
          <t>Request Editor</t>
        </is>
      </c>
      <c r="C56" s="16" t="inlineStr">
        <is>
          <t>Send</t>
        </is>
      </c>
      <c r="D56" s="16" t="inlineStr">
        <is>
          <t>Functional</t>
        </is>
      </c>
      <c r="E56" s="16" t="inlineStr">
        <is>
          <t>Send via Ctrl+Enter</t>
        </is>
      </c>
      <c r="F56" s="16" t="inlineStr">
        <is>
          <t>Valid URL; cursor anywhere.</t>
        </is>
      </c>
      <c r="G56" s="16" t="inlineStr">
        <is>
          <t>1. Press Ctrl/Cmd+Enter.</t>
        </is>
      </c>
      <c r="H56" s="16" t="inlineStr">
        <is>
          <t>—</t>
        </is>
      </c>
      <c r="I56" s="16" t="inlineStr">
        <is>
          <t>Request sent regardless of focus.</t>
        </is>
      </c>
      <c r="J56" s="16" t="inlineStr"/>
      <c r="K56" s="16" t="inlineStr">
        <is>
          <t>Not Run</t>
        </is>
      </c>
      <c r="L56" s="16" t="inlineStr">
        <is>
          <t>High</t>
        </is>
      </c>
      <c r="M56" s="16" t="inlineStr"/>
      <c r="N56" s="16" t="inlineStr"/>
      <c r="O56" s="16" t="inlineStr"/>
    </row>
    <row r="57" ht="78" customHeight="1">
      <c r="A57" s="16" t="inlineStr">
        <is>
          <t>TC-RE-016</t>
        </is>
      </c>
      <c r="B57" s="16" t="inlineStr">
        <is>
          <t>Request Editor</t>
        </is>
      </c>
      <c r="C57" s="16" t="inlineStr">
        <is>
          <t>Send</t>
        </is>
      </c>
      <c r="D57" s="16" t="inlineStr">
        <is>
          <t>Functional</t>
        </is>
      </c>
      <c r="E57" s="16" t="inlineStr">
        <is>
          <t>Cancel in-flight request</t>
        </is>
      </c>
      <c r="F57" s="16" t="inlineStr">
        <is>
          <t>Slow endpoint.</t>
        </is>
      </c>
      <c r="G57" s="16" t="inlineStr">
        <is>
          <t>1. Send to a 30s-delay endpoint.
2. Click Cancel while 'Sending…'.</t>
        </is>
      </c>
      <c r="H57" s="16" t="inlineStr">
        <is>
          <t>Slow endpoint</t>
        </is>
      </c>
      <c r="I57" s="16" t="inlineStr">
        <is>
          <t>Request aborts; response panel shows 'Cancelled' state; no partial body committed.</t>
        </is>
      </c>
      <c r="J57" s="16" t="inlineStr"/>
      <c r="K57" s="16" t="inlineStr">
        <is>
          <t>Not Run</t>
        </is>
      </c>
      <c r="L57" s="16" t="inlineStr">
        <is>
          <t>Medium</t>
        </is>
      </c>
      <c r="M57" s="16" t="inlineStr"/>
      <c r="N57" s="16" t="inlineStr"/>
      <c r="O57" s="16" t="inlineStr"/>
    </row>
    <row r="58" ht="78" customHeight="1">
      <c r="A58" s="16" t="inlineStr">
        <is>
          <t>TC-RE-017</t>
        </is>
      </c>
      <c r="B58" s="16" t="inlineStr">
        <is>
          <t>Request Editor</t>
        </is>
      </c>
      <c r="C58" s="16" t="inlineStr">
        <is>
          <t>Tabs</t>
        </is>
      </c>
      <c r="D58" s="16" t="inlineStr">
        <is>
          <t>UX/UI</t>
        </is>
      </c>
      <c r="E58" s="16" t="inlineStr">
        <is>
          <t>Editor remembers active sub-tab per request</t>
        </is>
      </c>
      <c r="F58" s="16" t="inlineStr">
        <is>
          <t>Request A: Body tab open. Request B exists.</t>
        </is>
      </c>
      <c r="G58" s="16" t="inlineStr">
        <is>
          <t>1. Open B (any tab).
2. Open A again.</t>
        </is>
      </c>
      <c r="H58" s="16" t="inlineStr">
        <is>
          <t>—</t>
        </is>
      </c>
      <c r="I58" s="16" t="inlineStr">
        <is>
          <t>A re-opens on Body tab (per-request memory) or the globally remembered tab — behavior should be consistent and predictable.</t>
        </is>
      </c>
      <c r="J58" s="16" t="inlineStr"/>
      <c r="K58" s="16" t="inlineStr">
        <is>
          <t>Not Run</t>
        </is>
      </c>
      <c r="L58" s="16" t="inlineStr">
        <is>
          <t>Low</t>
        </is>
      </c>
      <c r="M58" s="16" t="inlineStr"/>
      <c r="N58" s="16" t="inlineStr"/>
      <c r="O58" s="16" t="inlineStr"/>
    </row>
    <row r="59" ht="78" customHeight="1">
      <c r="A59" s="16" t="inlineStr">
        <is>
          <t>TC-RE-018</t>
        </is>
      </c>
      <c r="B59" s="16" t="inlineStr">
        <is>
          <t>Request Editor</t>
        </is>
      </c>
      <c r="C59" s="16" t="inlineStr">
        <is>
          <t>Path Params</t>
        </is>
      </c>
      <c r="D59" s="16" t="inlineStr">
        <is>
          <t>Functional</t>
        </is>
      </c>
      <c r="E59" s="16" t="inlineStr">
        <is>
          <t>URL with :id placeholder offers path params editor</t>
        </is>
      </c>
      <c r="F59" s="16" t="inlineStr">
        <is>
          <t>—</t>
        </is>
      </c>
      <c r="G59" s="16" t="inlineStr">
        <is>
          <t>1. URL: 'https://api.test/users/:id'.</t>
        </is>
      </c>
      <c r="H59" s="16" t="inlineStr">
        <is>
          <t>—</t>
        </is>
      </c>
      <c r="I59" s="16" t="inlineStr">
        <is>
          <t>Path Params section appears with row id=''; setting id=42 produces final URL '…/users/42' on send.</t>
        </is>
      </c>
      <c r="J59" s="16" t="inlineStr"/>
      <c r="K59" s="16" t="inlineStr">
        <is>
          <t>Not Run</t>
        </is>
      </c>
      <c r="L59" s="16" t="inlineStr">
        <is>
          <t>Medium</t>
        </is>
      </c>
      <c r="M59" s="16" t="inlineStr"/>
      <c r="N59" s="16" t="inlineStr"/>
      <c r="O59" s="16" t="inlineStr"/>
    </row>
    <row r="60" ht="78" customHeight="1">
      <c r="A60" s="16" t="inlineStr">
        <is>
          <t>TC-RE-019</t>
        </is>
      </c>
      <c r="B60" s="16" t="inlineStr">
        <is>
          <t>Request Editor</t>
        </is>
      </c>
      <c r="C60" s="16" t="inlineStr">
        <is>
          <t>Browser Zoom</t>
        </is>
      </c>
      <c r="D60" s="16" t="inlineStr">
        <is>
          <t>Compatibility</t>
        </is>
      </c>
      <c r="E60" s="16" t="inlineStr">
        <is>
          <t>Browser Ctrl++ zoom does not break layout</t>
        </is>
      </c>
      <c r="F60" s="16" t="inlineStr">
        <is>
          <t>App open.</t>
        </is>
      </c>
      <c r="G60" s="16" t="inlineStr">
        <is>
          <t>1. Press Ctrl/Cmd++ several times.</t>
        </is>
      </c>
      <c r="H60" s="16" t="inlineStr">
        <is>
          <t>—</t>
        </is>
      </c>
      <c r="I60" s="16" t="inlineStr">
        <is>
          <t>Layout reflows gracefully; no clipped panels or unreachable buttons; reset via Ctrl/Cmd+0.</t>
        </is>
      </c>
      <c r="J60" s="16" t="inlineStr"/>
      <c r="K60" s="16" t="inlineStr">
        <is>
          <t>Not Run</t>
        </is>
      </c>
      <c r="L60" s="16" t="inlineStr">
        <is>
          <t>Medium</t>
        </is>
      </c>
      <c r="M60" s="16" t="inlineStr"/>
      <c r="N60" s="16" t="inlineStr"/>
      <c r="O60" s="16" t="inlineStr"/>
    </row>
    <row r="61" ht="78" customHeight="1">
      <c r="A61" s="16" t="inlineStr">
        <is>
          <t>TC-RE-020</t>
        </is>
      </c>
      <c r="B61" s="16" t="inlineStr">
        <is>
          <t>Request Editor</t>
        </is>
      </c>
      <c r="C61" s="16" t="inlineStr">
        <is>
          <t>Tab Title</t>
        </is>
      </c>
      <c r="D61" s="16" t="inlineStr">
        <is>
          <t>UX/UI</t>
        </is>
      </c>
      <c r="E61" s="16" t="inlineStr">
        <is>
          <t>Browser tab title reflects active workspace</t>
        </is>
      </c>
      <c r="F61" s="16" t="inlineStr">
        <is>
          <t>Workspace 'Smoke' active.</t>
        </is>
      </c>
      <c r="G61" s="16" t="inlineStr">
        <is>
          <t>1. Switch workspace to 'Production'.</t>
        </is>
      </c>
      <c r="H61" s="16" t="inlineStr">
        <is>
          <t>—</t>
        </is>
      </c>
      <c r="I61" s="16" t="inlineStr">
        <is>
          <t>Tab title updates to reflect current workspace name (e.g., 'Production · APICircle').</t>
        </is>
      </c>
      <c r="J61" s="16" t="inlineStr"/>
      <c r="K61" s="16" t="inlineStr">
        <is>
          <t>Not Run</t>
        </is>
      </c>
      <c r="L61" s="16" t="inlineStr">
        <is>
          <t>Low</t>
        </is>
      </c>
      <c r="M61" s="16" t="inlineStr"/>
      <c r="N61" s="16" t="inlineStr"/>
      <c r="O61" s="16" t="inlineStr"/>
    </row>
    <row r="62" ht="78" customHeight="1">
      <c r="A62" s="16" t="inlineStr">
        <is>
          <t>TC-BE-001</t>
        </is>
      </c>
      <c r="B62" s="16" t="inlineStr">
        <is>
          <t>Body Editor</t>
        </is>
      </c>
      <c r="C62" s="16" t="inlineStr">
        <is>
          <t>Type</t>
        </is>
      </c>
      <c r="D62" s="16" t="inlineStr">
        <is>
          <t>Functional</t>
        </is>
      </c>
      <c r="E62" s="16" t="inlineStr">
        <is>
          <t>GET default body type is none</t>
        </is>
      </c>
      <c r="F62" s="16" t="inlineStr">
        <is>
          <t>New GET request created.</t>
        </is>
      </c>
      <c r="G62" s="16" t="inlineStr">
        <is>
          <t>1. Open Body tab.</t>
        </is>
      </c>
      <c r="H62" s="16" t="inlineStr">
        <is>
          <t>—</t>
        </is>
      </c>
      <c r="I62" s="16" t="inlineStr">
        <is>
          <t>Body picker defaults to 'none'; no editor surface beyond picker.</t>
        </is>
      </c>
      <c r="J62" s="16" t="inlineStr"/>
      <c r="K62" s="16" t="inlineStr">
        <is>
          <t>Not Run</t>
        </is>
      </c>
      <c r="L62" s="16" t="inlineStr">
        <is>
          <t>Medium</t>
        </is>
      </c>
      <c r="M62" s="16" t="inlineStr"/>
      <c r="N62" s="16" t="inlineStr"/>
      <c r="O62" s="16" t="inlineStr"/>
    </row>
    <row r="63" ht="78" customHeight="1">
      <c r="A63" s="16" t="inlineStr">
        <is>
          <t>TC-BE-002</t>
        </is>
      </c>
      <c r="B63" s="16" t="inlineStr">
        <is>
          <t>Body Editor</t>
        </is>
      </c>
      <c r="C63" s="16" t="inlineStr">
        <is>
          <t>Form Data</t>
        </is>
      </c>
      <c r="D63" s="16" t="inlineStr">
        <is>
          <t>Functional</t>
        </is>
      </c>
      <c r="E63" s="16" t="inlineStr">
        <is>
          <t>Submit form-data text field</t>
        </is>
      </c>
      <c r="F63" s="16" t="inlineStr">
        <is>
          <t>POST httpbin.org/post; body type form-data.</t>
        </is>
      </c>
      <c r="G63" s="16" t="inlineStr">
        <is>
          <t>1. Row username=alice.
2. Send.</t>
        </is>
      </c>
      <c r="H63" s="16" t="inlineStr">
        <is>
          <t>—</t>
        </is>
      </c>
      <c r="I63" s="16" t="inlineStr">
        <is>
          <t>Multipart body sent; response.form.username = alice; Content-Type auto-set.</t>
        </is>
      </c>
      <c r="J63" s="16" t="inlineStr"/>
      <c r="K63" s="16" t="inlineStr">
        <is>
          <t>Not Run</t>
        </is>
      </c>
      <c r="L63" s="16" t="inlineStr">
        <is>
          <t>High</t>
        </is>
      </c>
      <c r="M63" s="16" t="inlineStr"/>
      <c r="N63" s="16" t="inlineStr"/>
      <c r="O63" s="16" t="inlineStr"/>
    </row>
    <row r="64" ht="78" customHeight="1">
      <c r="A64" s="16" t="inlineStr">
        <is>
          <t>TC-BE-003</t>
        </is>
      </c>
      <c r="B64" s="16" t="inlineStr">
        <is>
          <t>Body Editor</t>
        </is>
      </c>
      <c r="C64" s="16" t="inlineStr">
        <is>
          <t>Form Data</t>
        </is>
      </c>
      <c r="D64" s="16" t="inlineStr">
        <is>
          <t>Functional</t>
        </is>
      </c>
      <c r="E64" s="16" t="inlineStr">
        <is>
          <t>Upload file in form-data</t>
        </is>
      </c>
      <c r="F64" s="16" t="inlineStr">
        <is>
          <t>POST; form-data.</t>
        </is>
      </c>
      <c r="G64" s="16" t="inlineStr">
        <is>
          <t>1. Add row of type File.
2. Pick 1KB text file.
3. Send.</t>
        </is>
      </c>
      <c r="H64" s="16" t="inlineStr">
        <is>
          <t>1KB text file</t>
        </is>
      </c>
      <c r="I64" s="16" t="inlineStr">
        <is>
          <t>File uploaded; response.files entry present; attachment persisted in IndexedDB; re-opening request retains the file ref.</t>
        </is>
      </c>
      <c r="J64" s="16" t="inlineStr"/>
      <c r="K64" s="16" t="inlineStr">
        <is>
          <t>Not Run</t>
        </is>
      </c>
      <c r="L64" s="16" t="inlineStr">
        <is>
          <t>High</t>
        </is>
      </c>
      <c r="M64" s="16" t="inlineStr"/>
      <c r="N64" s="16" t="inlineStr"/>
      <c r="O64" s="16" t="inlineStr"/>
    </row>
    <row r="65" ht="78" customHeight="1">
      <c r="A65" s="16" t="inlineStr">
        <is>
          <t>TC-BE-004</t>
        </is>
      </c>
      <c r="B65" s="16" t="inlineStr">
        <is>
          <t>Body Editor</t>
        </is>
      </c>
      <c r="C65" s="16" t="inlineStr">
        <is>
          <t>Form Data</t>
        </is>
      </c>
      <c r="D65" s="16" t="inlineStr">
        <is>
          <t>Edge Case</t>
        </is>
      </c>
      <c r="E65" s="16" t="inlineStr">
        <is>
          <t>Upload large file (50 MB)</t>
        </is>
      </c>
      <c r="F65" s="16" t="inlineStr">
        <is>
          <t>—</t>
        </is>
      </c>
      <c r="G65" s="16" t="inlineStr">
        <is>
          <t>1. Pick 50 MB file.
2. Send.</t>
        </is>
      </c>
      <c r="H65" s="16" t="inlineStr">
        <is>
          <t>50 MB file</t>
        </is>
      </c>
      <c r="I65" s="16" t="inlineStr">
        <is>
          <t>Either uploads successfully or surfaces a clear size-limit error; UI does not freeze.</t>
        </is>
      </c>
      <c r="J65" s="16" t="inlineStr"/>
      <c r="K65" s="16" t="inlineStr">
        <is>
          <t>Not Run</t>
        </is>
      </c>
      <c r="L65" s="16" t="inlineStr">
        <is>
          <t>Medium</t>
        </is>
      </c>
      <c r="M65" s="16" t="inlineStr"/>
      <c r="N65" s="16" t="inlineStr"/>
      <c r="O65" s="16" t="inlineStr"/>
    </row>
    <row r="66" ht="78" customHeight="1">
      <c r="A66" s="16" t="inlineStr">
        <is>
          <t>TC-BE-005</t>
        </is>
      </c>
      <c r="B66" s="16" t="inlineStr">
        <is>
          <t>Body Editor</t>
        </is>
      </c>
      <c r="C66" s="16" t="inlineStr">
        <is>
          <t>URL-encoded</t>
        </is>
      </c>
      <c r="D66" s="16" t="inlineStr">
        <is>
          <t>Functional</t>
        </is>
      </c>
      <c r="E66" s="16" t="inlineStr">
        <is>
          <t>Submit x-www-form-urlencoded</t>
        </is>
      </c>
      <c r="F66" s="16" t="inlineStr">
        <is>
          <t>POST; type x-www-form-urlencoded.</t>
        </is>
      </c>
      <c r="G66" s="16" t="inlineStr">
        <is>
          <t>1. a=1, b=hello.
2. Send.</t>
        </is>
      </c>
      <c r="H66" s="16" t="inlineStr">
        <is>
          <t>—</t>
        </is>
      </c>
      <c r="I66" s="16" t="inlineStr">
        <is>
          <t>Body 'a=1&amp;b=hello' sent; Content-Type: application/x-www-form-urlencoded.</t>
        </is>
      </c>
      <c r="J66" s="16" t="inlineStr"/>
      <c r="K66" s="16" t="inlineStr">
        <is>
          <t>Not Run</t>
        </is>
      </c>
      <c r="L66" s="16" t="inlineStr">
        <is>
          <t>High</t>
        </is>
      </c>
      <c r="M66" s="16" t="inlineStr"/>
      <c r="N66" s="16" t="inlineStr"/>
      <c r="O66" s="16" t="inlineStr"/>
    </row>
    <row r="67" ht="78" customHeight="1">
      <c r="A67" s="16" t="inlineStr">
        <is>
          <t>TC-BE-006</t>
        </is>
      </c>
      <c r="B67" s="16" t="inlineStr">
        <is>
          <t>Body Editor</t>
        </is>
      </c>
      <c r="C67" s="16" t="inlineStr">
        <is>
          <t>Raw JSON</t>
        </is>
      </c>
      <c r="D67" s="16" t="inlineStr">
        <is>
          <t>Functional</t>
        </is>
      </c>
      <c r="E67" s="16" t="inlineStr">
        <is>
          <t>Submit JSON body</t>
        </is>
      </c>
      <c r="F67" s="16" t="inlineStr">
        <is>
          <t>POST; raw → JSON.</t>
        </is>
      </c>
      <c r="G67" s="16" t="inlineStr">
        <is>
          <t>1. Paste {"name":"alice"}.
2. Send.</t>
        </is>
      </c>
      <c r="H67" s="16" t="inlineStr">
        <is>
          <t>—</t>
        </is>
      </c>
      <c r="I67" s="16" t="inlineStr">
        <is>
          <t>application/json sent; httpbin parses the object; editor pretty-prints.</t>
        </is>
      </c>
      <c r="J67" s="16" t="inlineStr"/>
      <c r="K67" s="16" t="inlineStr">
        <is>
          <t>Not Run</t>
        </is>
      </c>
      <c r="L67" s="16" t="inlineStr">
        <is>
          <t>High</t>
        </is>
      </c>
      <c r="M67" s="16" t="inlineStr"/>
      <c r="N67" s="16" t="inlineStr"/>
      <c r="O67" s="16" t="inlineStr"/>
    </row>
    <row r="68" ht="78" customHeight="1">
      <c r="A68" s="16" t="inlineStr">
        <is>
          <t>TC-BE-007</t>
        </is>
      </c>
      <c r="B68" s="16" t="inlineStr">
        <is>
          <t>Body Editor</t>
        </is>
      </c>
      <c r="C68" s="16" t="inlineStr">
        <is>
          <t>Raw JSON</t>
        </is>
      </c>
      <c r="D68" s="16" t="inlineStr">
        <is>
          <t>Negative</t>
        </is>
      </c>
      <c r="E68" s="16" t="inlineStr">
        <is>
          <t>Invalid JSON shows inline error</t>
        </is>
      </c>
      <c r="F68" s="16" t="inlineStr">
        <is>
          <t>Body raw JSON.</t>
        </is>
      </c>
      <c r="G68" s="16" t="inlineStr">
        <is>
          <t>1. Type '{"a": }'.</t>
        </is>
      </c>
      <c r="H68" s="16" t="inlineStr">
        <is>
          <t>—</t>
        </is>
      </c>
      <c r="I68" s="16" t="inlineStr">
        <is>
          <t>Monaco shows syntax-error squiggle; Send still works (server response visible).</t>
        </is>
      </c>
      <c r="J68" s="16" t="inlineStr"/>
      <c r="K68" s="16" t="inlineStr">
        <is>
          <t>Not Run</t>
        </is>
      </c>
      <c r="L68" s="16" t="inlineStr">
        <is>
          <t>Medium</t>
        </is>
      </c>
      <c r="M68" s="16" t="inlineStr"/>
      <c r="N68" s="16" t="inlineStr"/>
      <c r="O68" s="16" t="inlineStr"/>
    </row>
    <row r="69" ht="78" customHeight="1">
      <c r="A69" s="16" t="inlineStr">
        <is>
          <t>TC-BE-008</t>
        </is>
      </c>
      <c r="B69" s="16" t="inlineStr">
        <is>
          <t>Body Editor</t>
        </is>
      </c>
      <c r="C69" s="16" t="inlineStr">
        <is>
          <t>Raw JSON</t>
        </is>
      </c>
      <c r="D69" s="16" t="inlineStr">
        <is>
          <t>Edge Case</t>
        </is>
      </c>
      <c r="E69" s="16" t="inlineStr">
        <is>
          <t>JSON Schema validation highlights errors</t>
        </is>
      </c>
      <c r="F69" s="16" t="inlineStr">
        <is>
          <t>Body has bodySchemaId set; body must conform.</t>
        </is>
      </c>
      <c r="G69" s="16" t="inlineStr">
        <is>
          <t>1. Type a JSON that violates the schema.</t>
        </is>
      </c>
      <c r="H69" s="16" t="inlineStr">
        <is>
          <t>—</t>
        </is>
      </c>
      <c r="I69" s="16" t="inlineStr">
        <is>
          <t>Editor marks the violating field with a description; user is not blocked from sending.</t>
        </is>
      </c>
      <c r="J69" s="16" t="inlineStr"/>
      <c r="K69" s="16" t="inlineStr">
        <is>
          <t>Not Run</t>
        </is>
      </c>
      <c r="L69" s="16" t="inlineStr">
        <is>
          <t>Low</t>
        </is>
      </c>
      <c r="M69" s="16" t="inlineStr"/>
      <c r="N69" s="16" t="inlineStr"/>
      <c r="O69" s="16" t="inlineStr"/>
    </row>
    <row r="70" ht="78" customHeight="1">
      <c r="A70" s="16" t="inlineStr">
        <is>
          <t>TC-BE-009</t>
        </is>
      </c>
      <c r="B70" s="16" t="inlineStr">
        <is>
          <t>Body Editor</t>
        </is>
      </c>
      <c r="C70" s="16" t="inlineStr">
        <is>
          <t>Raw XML</t>
        </is>
      </c>
      <c r="D70" s="16" t="inlineStr">
        <is>
          <t>Functional</t>
        </is>
      </c>
      <c r="E70" s="16" t="inlineStr">
        <is>
          <t>Submit XML body</t>
        </is>
      </c>
      <c r="F70" s="16" t="inlineStr">
        <is>
          <t>POST; raw → XML.</t>
        </is>
      </c>
      <c r="G70" s="16" t="inlineStr">
        <is>
          <t>1. &lt;root&gt;&lt;x&gt;1&lt;/x&gt;&lt;/root&gt;.
2. Send.</t>
        </is>
      </c>
      <c r="H70" s="16" t="inlineStr">
        <is>
          <t>—</t>
        </is>
      </c>
      <c r="I70" s="16" t="inlineStr">
        <is>
          <t>Content-Type application/xml; body sent verbatim.</t>
        </is>
      </c>
      <c r="J70" s="16" t="inlineStr"/>
      <c r="K70" s="16" t="inlineStr">
        <is>
          <t>Not Run</t>
        </is>
      </c>
      <c r="L70" s="16" t="inlineStr">
        <is>
          <t>Medium</t>
        </is>
      </c>
      <c r="M70" s="16" t="inlineStr"/>
      <c r="N70" s="16" t="inlineStr"/>
      <c r="O70" s="16" t="inlineStr"/>
    </row>
    <row r="71" ht="78" customHeight="1">
      <c r="A71" s="16" t="inlineStr">
        <is>
          <t>TC-BE-010</t>
        </is>
      </c>
      <c r="B71" s="16" t="inlineStr">
        <is>
          <t>Body Editor</t>
        </is>
      </c>
      <c r="C71" s="16" t="inlineStr">
        <is>
          <t>Raw HTML</t>
        </is>
      </c>
      <c r="D71" s="16" t="inlineStr">
        <is>
          <t>Functional</t>
        </is>
      </c>
      <c r="E71" s="16" t="inlineStr">
        <is>
          <t>Submit HTML body</t>
        </is>
      </c>
      <c r="F71" s="16" t="inlineStr">
        <is>
          <t>POST; raw → HTML.</t>
        </is>
      </c>
      <c r="G71" s="16" t="inlineStr">
        <is>
          <t>1. &lt;p&gt;hello&lt;/p&gt;.
2. Send.</t>
        </is>
      </c>
      <c r="H71" s="16" t="inlineStr">
        <is>
          <t>—</t>
        </is>
      </c>
      <c r="I71" s="16" t="inlineStr">
        <is>
          <t>Content-Type text/html; body sent verbatim.</t>
        </is>
      </c>
      <c r="J71" s="16" t="inlineStr"/>
      <c r="K71" s="16" t="inlineStr">
        <is>
          <t>Not Run</t>
        </is>
      </c>
      <c r="L71" s="16" t="inlineStr">
        <is>
          <t>Low</t>
        </is>
      </c>
      <c r="M71" s="16" t="inlineStr"/>
      <c r="N71" s="16" t="inlineStr"/>
      <c r="O71" s="16" t="inlineStr"/>
    </row>
    <row r="72" ht="78" customHeight="1">
      <c r="A72" s="16" t="inlineStr">
        <is>
          <t>TC-BE-011</t>
        </is>
      </c>
      <c r="B72" s="16" t="inlineStr">
        <is>
          <t>Body Editor</t>
        </is>
      </c>
      <c r="C72" s="16" t="inlineStr">
        <is>
          <t>Raw Text</t>
        </is>
      </c>
      <c r="D72" s="16" t="inlineStr">
        <is>
          <t>Functional</t>
        </is>
      </c>
      <c r="E72" s="16" t="inlineStr">
        <is>
          <t>Submit plain text</t>
        </is>
      </c>
      <c r="F72" s="16" t="inlineStr">
        <is>
          <t>POST; raw → text.</t>
        </is>
      </c>
      <c r="G72" s="16" t="inlineStr">
        <is>
          <t>1. 'hello world'.
2. Send.</t>
        </is>
      </c>
      <c r="H72" s="16" t="inlineStr">
        <is>
          <t>—</t>
        </is>
      </c>
      <c r="I72" s="16" t="inlineStr">
        <is>
          <t>Content-Type text/plain; body sent.</t>
        </is>
      </c>
      <c r="J72" s="16" t="inlineStr"/>
      <c r="K72" s="16" t="inlineStr">
        <is>
          <t>Not Run</t>
        </is>
      </c>
      <c r="L72" s="16" t="inlineStr">
        <is>
          <t>Low</t>
        </is>
      </c>
      <c r="M72" s="16" t="inlineStr"/>
      <c r="N72" s="16" t="inlineStr"/>
      <c r="O72" s="16" t="inlineStr"/>
    </row>
    <row r="73" ht="78" customHeight="1">
      <c r="A73" s="16" t="inlineStr">
        <is>
          <t>TC-BE-012</t>
        </is>
      </c>
      <c r="B73" s="16" t="inlineStr">
        <is>
          <t>Body Editor</t>
        </is>
      </c>
      <c r="C73" s="16" t="inlineStr">
        <is>
          <t>Binary</t>
        </is>
      </c>
      <c r="D73" s="16" t="inlineStr">
        <is>
          <t>Functional</t>
        </is>
      </c>
      <c r="E73" s="16" t="inlineStr">
        <is>
          <t>Upload binary file</t>
        </is>
      </c>
      <c r="F73" s="16" t="inlineStr">
        <is>
          <t>POST; binary.</t>
        </is>
      </c>
      <c r="G73" s="16" t="inlineStr">
        <is>
          <t>1. Pick 10KB PNG.
2. Send.</t>
        </is>
      </c>
      <c r="H73" s="16" t="inlineStr">
        <is>
          <t>10KB PNG</t>
        </is>
      </c>
      <c r="I73" s="16" t="inlineStr">
        <is>
          <t>Body sent with bytes; Content-Type from extension; server response confirms.</t>
        </is>
      </c>
      <c r="J73" s="16" t="inlineStr"/>
      <c r="K73" s="16" t="inlineStr">
        <is>
          <t>Not Run</t>
        </is>
      </c>
      <c r="L73" s="16" t="inlineStr">
        <is>
          <t>Medium</t>
        </is>
      </c>
      <c r="M73" s="16" t="inlineStr"/>
      <c r="N73" s="16" t="inlineStr"/>
      <c r="O73" s="16" t="inlineStr"/>
    </row>
    <row r="74" ht="78" customHeight="1">
      <c r="A74" s="16" t="inlineStr">
        <is>
          <t>TC-BE-013</t>
        </is>
      </c>
      <c r="B74" s="16" t="inlineStr">
        <is>
          <t>Body Editor</t>
        </is>
      </c>
      <c r="C74" s="16" t="inlineStr">
        <is>
          <t>GraphQL</t>
        </is>
      </c>
      <c r="D74" s="16" t="inlineStr">
        <is>
          <t>Functional</t>
        </is>
      </c>
      <c r="E74" s="16" t="inlineStr">
        <is>
          <t>Send simple GraphQL query</t>
        </is>
      </c>
      <c r="F74" s="16" t="inlineStr">
        <is>
          <t>POST to GraphQL endpoint; type GraphQL.</t>
        </is>
      </c>
      <c r="G74" s="16" t="inlineStr">
        <is>
          <t>1. Query: { user(id:1){ name } }.
2. Send.</t>
        </is>
      </c>
      <c r="H74" s="16" t="inlineStr">
        <is>
          <t>—</t>
        </is>
      </c>
      <c r="I74" s="16" t="inlineStr">
        <is>
          <t>Body wraps as {"query":"…"}; Content-Type application/json; response returned.</t>
        </is>
      </c>
      <c r="J74" s="16" t="inlineStr"/>
      <c r="K74" s="16" t="inlineStr">
        <is>
          <t>Not Run</t>
        </is>
      </c>
      <c r="L74" s="16" t="inlineStr">
        <is>
          <t>High</t>
        </is>
      </c>
      <c r="M74" s="16" t="inlineStr"/>
      <c r="N74" s="16" t="inlineStr"/>
      <c r="O74" s="16" t="inlineStr"/>
    </row>
    <row r="75" ht="78" customHeight="1">
      <c r="A75" s="16" t="inlineStr">
        <is>
          <t>TC-BE-014</t>
        </is>
      </c>
      <c r="B75" s="16" t="inlineStr">
        <is>
          <t>Body Editor</t>
        </is>
      </c>
      <c r="C75" s="16" t="inlineStr">
        <is>
          <t>GraphQL</t>
        </is>
      </c>
      <c r="D75" s="16" t="inlineStr">
        <is>
          <t>Functional</t>
        </is>
      </c>
      <c r="E75" s="16" t="inlineStr">
        <is>
          <t>Variables panel sent alongside query</t>
        </is>
      </c>
      <c r="F75" s="16" t="inlineStr">
        <is>
          <t>Query uses $id.</t>
        </is>
      </c>
      <c r="G75" s="16" t="inlineStr">
        <is>
          <t>1. Variables: {"id":"1"}.
2. Send.</t>
        </is>
      </c>
      <c r="H75" s="16" t="inlineStr">
        <is>
          <t>—</t>
        </is>
      </c>
      <c r="I75" s="16" t="inlineStr">
        <is>
          <t>Body has both query and variables; response includes data for id=1.</t>
        </is>
      </c>
      <c r="J75" s="16" t="inlineStr"/>
      <c r="K75" s="16" t="inlineStr">
        <is>
          <t>Not Run</t>
        </is>
      </c>
      <c r="L75" s="16" t="inlineStr">
        <is>
          <t>Medium</t>
        </is>
      </c>
      <c r="M75" s="16" t="inlineStr"/>
      <c r="N75" s="16" t="inlineStr"/>
      <c r="O75" s="16" t="inlineStr"/>
    </row>
    <row r="76" ht="78" customHeight="1">
      <c r="A76" s="16" t="inlineStr">
        <is>
          <t>TC-BE-015</t>
        </is>
      </c>
      <c r="B76" s="16" t="inlineStr">
        <is>
          <t>Body Editor</t>
        </is>
      </c>
      <c r="C76" s="16" t="inlineStr">
        <is>
          <t>Type Switch</t>
        </is>
      </c>
      <c r="D76" s="16" t="inlineStr">
        <is>
          <t>Edge Case</t>
        </is>
      </c>
      <c r="E76" s="16" t="inlineStr">
        <is>
          <t>Switching body type clears incompatible content</t>
        </is>
      </c>
      <c r="F76" s="16" t="inlineStr">
        <is>
          <t>Raw JSON has content.</t>
        </is>
      </c>
      <c r="G76" s="16" t="inlineStr">
        <is>
          <t>1. Switch to none.
2. Switch back to raw JSON.</t>
        </is>
      </c>
      <c r="H76" s="16" t="inlineStr">
        <is>
          <t>—</t>
        </is>
      </c>
      <c r="I76" s="16" t="inlineStr">
        <is>
          <t>Switching away clears content (or stashes per design); switching back yields an empty editor.</t>
        </is>
      </c>
      <c r="J76" s="16" t="inlineStr"/>
      <c r="K76" s="16" t="inlineStr">
        <is>
          <t>Not Run</t>
        </is>
      </c>
      <c r="L76" s="16" t="inlineStr">
        <is>
          <t>Low</t>
        </is>
      </c>
      <c r="M76" s="16" t="inlineStr"/>
      <c r="N76" s="16" t="inlineStr"/>
      <c r="O76" s="16" t="inlineStr"/>
    </row>
    <row r="77" ht="78" customHeight="1">
      <c r="A77" s="16" t="inlineStr">
        <is>
          <t>TC-BE-016</t>
        </is>
      </c>
      <c r="B77" s="16" t="inlineStr">
        <is>
          <t>Body Editor</t>
        </is>
      </c>
      <c r="C77" s="16" t="inlineStr">
        <is>
          <t>File Upload</t>
        </is>
      </c>
      <c r="D77" s="16" t="inlineStr">
        <is>
          <t>Compatibility</t>
        </is>
      </c>
      <c r="E77" s="16" t="inlineStr">
        <is>
          <t>Browser file picker only (no drag-drop from OS guaranteed)</t>
        </is>
      </c>
      <c r="F77" s="16" t="inlineStr">
        <is>
          <t>Body form-data file row.</t>
        </is>
      </c>
      <c r="G77" s="16" t="inlineStr">
        <is>
          <t>1. Click Choose File.</t>
        </is>
      </c>
      <c r="H77" s="16" t="inlineStr">
        <is>
          <t>—</t>
        </is>
      </c>
      <c r="I77" s="16" t="inlineStr">
        <is>
          <t>Browser-native file picker opens; selected file is stored as attachment.</t>
        </is>
      </c>
      <c r="J77" s="16" t="inlineStr"/>
      <c r="K77" s="16" t="inlineStr">
        <is>
          <t>Not Run</t>
        </is>
      </c>
      <c r="L77" s="16" t="inlineStr">
        <is>
          <t>Medium</t>
        </is>
      </c>
      <c r="M77" s="16" t="inlineStr"/>
      <c r="N77" s="16" t="inlineStr"/>
      <c r="O77" s="16" t="inlineStr"/>
    </row>
    <row r="78" ht="78" customHeight="1">
      <c r="A78" s="16" t="inlineStr">
        <is>
          <t>TC-BE-017</t>
        </is>
      </c>
      <c r="B78" s="16" t="inlineStr">
        <is>
          <t>Body Editor</t>
        </is>
      </c>
      <c r="C78" s="16" t="inlineStr">
        <is>
          <t>File Upload</t>
        </is>
      </c>
      <c r="D78" s="16" t="inlineStr">
        <is>
          <t>Edge Case</t>
        </is>
      </c>
      <c r="E78" s="16" t="inlineStr">
        <is>
          <t>Drag-drop file from OS onto file input</t>
        </is>
      </c>
      <c r="F78" s="16" t="inlineStr">
        <is>
          <t>Body form-data file row.</t>
        </is>
      </c>
      <c r="G78" s="16" t="inlineStr">
        <is>
          <t>1. Drag a file from Desktop onto the row's file area.</t>
        </is>
      </c>
      <c r="H78" s="16" t="inlineStr">
        <is>
          <t>—</t>
        </is>
      </c>
      <c r="I78" s="16" t="inlineStr">
        <is>
          <t>File is captured via standard browser drop event; equivalent to picker.</t>
        </is>
      </c>
      <c r="J78" s="16" t="inlineStr"/>
      <c r="K78" s="16" t="inlineStr">
        <is>
          <t>Not Run</t>
        </is>
      </c>
      <c r="L78" s="16" t="inlineStr">
        <is>
          <t>Medium</t>
        </is>
      </c>
      <c r="M78" s="16" t="inlineStr"/>
      <c r="N78" s="16" t="inlineStr"/>
      <c r="O78" s="16" t="inlineStr"/>
    </row>
    <row r="79" ht="78" customHeight="1">
      <c r="A79" s="16" t="inlineStr">
        <is>
          <t>TC-AU-001</t>
        </is>
      </c>
      <c r="B79" s="16" t="inlineStr">
        <is>
          <t>Authentication</t>
        </is>
      </c>
      <c r="C79" s="16" t="inlineStr">
        <is>
          <t>Picker</t>
        </is>
      </c>
      <c r="D79" s="16" t="inlineStr">
        <is>
          <t>Functional</t>
        </is>
      </c>
      <c r="E79" s="16" t="inlineStr">
        <is>
          <t>All supported auth types listed</t>
        </is>
      </c>
      <c r="F79" s="16" t="inlineStr">
        <is>
          <t>Auth tab open.</t>
        </is>
      </c>
      <c r="G79" s="16" t="inlineStr">
        <is>
          <t>1. Open type dropdown.</t>
        </is>
      </c>
      <c r="H79" s="16" t="inlineStr">
        <is>
          <t>—</t>
        </is>
      </c>
      <c r="I79" s="16" t="inlineStr">
        <is>
          <t>None, Inherit, Basic, Bearer, API Key, OAuth1, OAuth2 grants, Digest, NTLM, Hawk, AWS SigV4, JWT Bearer, ASAP, EdgeGrid (Akamai) visible.</t>
        </is>
      </c>
      <c r="J79" s="16" t="inlineStr"/>
      <c r="K79" s="16" t="inlineStr">
        <is>
          <t>Not Run</t>
        </is>
      </c>
      <c r="L79" s="16" t="inlineStr">
        <is>
          <t>Medium</t>
        </is>
      </c>
      <c r="M79" s="16" t="inlineStr"/>
      <c r="N79" s="16" t="inlineStr"/>
      <c r="O79" s="16" t="inlineStr"/>
    </row>
    <row r="80" ht="78" customHeight="1">
      <c r="A80" s="16" t="inlineStr">
        <is>
          <t>TC-AU-002</t>
        </is>
      </c>
      <c r="B80" s="16" t="inlineStr">
        <is>
          <t>Authentication</t>
        </is>
      </c>
      <c r="C80" s="16" t="inlineStr">
        <is>
          <t>Bearer</t>
        </is>
      </c>
      <c r="D80" s="16" t="inlineStr">
        <is>
          <t>Functional</t>
        </is>
      </c>
      <c r="E80" s="16" t="inlineStr">
        <is>
          <t>Bearer token in Authorization header</t>
        </is>
      </c>
      <c r="F80" s="16" t="inlineStr">
        <is>
          <t>GET httpbin.org/bearer; Bearer auth.</t>
        </is>
      </c>
      <c r="G80" s="16" t="inlineStr">
        <is>
          <t>1. Token 'abc.def.ghi'.
2. Send.</t>
        </is>
      </c>
      <c r="H80" s="16" t="inlineStr">
        <is>
          <t>—</t>
        </is>
      </c>
      <c r="I80" s="16" t="inlineStr">
        <is>
          <t>Authorization: Bearer abc.def.ghi sent; httpbin response shows authenticated=true.</t>
        </is>
      </c>
      <c r="J80" s="16" t="inlineStr"/>
      <c r="K80" s="16" t="inlineStr">
        <is>
          <t>Not Run</t>
        </is>
      </c>
      <c r="L80" s="16" t="inlineStr">
        <is>
          <t>High</t>
        </is>
      </c>
      <c r="M80" s="16" t="inlineStr"/>
      <c r="N80" s="16" t="inlineStr"/>
      <c r="O80" s="16" t="inlineStr"/>
    </row>
    <row r="81" ht="78" customHeight="1">
      <c r="A81" s="16" t="inlineStr">
        <is>
          <t>TC-AU-003</t>
        </is>
      </c>
      <c r="B81" s="16" t="inlineStr">
        <is>
          <t>Authentication</t>
        </is>
      </c>
      <c r="C81" s="16" t="inlineStr">
        <is>
          <t>Bearer</t>
        </is>
      </c>
      <c r="D81" s="16" t="inlineStr">
        <is>
          <t>Security</t>
        </is>
      </c>
      <c r="E81" s="16" t="inlineStr">
        <is>
          <t>Bearer token masked in UI</t>
        </is>
      </c>
      <c r="F81" s="16" t="inlineStr">
        <is>
          <t>Auth tab.</t>
        </is>
      </c>
      <c r="G81" s="16" t="inlineStr">
        <is>
          <t>1. Enter long token.
2. Switch tabs and return.</t>
        </is>
      </c>
      <c r="H81" s="16" t="inlineStr">
        <is>
          <t>—</t>
        </is>
      </c>
      <c r="I81" s="16" t="inlineStr">
        <is>
          <t>Token field is masked by default; reveal toggle available; never shown in plaintext in tooltips.</t>
        </is>
      </c>
      <c r="J81" s="16" t="inlineStr"/>
      <c r="K81" s="16" t="inlineStr">
        <is>
          <t>Not Run</t>
        </is>
      </c>
      <c r="L81" s="16" t="inlineStr">
        <is>
          <t>Medium</t>
        </is>
      </c>
      <c r="M81" s="16" t="inlineStr"/>
      <c r="N81" s="16" t="inlineStr"/>
      <c r="O81" s="16" t="inlineStr"/>
    </row>
    <row r="82" ht="78" customHeight="1">
      <c r="A82" s="16" t="inlineStr">
        <is>
          <t>TC-AU-004</t>
        </is>
      </c>
      <c r="B82" s="16" t="inlineStr">
        <is>
          <t>Authentication</t>
        </is>
      </c>
      <c r="C82" s="16" t="inlineStr">
        <is>
          <t>Basic</t>
        </is>
      </c>
      <c r="D82" s="16" t="inlineStr">
        <is>
          <t>Functional</t>
        </is>
      </c>
      <c r="E82" s="16" t="inlineStr">
        <is>
          <t>Basic auth base64-encodes credentials</t>
        </is>
      </c>
      <c r="F82" s="16" t="inlineStr">
        <is>
          <t>httpbin.org/basic-auth/user/pass.</t>
        </is>
      </c>
      <c r="G82" s="16" t="inlineStr">
        <is>
          <t>1. user=user, password=pass.
2. Send.</t>
        </is>
      </c>
      <c r="H82" s="16" t="inlineStr">
        <is>
          <t>—</t>
        </is>
      </c>
      <c r="I82" s="16" t="inlineStr">
        <is>
          <t>Authorization: Basic dXNlcjpwYXNz; 200 response.</t>
        </is>
      </c>
      <c r="J82" s="16" t="inlineStr"/>
      <c r="K82" s="16" t="inlineStr">
        <is>
          <t>Not Run</t>
        </is>
      </c>
      <c r="L82" s="16" t="inlineStr">
        <is>
          <t>High</t>
        </is>
      </c>
      <c r="M82" s="16" t="inlineStr"/>
      <c r="N82" s="16" t="inlineStr"/>
      <c r="O82" s="16" t="inlineStr"/>
    </row>
    <row r="83" ht="78" customHeight="1">
      <c r="A83" s="16" t="inlineStr">
        <is>
          <t>TC-AU-005</t>
        </is>
      </c>
      <c r="B83" s="16" t="inlineStr">
        <is>
          <t>Authentication</t>
        </is>
      </c>
      <c r="C83" s="16" t="inlineStr">
        <is>
          <t>API Key</t>
        </is>
      </c>
      <c r="D83" s="16" t="inlineStr">
        <is>
          <t>Functional</t>
        </is>
      </c>
      <c r="E83" s="16" t="inlineStr">
        <is>
          <t>API Key in header</t>
        </is>
      </c>
      <c r="F83" s="16" t="inlineStr">
        <is>
          <t>Auth API Key; placement header.</t>
        </is>
      </c>
      <c r="G83" s="16" t="inlineStr">
        <is>
          <t>1. X-Api-Key=secret-123.
2. Send to httpbin.org/headers.</t>
        </is>
      </c>
      <c r="H83" s="16" t="inlineStr">
        <is>
          <t>—</t>
        </is>
      </c>
      <c r="I83" s="16" t="inlineStr">
        <is>
          <t>Header X-Api-Key:secret-123 included; response echoes it.</t>
        </is>
      </c>
      <c r="J83" s="16" t="inlineStr"/>
      <c r="K83" s="16" t="inlineStr">
        <is>
          <t>Not Run</t>
        </is>
      </c>
      <c r="L83" s="16" t="inlineStr">
        <is>
          <t>High</t>
        </is>
      </c>
      <c r="M83" s="16" t="inlineStr"/>
      <c r="N83" s="16" t="inlineStr"/>
      <c r="O83" s="16" t="inlineStr"/>
    </row>
    <row r="84" ht="78" customHeight="1">
      <c r="A84" s="16" t="inlineStr">
        <is>
          <t>TC-AU-006</t>
        </is>
      </c>
      <c r="B84" s="16" t="inlineStr">
        <is>
          <t>Authentication</t>
        </is>
      </c>
      <c r="C84" s="16" t="inlineStr">
        <is>
          <t>API Key</t>
        </is>
      </c>
      <c r="D84" s="16" t="inlineStr">
        <is>
          <t>Functional</t>
        </is>
      </c>
      <c r="E84" s="16" t="inlineStr">
        <is>
          <t>API Key in query string</t>
        </is>
      </c>
      <c r="F84" s="16" t="inlineStr">
        <is>
          <t>Placement: query.</t>
        </is>
      </c>
      <c r="G84" s="16" t="inlineStr">
        <is>
          <t>1. api_key=abc.
2. Send.</t>
        </is>
      </c>
      <c r="H84" s="16" t="inlineStr">
        <is>
          <t>—</t>
        </is>
      </c>
      <c r="I84" s="16" t="inlineStr">
        <is>
          <t>URL has '?api_key=abc'; Params tab does not show this row (auth-managed).</t>
        </is>
      </c>
      <c r="J84" s="16" t="inlineStr"/>
      <c r="K84" s="16" t="inlineStr">
        <is>
          <t>Not Run</t>
        </is>
      </c>
      <c r="L84" s="16" t="inlineStr">
        <is>
          <t>Medium</t>
        </is>
      </c>
      <c r="M84" s="16" t="inlineStr"/>
      <c r="N84" s="16" t="inlineStr"/>
      <c r="O84" s="16" t="inlineStr"/>
    </row>
    <row r="85" ht="78" customHeight="1">
      <c r="A85" s="16" t="inlineStr">
        <is>
          <t>TC-AU-007</t>
        </is>
      </c>
      <c r="B85" s="16" t="inlineStr">
        <is>
          <t>Authentication</t>
        </is>
      </c>
      <c r="C85" s="16" t="inlineStr">
        <is>
          <t>Digest</t>
        </is>
      </c>
      <c r="D85" s="16" t="inlineStr">
        <is>
          <t>Functional</t>
        </is>
      </c>
      <c r="E85" s="16" t="inlineStr">
        <is>
          <t>Digest completes challenge-response</t>
        </is>
      </c>
      <c r="F85" s="16" t="inlineStr">
        <is>
          <t>Endpoint requires Digest.</t>
        </is>
      </c>
      <c r="G85" s="16" t="inlineStr">
        <is>
          <t>1. Set user/pass.
2. Send.</t>
        </is>
      </c>
      <c r="H85" s="16" t="inlineStr">
        <is>
          <t>Valid digest creds</t>
        </is>
      </c>
      <c r="I85" s="16" t="inlineStr">
        <is>
          <t>First 401 triggers nonce-based retry; final 200 displayed; user does not see the first 401.</t>
        </is>
      </c>
      <c r="J85" s="16" t="inlineStr"/>
      <c r="K85" s="16" t="inlineStr">
        <is>
          <t>Not Run</t>
        </is>
      </c>
      <c r="L85" s="16" t="inlineStr">
        <is>
          <t>High</t>
        </is>
      </c>
      <c r="M85" s="16" t="inlineStr"/>
      <c r="N85" s="16" t="inlineStr"/>
      <c r="O85" s="16" t="inlineStr"/>
    </row>
    <row r="86" ht="78" customHeight="1">
      <c r="A86" s="16" t="inlineStr">
        <is>
          <t>TC-AU-008</t>
        </is>
      </c>
      <c r="B86" s="16" t="inlineStr">
        <is>
          <t>Authentication</t>
        </is>
      </c>
      <c r="C86" s="16" t="inlineStr">
        <is>
          <t>Digest</t>
        </is>
      </c>
      <c r="D86" s="16" t="inlineStr">
        <is>
          <t>Edge Case</t>
        </is>
      </c>
      <c r="E86" s="16" t="inlineStr">
        <is>
          <t>Digest stale=true rotates nonce</t>
        </is>
      </c>
      <c r="F86" s="16" t="inlineStr">
        <is>
          <t>Server returns 401 stale=true.</t>
        </is>
      </c>
      <c r="G86" s="16" t="inlineStr">
        <is>
          <t>1. Trigger nonce rotation.</t>
        </is>
      </c>
      <c r="H86" s="16" t="inlineStr">
        <is>
          <t>—</t>
        </is>
      </c>
      <c r="I86" s="16" t="inlineStr">
        <is>
          <t>Client retries with new nonce; succeeds.</t>
        </is>
      </c>
      <c r="J86" s="16" t="inlineStr"/>
      <c r="K86" s="16" t="inlineStr">
        <is>
          <t>Not Run</t>
        </is>
      </c>
      <c r="L86" s="16" t="inlineStr">
        <is>
          <t>Low</t>
        </is>
      </c>
      <c r="M86" s="16" t="inlineStr"/>
      <c r="N86" s="16" t="inlineStr"/>
      <c r="O86" s="16" t="inlineStr"/>
    </row>
    <row r="87" ht="78" customHeight="1">
      <c r="A87" s="16" t="inlineStr">
        <is>
          <t>TC-AU-009</t>
        </is>
      </c>
      <c r="B87" s="16" t="inlineStr">
        <is>
          <t>Authentication</t>
        </is>
      </c>
      <c r="C87" s="16" t="inlineStr">
        <is>
          <t>NTLM</t>
        </is>
      </c>
      <c r="D87" s="16" t="inlineStr">
        <is>
          <t>Functional</t>
        </is>
      </c>
      <c r="E87" s="16" t="inlineStr">
        <is>
          <t>NTLM 3-way handshake</t>
        </is>
      </c>
      <c r="F87" s="16" t="inlineStr">
        <is>
          <t>NTLM endpoint; user/pass/domain.</t>
        </is>
      </c>
      <c r="G87" s="16" t="inlineStr">
        <is>
          <t>1. Send.</t>
        </is>
      </c>
      <c r="H87" s="16" t="inlineStr">
        <is>
          <t>—</t>
        </is>
      </c>
      <c r="I87" s="16" t="inlineStr">
        <is>
          <t>Negotiate → Challenge → Authenticate handshake completes; MIC computed; final 200.</t>
        </is>
      </c>
      <c r="J87" s="16" t="inlineStr"/>
      <c r="K87" s="16" t="inlineStr">
        <is>
          <t>Not Run</t>
        </is>
      </c>
      <c r="L87" s="16" t="inlineStr">
        <is>
          <t>High</t>
        </is>
      </c>
      <c r="M87" s="16" t="inlineStr"/>
      <c r="N87" s="16" t="inlineStr"/>
      <c r="O87" s="16" t="inlineStr"/>
    </row>
    <row r="88" ht="78" customHeight="1">
      <c r="A88" s="16" t="inlineStr">
        <is>
          <t>TC-AU-010</t>
        </is>
      </c>
      <c r="B88" s="16" t="inlineStr">
        <is>
          <t>Authentication</t>
        </is>
      </c>
      <c r="C88" s="16" t="inlineStr">
        <is>
          <t>Hawk</t>
        </is>
      </c>
      <c r="D88" s="16" t="inlineStr">
        <is>
          <t>Functional</t>
        </is>
      </c>
      <c r="E88" s="16" t="inlineStr">
        <is>
          <t>Hawk MAC accepted</t>
        </is>
      </c>
      <c r="F88" s="16" t="inlineStr">
        <is>
          <t>Hawk-protected endpoint.</t>
        </is>
      </c>
      <c r="G88" s="16" t="inlineStr">
        <is>
          <t>1. Set hawkId/hawkKey.
2. Send.</t>
        </is>
      </c>
      <c r="H88" s="16" t="inlineStr">
        <is>
          <t>—</t>
        </is>
      </c>
      <c r="I88" s="16" t="inlineStr">
        <is>
          <t>Authorization: Hawk … header sent; server verifies; 200.</t>
        </is>
      </c>
      <c r="J88" s="16" t="inlineStr"/>
      <c r="K88" s="16" t="inlineStr">
        <is>
          <t>Not Run</t>
        </is>
      </c>
      <c r="L88" s="16" t="inlineStr">
        <is>
          <t>Medium</t>
        </is>
      </c>
      <c r="M88" s="16" t="inlineStr"/>
      <c r="N88" s="16" t="inlineStr"/>
      <c r="O88" s="16" t="inlineStr"/>
    </row>
    <row r="89" ht="78" customHeight="1">
      <c r="A89" s="16" t="inlineStr">
        <is>
          <t>TC-AU-011</t>
        </is>
      </c>
      <c r="B89" s="16" t="inlineStr">
        <is>
          <t>Authentication</t>
        </is>
      </c>
      <c r="C89" s="16" t="inlineStr">
        <is>
          <t>AWS SigV4</t>
        </is>
      </c>
      <c r="D89" s="16" t="inlineStr">
        <is>
          <t>Functional</t>
        </is>
      </c>
      <c r="E89" s="16" t="inlineStr">
        <is>
          <t>Sign GET</t>
        </is>
      </c>
      <c r="F89" s="16" t="inlineStr">
        <is>
          <t>AWS-signed endpoint.</t>
        </is>
      </c>
      <c r="G89" s="16" t="inlineStr">
        <is>
          <t>1. Set creds + region + service.
2. Send.</t>
        </is>
      </c>
      <c r="H89" s="16" t="inlineStr">
        <is>
          <t>AWS creds</t>
        </is>
      </c>
      <c r="I89" s="16" t="inlineStr">
        <is>
          <t>Authorization 'AWS4-HMAC-SHA256 Credential=…'; x-amz-date present; signing canonicalizes correctly.</t>
        </is>
      </c>
      <c r="J89" s="16" t="inlineStr"/>
      <c r="K89" s="16" t="inlineStr">
        <is>
          <t>Not Run</t>
        </is>
      </c>
      <c r="L89" s="16" t="inlineStr">
        <is>
          <t>High</t>
        </is>
      </c>
      <c r="M89" s="16" t="inlineStr"/>
      <c r="N89" s="16" t="inlineStr"/>
      <c r="O89" s="16" t="inlineStr"/>
    </row>
    <row r="90" ht="78" customHeight="1">
      <c r="A90" s="16" t="inlineStr">
        <is>
          <t>TC-AU-012</t>
        </is>
      </c>
      <c r="B90" s="16" t="inlineStr">
        <is>
          <t>Authentication</t>
        </is>
      </c>
      <c r="C90" s="16" t="inlineStr">
        <is>
          <t>AWS SigV4</t>
        </is>
      </c>
      <c r="D90" s="16" t="inlineStr">
        <is>
          <t>Functional</t>
        </is>
      </c>
      <c r="E90" s="16" t="inlineStr">
        <is>
          <t>Sign POST with body</t>
        </is>
      </c>
      <c r="F90" s="16" t="inlineStr">
        <is>
          <t>POST with JSON body.</t>
        </is>
      </c>
      <c r="G90" s="16" t="inlineStr">
        <is>
          <t>1. Send.</t>
        </is>
      </c>
      <c r="H90" s="16" t="inlineStr">
        <is>
          <t>—</t>
        </is>
      </c>
      <c r="I90" s="16" t="inlineStr">
        <is>
          <t>x-amz-content-sha256 reflects SHA256(body); verifies server-side.</t>
        </is>
      </c>
      <c r="J90" s="16" t="inlineStr"/>
      <c r="K90" s="16" t="inlineStr">
        <is>
          <t>Not Run</t>
        </is>
      </c>
      <c r="L90" s="16" t="inlineStr">
        <is>
          <t>Medium</t>
        </is>
      </c>
      <c r="M90" s="16" t="inlineStr"/>
      <c r="N90" s="16" t="inlineStr"/>
      <c r="O90" s="16" t="inlineStr"/>
    </row>
    <row r="91" ht="78" customHeight="1">
      <c r="A91" s="16" t="inlineStr">
        <is>
          <t>TC-AU-013</t>
        </is>
      </c>
      <c r="B91" s="16" t="inlineStr">
        <is>
          <t>Authentication</t>
        </is>
      </c>
      <c r="C91" s="16" t="inlineStr">
        <is>
          <t>JWT</t>
        </is>
      </c>
      <c r="D91" s="16" t="inlineStr">
        <is>
          <t>Functional</t>
        </is>
      </c>
      <c r="E91" s="16" t="inlineStr">
        <is>
          <t>JWT signed with HS256</t>
        </is>
      </c>
      <c r="F91" s="16" t="inlineStr">
        <is>
          <t>Auth JWT, alg HS256, secret set.</t>
        </is>
      </c>
      <c r="G91" s="16" t="inlineStr">
        <is>
          <t>1. Configure claims iss/sub/exp.
2. Send.</t>
        </is>
      </c>
      <c r="H91" s="16" t="inlineStr">
        <is>
          <t>—</t>
        </is>
      </c>
      <c r="I91" s="16" t="inlineStr">
        <is>
          <t>Authorization: Bearer &lt;jwt&gt;; signature verifies with same secret; payload matches.</t>
        </is>
      </c>
      <c r="J91" s="16" t="inlineStr"/>
      <c r="K91" s="16" t="inlineStr">
        <is>
          <t>Not Run</t>
        </is>
      </c>
      <c r="L91" s="16" t="inlineStr">
        <is>
          <t>Medium</t>
        </is>
      </c>
      <c r="M91" s="16" t="inlineStr"/>
      <c r="N91" s="16" t="inlineStr"/>
      <c r="O91" s="16" t="inlineStr"/>
    </row>
    <row r="92" ht="78" customHeight="1">
      <c r="A92" s="16" t="inlineStr">
        <is>
          <t>TC-AU-014</t>
        </is>
      </c>
      <c r="B92" s="16" t="inlineStr">
        <is>
          <t>Authentication</t>
        </is>
      </c>
      <c r="C92" s="16" t="inlineStr">
        <is>
          <t>JWT</t>
        </is>
      </c>
      <c r="D92" s="16" t="inlineStr">
        <is>
          <t>Functional</t>
        </is>
      </c>
      <c r="E92" s="16" t="inlineStr">
        <is>
          <t>JWT signed with RS256</t>
        </is>
      </c>
      <c r="F92" s="16" t="inlineStr">
        <is>
          <t>Alg RS256; PEM private key.</t>
        </is>
      </c>
      <c r="G92" s="16" t="inlineStr">
        <is>
          <t>1. Configure claims.
2. Send.</t>
        </is>
      </c>
      <c r="H92" s="16" t="inlineStr">
        <is>
          <t>RS256 PEM key</t>
        </is>
      </c>
      <c r="I92" s="16" t="inlineStr">
        <is>
          <t>JWT verifies with matching public key.</t>
        </is>
      </c>
      <c r="J92" s="16" t="inlineStr"/>
      <c r="K92" s="16" t="inlineStr">
        <is>
          <t>Not Run</t>
        </is>
      </c>
      <c r="L92" s="16" t="inlineStr">
        <is>
          <t>Medium</t>
        </is>
      </c>
      <c r="M92" s="16" t="inlineStr"/>
      <c r="N92" s="16" t="inlineStr"/>
      <c r="O92" s="16" t="inlineStr"/>
    </row>
    <row r="93" ht="78" customHeight="1">
      <c r="A93" s="16" t="inlineStr">
        <is>
          <t>TC-AU-015</t>
        </is>
      </c>
      <c r="B93" s="16" t="inlineStr">
        <is>
          <t>Authentication</t>
        </is>
      </c>
      <c r="C93" s="16" t="inlineStr">
        <is>
          <t>JWT</t>
        </is>
      </c>
      <c r="D93" s="16" t="inlineStr">
        <is>
          <t>Negative</t>
        </is>
      </c>
      <c r="E93" s="16" t="inlineStr">
        <is>
          <t>Expired JWT exp claim still sent (user decides)</t>
        </is>
      </c>
      <c r="F93" s="16" t="inlineStr">
        <is>
          <t>exp in the past.</t>
        </is>
      </c>
      <c r="G93" s="16" t="inlineStr">
        <is>
          <t>1. Send.</t>
        </is>
      </c>
      <c r="H93" s="16" t="inlineStr">
        <is>
          <t>—</t>
        </is>
      </c>
      <c r="I93" s="16" t="inlineStr">
        <is>
          <t>Token sent unchanged; server returns 401; client does not silently 'fix' the JWT.</t>
        </is>
      </c>
      <c r="J93" s="16" t="inlineStr"/>
      <c r="K93" s="16" t="inlineStr">
        <is>
          <t>Not Run</t>
        </is>
      </c>
      <c r="L93" s="16" t="inlineStr">
        <is>
          <t>Low</t>
        </is>
      </c>
      <c r="M93" s="16" t="inlineStr"/>
      <c r="N93" s="16" t="inlineStr"/>
      <c r="O93" s="16" t="inlineStr"/>
    </row>
    <row r="94" ht="78" customHeight="1">
      <c r="A94" s="16" t="inlineStr">
        <is>
          <t>TC-AU-016</t>
        </is>
      </c>
      <c r="B94" s="16" t="inlineStr">
        <is>
          <t>Authentication</t>
        </is>
      </c>
      <c r="C94" s="16" t="inlineStr">
        <is>
          <t>Inherit</t>
        </is>
      </c>
      <c r="D94" s="16" t="inlineStr">
        <is>
          <t>Functional</t>
        </is>
      </c>
      <c r="E94" s="16" t="inlineStr">
        <is>
          <t>Folder Bearer inherited by request</t>
        </is>
      </c>
      <c r="F94" s="16" t="inlineStr">
        <is>
          <t>Folder Bearer; child Inherit.</t>
        </is>
      </c>
      <c r="G94" s="16" t="inlineStr">
        <is>
          <t>1. Send child.</t>
        </is>
      </c>
      <c r="H94" s="16" t="inlineStr">
        <is>
          <t>—</t>
        </is>
      </c>
      <c r="I94" s="16" t="inlineStr">
        <is>
          <t>Folder's Bearer applied; Authorization present.</t>
        </is>
      </c>
      <c r="J94" s="16" t="inlineStr"/>
      <c r="K94" s="16" t="inlineStr">
        <is>
          <t>Not Run</t>
        </is>
      </c>
      <c r="L94" s="16" t="inlineStr">
        <is>
          <t>High</t>
        </is>
      </c>
      <c r="M94" s="16" t="inlineStr"/>
      <c r="N94" s="16" t="inlineStr"/>
      <c r="O94" s="16" t="inlineStr"/>
    </row>
    <row r="95" ht="78" customHeight="1">
      <c r="A95" s="16" t="inlineStr">
        <is>
          <t>TC-AU-017</t>
        </is>
      </c>
      <c r="B95" s="16" t="inlineStr">
        <is>
          <t>Authentication</t>
        </is>
      </c>
      <c r="C95" s="16" t="inlineStr">
        <is>
          <t>Inherit</t>
        </is>
      </c>
      <c r="D95" s="16" t="inlineStr">
        <is>
          <t>Functional</t>
        </is>
      </c>
      <c r="E95" s="16" t="inlineStr">
        <is>
          <t>Request override beats folder</t>
        </is>
      </c>
      <c r="F95" s="16" t="inlineStr">
        <is>
          <t>Folder Bearer; child Basic.</t>
        </is>
      </c>
      <c r="G95" s="16" t="inlineStr">
        <is>
          <t>1. Send child.</t>
        </is>
      </c>
      <c r="H95" s="16" t="inlineStr">
        <is>
          <t>—</t>
        </is>
      </c>
      <c r="I95" s="16" t="inlineStr">
        <is>
          <t>Basic auth used; folder Bearer ignored.</t>
        </is>
      </c>
      <c r="J95" s="16" t="inlineStr"/>
      <c r="K95" s="16" t="inlineStr">
        <is>
          <t>Not Run</t>
        </is>
      </c>
      <c r="L95" s="16" t="inlineStr">
        <is>
          <t>High</t>
        </is>
      </c>
      <c r="M95" s="16" t="inlineStr"/>
      <c r="N95" s="16" t="inlineStr"/>
      <c r="O95" s="16" t="inlineStr"/>
    </row>
    <row r="96" ht="78" customHeight="1">
      <c r="A96" s="16" t="inlineStr">
        <is>
          <t>TC-AU-018</t>
        </is>
      </c>
      <c r="B96" s="16" t="inlineStr">
        <is>
          <t>Authentication</t>
        </is>
      </c>
      <c r="C96" s="16" t="inlineStr">
        <is>
          <t>ASAP</t>
        </is>
      </c>
      <c r="D96" s="16" t="inlineStr">
        <is>
          <t>Functional</t>
        </is>
      </c>
      <c r="E96" s="16" t="inlineStr">
        <is>
          <t>ASAP token attached to request</t>
        </is>
      </c>
      <c r="F96" s="16" t="inlineStr">
        <is>
          <t>ASAP issuer/audience/key configured.</t>
        </is>
      </c>
      <c r="G96" s="16" t="inlineStr">
        <is>
          <t>1. Send.</t>
        </is>
      </c>
      <c r="H96" s="16" t="inlineStr">
        <is>
          <t>—</t>
        </is>
      </c>
      <c r="I96" s="16" t="inlineStr">
        <is>
          <t>Authorization: Bearer &lt;asap-jwt&gt; sent; verifies against public key.</t>
        </is>
      </c>
      <c r="J96" s="16" t="inlineStr"/>
      <c r="K96" s="16" t="inlineStr">
        <is>
          <t>Not Run</t>
        </is>
      </c>
      <c r="L96" s="16" t="inlineStr">
        <is>
          <t>Low</t>
        </is>
      </c>
      <c r="M96" s="16" t="inlineStr"/>
      <c r="N96" s="16" t="inlineStr"/>
      <c r="O96" s="16" t="inlineStr"/>
    </row>
    <row r="97" ht="78" customHeight="1">
      <c r="A97" s="16" t="inlineStr">
        <is>
          <t>TC-AU-019</t>
        </is>
      </c>
      <c r="B97" s="16" t="inlineStr">
        <is>
          <t>Authentication</t>
        </is>
      </c>
      <c r="C97" s="16" t="inlineStr">
        <is>
          <t>EdgeGrid</t>
        </is>
      </c>
      <c r="D97" s="16" t="inlineStr">
        <is>
          <t>Functional</t>
        </is>
      </c>
      <c r="E97" s="16" t="inlineStr">
        <is>
          <t>Akamai EdgeGrid signing</t>
        </is>
      </c>
      <c r="F97" s="16" t="inlineStr">
        <is>
          <t>Client token/secret/access token set.</t>
        </is>
      </c>
      <c r="G97" s="16" t="inlineStr">
        <is>
          <t>1. Send.</t>
        </is>
      </c>
      <c r="H97" s="16" t="inlineStr">
        <is>
          <t>—</t>
        </is>
      </c>
      <c r="I97" s="16" t="inlineStr">
        <is>
          <t>Authorization header with signed nonce-based scheme; server accepts.</t>
        </is>
      </c>
      <c r="J97" s="16" t="inlineStr"/>
      <c r="K97" s="16" t="inlineStr">
        <is>
          <t>Not Run</t>
        </is>
      </c>
      <c r="L97" s="16" t="inlineStr">
        <is>
          <t>Low</t>
        </is>
      </c>
      <c r="M97" s="16" t="inlineStr"/>
      <c r="N97" s="16" t="inlineStr"/>
      <c r="O97" s="16" t="inlineStr"/>
    </row>
    <row r="98" ht="78" customHeight="1">
      <c r="A98" s="16" t="inlineStr">
        <is>
          <t>TC-O2-001</t>
        </is>
      </c>
      <c r="B98" s="16" t="inlineStr">
        <is>
          <t>OAuth2 Flows</t>
        </is>
      </c>
      <c r="C98" s="16" t="inlineStr">
        <is>
          <t>Client Credentials</t>
        </is>
      </c>
      <c r="D98" s="16" t="inlineStr">
        <is>
          <t>Functional</t>
        </is>
      </c>
      <c r="E98" s="16" t="inlineStr">
        <is>
          <t>Acquire token via client_credentials</t>
        </is>
      </c>
      <c r="F98" s="16" t="inlineStr">
        <is>
          <t>Mock IdP available; clientId/secret set.</t>
        </is>
      </c>
      <c r="G98" s="16" t="inlineStr">
        <is>
          <t>1. Click 'Get token'.</t>
        </is>
      </c>
      <c r="H98" s="16" t="inlineStr">
        <is>
          <t>Valid creds</t>
        </is>
      </c>
      <c r="I98" s="16" t="inlineStr">
        <is>
          <t>POST /token returns access_token; stored with expiresAt/obtainedScope; UI 'Token acquired'.</t>
        </is>
      </c>
      <c r="J98" s="16" t="inlineStr"/>
      <c r="K98" s="16" t="inlineStr">
        <is>
          <t>Not Run</t>
        </is>
      </c>
      <c r="L98" s="16" t="inlineStr">
        <is>
          <t>High</t>
        </is>
      </c>
      <c r="M98" s="16" t="inlineStr"/>
      <c r="N98" s="16" t="inlineStr"/>
      <c r="O98" s="16" t="inlineStr"/>
    </row>
    <row r="99" ht="78" customHeight="1">
      <c r="A99" s="16" t="inlineStr">
        <is>
          <t>TC-O2-002</t>
        </is>
      </c>
      <c r="B99" s="16" t="inlineStr">
        <is>
          <t>OAuth2 Flows</t>
        </is>
      </c>
      <c r="C99" s="16" t="inlineStr">
        <is>
          <t>Password</t>
        </is>
      </c>
      <c r="D99" s="16" t="inlineStr">
        <is>
          <t>Functional</t>
        </is>
      </c>
      <c r="E99" s="16" t="inlineStr">
        <is>
          <t>Resource Owner Password grant</t>
        </is>
      </c>
      <c r="F99" s="16" t="inlineStr">
        <is>
          <t>Grant=password; user/pass.</t>
        </is>
      </c>
      <c r="G99" s="16" t="inlineStr">
        <is>
          <t>1. Get token.</t>
        </is>
      </c>
      <c r="H99" s="16" t="inlineStr">
        <is>
          <t>—</t>
        </is>
      </c>
      <c r="I99" s="16" t="inlineStr">
        <is>
          <t>POST /token grant_type=password; access_token returned.</t>
        </is>
      </c>
      <c r="J99" s="16" t="inlineStr"/>
      <c r="K99" s="16" t="inlineStr">
        <is>
          <t>Not Run</t>
        </is>
      </c>
      <c r="L99" s="16" t="inlineStr">
        <is>
          <t>Medium</t>
        </is>
      </c>
      <c r="M99" s="16" t="inlineStr"/>
      <c r="N99" s="16" t="inlineStr"/>
      <c r="O99" s="16" t="inlineStr"/>
    </row>
    <row r="100" ht="78" customHeight="1">
      <c r="A100" s="16" t="inlineStr">
        <is>
          <t>TC-O2-003</t>
        </is>
      </c>
      <c r="B100" s="16" t="inlineStr">
        <is>
          <t>OAuth2 Flows</t>
        </is>
      </c>
      <c r="C100" s="16" t="inlineStr">
        <is>
          <t>Device Code</t>
        </is>
      </c>
      <c r="D100" s="16" t="inlineStr">
        <is>
          <t>Functional</t>
        </is>
      </c>
      <c r="E100" s="16" t="inlineStr">
        <is>
          <t>Device flow polls token endpoint</t>
        </is>
      </c>
      <c r="F100" s="16" t="inlineStr">
        <is>
          <t>Grant=device_code; authorize in second tab.</t>
        </is>
      </c>
      <c r="G100" s="16" t="inlineStr">
        <is>
          <t>1. Get token.
2. Approve.</t>
        </is>
      </c>
      <c r="H100" s="16" t="inlineStr">
        <is>
          <t>—</t>
        </is>
      </c>
      <c r="I100" s="16" t="inlineStr">
        <is>
          <t>user_code shown; polling interval respected; access_token stored on approval.</t>
        </is>
      </c>
      <c r="J100" s="16" t="inlineStr"/>
      <c r="K100" s="16" t="inlineStr">
        <is>
          <t>Not Run</t>
        </is>
      </c>
      <c r="L100" s="16" t="inlineStr">
        <is>
          <t>Medium</t>
        </is>
      </c>
      <c r="M100" s="16" t="inlineStr"/>
      <c r="N100" s="16" t="inlineStr"/>
      <c r="O100" s="16" t="inlineStr"/>
    </row>
    <row r="101" ht="78" customHeight="1">
      <c r="A101" s="16" t="inlineStr">
        <is>
          <t>TC-O2-004</t>
        </is>
      </c>
      <c r="B101" s="16" t="inlineStr">
        <is>
          <t>OAuth2 Flows</t>
        </is>
      </c>
      <c r="C101" s="16" t="inlineStr">
        <is>
          <t>PKCE</t>
        </is>
      </c>
      <c r="D101" s="16" t="inlineStr">
        <is>
          <t>Functional</t>
        </is>
      </c>
      <c r="E101" s="16" t="inlineStr">
        <is>
          <t>Auth code + PKCE for public client</t>
        </is>
      </c>
      <c r="F101" s="16" t="inlineStr">
        <is>
          <t>No client secret; PKCE enabled.</t>
        </is>
      </c>
      <c r="G101" s="16" t="inlineStr">
        <is>
          <t>1. Get token.</t>
        </is>
      </c>
      <c r="H101" s="16" t="inlineStr">
        <is>
          <t>—</t>
        </is>
      </c>
      <c r="I101" s="16" t="inlineStr">
        <is>
          <t>code_verifier 43–128 chars; code_challenge S256; token exchange includes verifier; succeeds.</t>
        </is>
      </c>
      <c r="J101" s="16" t="inlineStr"/>
      <c r="K101" s="16" t="inlineStr">
        <is>
          <t>Not Run</t>
        </is>
      </c>
      <c r="L101" s="16" t="inlineStr">
        <is>
          <t>High</t>
        </is>
      </c>
      <c r="M101" s="16" t="inlineStr"/>
      <c r="N101" s="16" t="inlineStr"/>
      <c r="O101" s="16" t="inlineStr"/>
    </row>
    <row r="102" ht="78" customHeight="1">
      <c r="A102" s="16" t="inlineStr">
        <is>
          <t>TC-O2-005</t>
        </is>
      </c>
      <c r="B102" s="16" t="inlineStr">
        <is>
          <t>OAuth2 Flows</t>
        </is>
      </c>
      <c r="C102" s="16" t="inlineStr">
        <is>
          <t>Refresh</t>
        </is>
      </c>
      <c r="D102" s="16" t="inlineStr">
        <is>
          <t>Functional</t>
        </is>
      </c>
      <c r="E102" s="16" t="inlineStr">
        <is>
          <t>Manual token refresh</t>
        </is>
      </c>
      <c r="F102" s="16" t="inlineStr">
        <is>
          <t>Token with refresh_token present.</t>
        </is>
      </c>
      <c r="G102" s="16" t="inlineStr">
        <is>
          <t>1. Click 'Refresh token'.</t>
        </is>
      </c>
      <c r="H102" s="16" t="inlineStr">
        <is>
          <t>—</t>
        </is>
      </c>
      <c r="I102" s="16" t="inlineStr">
        <is>
          <t>POST /token grant_type=refresh_token; new access_token; expiresAt updated.</t>
        </is>
      </c>
      <c r="J102" s="16" t="inlineStr"/>
      <c r="K102" s="16" t="inlineStr">
        <is>
          <t>Not Run</t>
        </is>
      </c>
      <c r="L102" s="16" t="inlineStr">
        <is>
          <t>High</t>
        </is>
      </c>
      <c r="M102" s="16" t="inlineStr"/>
      <c r="N102" s="16" t="inlineStr"/>
      <c r="O102" s="16" t="inlineStr"/>
    </row>
    <row r="103" ht="78" customHeight="1">
      <c r="A103" s="16" t="inlineStr">
        <is>
          <t>TC-O2-006</t>
        </is>
      </c>
      <c r="B103" s="16" t="inlineStr">
        <is>
          <t>OAuth2 Flows</t>
        </is>
      </c>
      <c r="C103" s="16" t="inlineStr">
        <is>
          <t>Auto-Refresh</t>
        </is>
      </c>
      <c r="D103" s="16" t="inlineStr">
        <is>
          <t>Functional</t>
        </is>
      </c>
      <c r="E103" s="16" t="inlineStr">
        <is>
          <t>Send auto-refreshes expired token</t>
        </is>
      </c>
      <c r="F103" s="16" t="inlineStr">
        <is>
          <t>Token expired; refresh_token present.</t>
        </is>
      </c>
      <c r="G103" s="16" t="inlineStr">
        <is>
          <t>1. Send a request using this auth.</t>
        </is>
      </c>
      <c r="H103" s="16" t="inlineStr">
        <is>
          <t>—</t>
        </is>
      </c>
      <c r="I103" s="16" t="inlineStr">
        <is>
          <t>Token refreshed transparently; outgoing request uses fresh token.</t>
        </is>
      </c>
      <c r="J103" s="16" t="inlineStr"/>
      <c r="K103" s="16" t="inlineStr">
        <is>
          <t>Not Run</t>
        </is>
      </c>
      <c r="L103" s="16" t="inlineStr">
        <is>
          <t>High</t>
        </is>
      </c>
      <c r="M103" s="16" t="inlineStr"/>
      <c r="N103" s="16" t="inlineStr"/>
      <c r="O103" s="16" t="inlineStr"/>
    </row>
    <row r="104" ht="78" customHeight="1">
      <c r="A104" s="16" t="inlineStr">
        <is>
          <t>TC-O2-007</t>
        </is>
      </c>
      <c r="B104" s="16" t="inlineStr">
        <is>
          <t>OAuth2 Flows</t>
        </is>
      </c>
      <c r="C104" s="16" t="inlineStr">
        <is>
          <t>Clear</t>
        </is>
      </c>
      <c r="D104" s="16" t="inlineStr">
        <is>
          <t>Functional</t>
        </is>
      </c>
      <c r="E104" s="16" t="inlineStr">
        <is>
          <t>Clear token forces re-auth</t>
        </is>
      </c>
      <c r="F104" s="16" t="inlineStr">
        <is>
          <t>Token present.</t>
        </is>
      </c>
      <c r="G104" s="16" t="inlineStr">
        <is>
          <t>1. Clear token.
2. Send.</t>
        </is>
      </c>
      <c r="H104" s="16" t="inlineStr">
        <is>
          <t>—</t>
        </is>
      </c>
      <c r="I104" s="16" t="inlineStr">
        <is>
          <t>Token removed; send prompts re-auth or fails with auth error.</t>
        </is>
      </c>
      <c r="J104" s="16" t="inlineStr"/>
      <c r="K104" s="16" t="inlineStr">
        <is>
          <t>Not Run</t>
        </is>
      </c>
      <c r="L104" s="16" t="inlineStr">
        <is>
          <t>Medium</t>
        </is>
      </c>
      <c r="M104" s="16" t="inlineStr"/>
      <c r="N104" s="16" t="inlineStr"/>
      <c r="O104" s="16" t="inlineStr"/>
    </row>
    <row r="105" ht="78" customHeight="1">
      <c r="A105" s="16" t="inlineStr">
        <is>
          <t>TC-O2-008</t>
        </is>
      </c>
      <c r="B105" s="16" t="inlineStr">
        <is>
          <t>OAuth2 Flows</t>
        </is>
      </c>
      <c r="C105" s="16" t="inlineStr">
        <is>
          <t>State</t>
        </is>
      </c>
      <c r="D105" s="16" t="inlineStr">
        <is>
          <t>Security</t>
        </is>
      </c>
      <c r="E105" s="16" t="inlineStr">
        <is>
          <t>State mismatch rejected</t>
        </is>
      </c>
      <c r="F105" s="16" t="inlineStr">
        <is>
          <t>Auth code in progress.</t>
        </is>
      </c>
      <c r="G105" s="16" t="inlineStr">
        <is>
          <t>1. Replace state with garbage.</t>
        </is>
      </c>
      <c r="H105" s="16" t="inlineStr">
        <is>
          <t>—</t>
        </is>
      </c>
      <c r="I105" s="16" t="inlineStr">
        <is>
          <t>Callback rejected; toast 'State mismatch'; no token stored.</t>
        </is>
      </c>
      <c r="J105" s="16" t="inlineStr"/>
      <c r="K105" s="16" t="inlineStr">
        <is>
          <t>Not Run</t>
        </is>
      </c>
      <c r="L105" s="16" t="inlineStr">
        <is>
          <t>High</t>
        </is>
      </c>
      <c r="M105" s="16" t="inlineStr"/>
      <c r="N105" s="16" t="inlineStr"/>
      <c r="O105" s="16" t="inlineStr"/>
    </row>
    <row r="106" ht="78" customHeight="1">
      <c r="A106" s="16" t="inlineStr">
        <is>
          <t>TC-O2-009</t>
        </is>
      </c>
      <c r="B106" s="16" t="inlineStr">
        <is>
          <t>OAuth2 Flows</t>
        </is>
      </c>
      <c r="C106" s="16" t="inlineStr">
        <is>
          <t>Redirect URI</t>
        </is>
      </c>
      <c r="D106" s="16" t="inlineStr">
        <is>
          <t>Negative</t>
        </is>
      </c>
      <c r="E106" s="16" t="inlineStr">
        <is>
          <t>Redirect URI mismatch surfaces error</t>
        </is>
      </c>
      <c r="F106" s="16" t="inlineStr">
        <is>
          <t>Misconfigured URI in IdP.</t>
        </is>
      </c>
      <c r="G106" s="16" t="inlineStr">
        <is>
          <t>1. Get token.</t>
        </is>
      </c>
      <c r="H106" s="16" t="inlineStr">
        <is>
          <t>—</t>
        </is>
      </c>
      <c r="I106" s="16" t="inlineStr">
        <is>
          <t>IdP error displayed clearly; no token stored.</t>
        </is>
      </c>
      <c r="J106" s="16" t="inlineStr"/>
      <c r="K106" s="16" t="inlineStr">
        <is>
          <t>Not Run</t>
        </is>
      </c>
      <c r="L106" s="16" t="inlineStr">
        <is>
          <t>Medium</t>
        </is>
      </c>
      <c r="M106" s="16" t="inlineStr"/>
      <c r="N106" s="16" t="inlineStr"/>
      <c r="O106" s="16" t="inlineStr"/>
    </row>
    <row r="107" ht="78" customHeight="1">
      <c r="A107" s="16" t="inlineStr">
        <is>
          <t>TC-O2-010</t>
        </is>
      </c>
      <c r="B107" s="16" t="inlineStr">
        <is>
          <t>OAuth2 Flows</t>
        </is>
      </c>
      <c r="C107" s="16" t="inlineStr">
        <is>
          <t>Private Key JWT</t>
        </is>
      </c>
      <c r="D107" s="16" t="inlineStr">
        <is>
          <t>Functional</t>
        </is>
      </c>
      <c r="E107" s="16" t="inlineStr">
        <is>
          <t>client_assertion JWT auth</t>
        </is>
      </c>
      <c r="F107" s="16" t="inlineStr">
        <is>
          <t>client_credentials; private key set.</t>
        </is>
      </c>
      <c r="G107" s="16" t="inlineStr">
        <is>
          <t>1. Get token.</t>
        </is>
      </c>
      <c r="H107" s="16" t="inlineStr">
        <is>
          <t>—</t>
        </is>
      </c>
      <c r="I107" s="16" t="inlineStr">
        <is>
          <t>Token request includes client_assertion; succeeds.</t>
        </is>
      </c>
      <c r="J107" s="16" t="inlineStr"/>
      <c r="K107" s="16" t="inlineStr">
        <is>
          <t>Not Run</t>
        </is>
      </c>
      <c r="L107" s="16" t="inlineStr">
        <is>
          <t>Low</t>
        </is>
      </c>
      <c r="M107" s="16" t="inlineStr"/>
      <c r="N107" s="16" t="inlineStr"/>
      <c r="O107" s="16" t="inlineStr"/>
    </row>
    <row r="108" ht="78" customHeight="1">
      <c r="A108" s="16" t="inlineStr">
        <is>
          <t>TC-O2-011</t>
        </is>
      </c>
      <c r="B108" s="16" t="inlineStr">
        <is>
          <t>OAuth2 Flows</t>
        </is>
      </c>
      <c r="C108" s="16" t="inlineStr">
        <is>
          <t>Scope</t>
        </is>
      </c>
      <c r="D108" s="16" t="inlineStr">
        <is>
          <t>Edge Case</t>
        </is>
      </c>
      <c r="E108" s="16" t="inlineStr">
        <is>
          <t>obtainedScope differs from requested</t>
        </is>
      </c>
      <c r="F108" s="16" t="inlineStr">
        <is>
          <t>Request 'read write'; IdP grants only 'read'.</t>
        </is>
      </c>
      <c r="G108" s="16" t="inlineStr">
        <is>
          <t>1. Get token.</t>
        </is>
      </c>
      <c r="H108" s="16" t="inlineStr">
        <is>
          <t>—</t>
        </is>
      </c>
      <c r="I108" s="16" t="inlineStr">
        <is>
          <t>Stored obtainedScope is 'read'; UI exposes the granted scope (warning if narrower than requested).</t>
        </is>
      </c>
      <c r="J108" s="16" t="inlineStr"/>
      <c r="K108" s="16" t="inlineStr">
        <is>
          <t>Not Run</t>
        </is>
      </c>
      <c r="L108" s="16" t="inlineStr">
        <is>
          <t>Low</t>
        </is>
      </c>
      <c r="M108" s="16" t="inlineStr"/>
      <c r="N108" s="16" t="inlineStr"/>
      <c r="O108" s="16" t="inlineStr"/>
    </row>
    <row r="109" ht="78" customHeight="1">
      <c r="A109" s="16" t="inlineStr">
        <is>
          <t>TC-O2-012</t>
        </is>
      </c>
      <c r="B109" s="16" t="inlineStr">
        <is>
          <t>OAuth2 Flows</t>
        </is>
      </c>
      <c r="C109" s="16" t="inlineStr">
        <is>
          <t>Popup</t>
        </is>
      </c>
      <c r="D109" s="16" t="inlineStr">
        <is>
          <t>Functional</t>
        </is>
      </c>
      <c r="E109" s="16" t="inlineStr">
        <is>
          <t>Auth code flow via popup window</t>
        </is>
      </c>
      <c r="F109" s="16" t="inlineStr">
        <is>
          <t>Web build; auth_code grant.</t>
        </is>
      </c>
      <c r="G109" s="16" t="inlineStr">
        <is>
          <t>1. Click Get token.
2. Approve in popup.</t>
        </is>
      </c>
      <c r="H109" s="16" t="inlineStr">
        <is>
          <t>—</t>
        </is>
      </c>
      <c r="I109" s="16" t="inlineStr">
        <is>
          <t>Popup loads authorize URL; on redirect to oauth-callback.html, BroadcastChannel relays code to main tab; access_token stored; popup auto-closes.</t>
        </is>
      </c>
      <c r="J109" s="16" t="inlineStr"/>
      <c r="K109" s="16" t="inlineStr">
        <is>
          <t>Not Run</t>
        </is>
      </c>
      <c r="L109" s="16" t="inlineStr">
        <is>
          <t>High</t>
        </is>
      </c>
      <c r="M109" s="16" t="inlineStr"/>
      <c r="N109" s="16" t="inlineStr"/>
      <c r="O109" s="16" t="inlineStr"/>
    </row>
    <row r="110" ht="78" customHeight="1">
      <c r="A110" s="16" t="inlineStr">
        <is>
          <t>TC-O2-013</t>
        </is>
      </c>
      <c r="B110" s="16" t="inlineStr">
        <is>
          <t>OAuth2 Flows</t>
        </is>
      </c>
      <c r="C110" s="16" t="inlineStr">
        <is>
          <t>Popup</t>
        </is>
      </c>
      <c r="D110" s="16" t="inlineStr">
        <is>
          <t>Negative</t>
        </is>
      </c>
      <c r="E110" s="16" t="inlineStr">
        <is>
          <t>Popup blocked → user is informed</t>
        </is>
      </c>
      <c r="F110" s="16" t="inlineStr">
        <is>
          <t>Browser popup blocker active.</t>
        </is>
      </c>
      <c r="G110" s="16" t="inlineStr">
        <is>
          <t>1. Click Get token.</t>
        </is>
      </c>
      <c r="H110" s="16" t="inlineStr">
        <is>
          <t>—</t>
        </is>
      </c>
      <c r="I110" s="16" t="inlineStr">
        <is>
          <t>Error: 'Popup blocked. Allow popups for this site and try again.'; flow does not silently fail.</t>
        </is>
      </c>
      <c r="J110" s="16" t="inlineStr"/>
      <c r="K110" s="16" t="inlineStr">
        <is>
          <t>Not Run</t>
        </is>
      </c>
      <c r="L110" s="16" t="inlineStr">
        <is>
          <t>High</t>
        </is>
      </c>
      <c r="M110" s="16" t="inlineStr"/>
      <c r="N110" s="16" t="inlineStr"/>
      <c r="O110" s="16" t="inlineStr"/>
    </row>
    <row r="111" ht="78" customHeight="1">
      <c r="A111" s="16" t="inlineStr">
        <is>
          <t>TC-O2-014</t>
        </is>
      </c>
      <c r="B111" s="16" t="inlineStr">
        <is>
          <t>OAuth2 Flows</t>
        </is>
      </c>
      <c r="C111" s="16" t="inlineStr">
        <is>
          <t>BroadcastChannel</t>
        </is>
      </c>
      <c r="D111" s="16" t="inlineStr">
        <is>
          <t>Functional</t>
        </is>
      </c>
      <c r="E111" s="16" t="inlineStr">
        <is>
          <t>BroadcastChannel relay delivers code</t>
        </is>
      </c>
      <c r="F111" s="16" t="inlineStr">
        <is>
          <t>Auth code flow.</t>
        </is>
      </c>
      <c r="G111" s="16" t="inlineStr">
        <is>
          <t>1. Approve in popup.
2. Observe main tab.</t>
        </is>
      </c>
      <c r="H111" s="16" t="inlineStr">
        <is>
          <t>—</t>
        </is>
      </c>
      <c r="I111" s="16" t="inlineStr">
        <is>
          <t>Main tab receives 'oauth-callback' message keyed by state; popup closes itself; no localStorage write (prevents leaking to other tabs).</t>
        </is>
      </c>
      <c r="J111" s="16" t="inlineStr"/>
      <c r="K111" s="16" t="inlineStr">
        <is>
          <t>Not Run</t>
        </is>
      </c>
      <c r="L111" s="16" t="inlineStr">
        <is>
          <t>High</t>
        </is>
      </c>
      <c r="M111" s="16" t="inlineStr"/>
      <c r="N111" s="16" t="inlineStr"/>
      <c r="O111" s="16" t="inlineStr"/>
    </row>
    <row r="112" ht="78" customHeight="1">
      <c r="A112" s="16" t="inlineStr">
        <is>
          <t>TC-O2-015</t>
        </is>
      </c>
      <c r="B112" s="16" t="inlineStr">
        <is>
          <t>OAuth2 Flows</t>
        </is>
      </c>
      <c r="C112" s="16" t="inlineStr">
        <is>
          <t>postMessage Fallback</t>
        </is>
      </c>
      <c r="D112" s="16" t="inlineStr">
        <is>
          <t>Functional</t>
        </is>
      </c>
      <c r="E112" s="16" t="inlineStr">
        <is>
          <t>postMessage fallback when BroadcastChannel unavailable</t>
        </is>
      </c>
      <c r="F112" s="16" t="inlineStr">
        <is>
          <t>Browser without BroadcastChannel (legacy).</t>
        </is>
      </c>
      <c r="G112" s="16" t="inlineStr">
        <is>
          <t>1. Approve in popup.</t>
        </is>
      </c>
      <c r="H112" s="16" t="inlineStr">
        <is>
          <t>—</t>
        </is>
      </c>
      <c r="I112" s="16" t="inlineStr">
        <is>
          <t>Popup falls back to window.opener.postMessage with targetOrigin = location.origin; main tab still receives code.</t>
        </is>
      </c>
      <c r="J112" s="16" t="inlineStr"/>
      <c r="K112" s="16" t="inlineStr">
        <is>
          <t>Not Run</t>
        </is>
      </c>
      <c r="L112" s="16" t="inlineStr">
        <is>
          <t>Medium</t>
        </is>
      </c>
      <c r="M112" s="16" t="inlineStr"/>
      <c r="N112" s="16" t="inlineStr"/>
      <c r="O112" s="16" t="inlineStr"/>
    </row>
    <row r="113" ht="78" customHeight="1">
      <c r="A113" s="16" t="inlineStr">
        <is>
          <t>TC-O2-016</t>
        </is>
      </c>
      <c r="B113" s="16" t="inlineStr">
        <is>
          <t>OAuth2 Flows</t>
        </is>
      </c>
      <c r="C113" s="16" t="inlineStr">
        <is>
          <t>Cross-Origin</t>
        </is>
      </c>
      <c r="D113" s="16" t="inlineStr">
        <is>
          <t>Security</t>
        </is>
      </c>
      <c r="E113" s="16" t="inlineStr">
        <is>
          <t>Popup with wrong opener origin is rejected</t>
        </is>
      </c>
      <c r="F113" s="16" t="inlineStr">
        <is>
          <t>Malicious site frames the popup.</t>
        </is>
      </c>
      <c r="G113" s="16" t="inlineStr">
        <is>
          <t>1. Simulate cross-origin opener.</t>
        </is>
      </c>
      <c r="H113" s="16" t="inlineStr">
        <is>
          <t>—</t>
        </is>
      </c>
      <c r="I113" s="16" t="inlineStr">
        <is>
          <t>Main tab listener verifies origin = location.origin and ignores foreign messages; no token stored.</t>
        </is>
      </c>
      <c r="J113" s="16" t="inlineStr"/>
      <c r="K113" s="16" t="inlineStr">
        <is>
          <t>Not Run</t>
        </is>
      </c>
      <c r="L113" s="16" t="inlineStr">
        <is>
          <t>High</t>
        </is>
      </c>
      <c r="M113" s="16" t="inlineStr"/>
      <c r="N113" s="16" t="inlineStr"/>
      <c r="O113" s="16" t="inlineStr"/>
    </row>
    <row r="114" ht="78" customHeight="1">
      <c r="A114" s="16" t="inlineStr">
        <is>
          <t>TC-O2-017</t>
        </is>
      </c>
      <c r="B114" s="16" t="inlineStr">
        <is>
          <t>OAuth2 Flows</t>
        </is>
      </c>
      <c r="C114" s="16" t="inlineStr">
        <is>
          <t>Auth Code</t>
        </is>
      </c>
      <c r="D114" s="16" t="inlineStr">
        <is>
          <t>Functional</t>
        </is>
      </c>
      <c r="E114" s="16" t="inlineStr">
        <is>
          <t>Authorization code grant end-to-end (web)</t>
        </is>
      </c>
      <c r="F114" s="16" t="inlineStr">
        <is>
          <t>Mock IdP reachable.</t>
        </is>
      </c>
      <c r="G114" s="16" t="inlineStr">
        <is>
          <t>1. Get token via popup.
2. Approve.</t>
        </is>
      </c>
      <c r="H114" s="16" t="inlineStr">
        <is>
          <t>—</t>
        </is>
      </c>
      <c r="I114" s="16" t="inlineStr">
        <is>
          <t>access_token + refresh_token (if any) stored; UI updates immediately after popup closes.</t>
        </is>
      </c>
      <c r="J114" s="16" t="inlineStr"/>
      <c r="K114" s="16" t="inlineStr">
        <is>
          <t>Not Run</t>
        </is>
      </c>
      <c r="L114" s="16" t="inlineStr">
        <is>
          <t>High</t>
        </is>
      </c>
      <c r="M114" s="16" t="inlineStr"/>
      <c r="N114" s="16" t="inlineStr"/>
      <c r="O114" s="16" t="inlineStr"/>
    </row>
    <row r="115" ht="78" customHeight="1">
      <c r="A115" s="16" t="inlineStr">
        <is>
          <t>TC-O2-018</t>
        </is>
      </c>
      <c r="B115" s="16" t="inlineStr">
        <is>
          <t>OAuth2 Flows</t>
        </is>
      </c>
      <c r="C115" s="16" t="inlineStr">
        <is>
          <t>Implicit</t>
        </is>
      </c>
      <c r="D115" s="16" t="inlineStr">
        <is>
          <t>Functional</t>
        </is>
      </c>
      <c r="E115" s="16" t="inlineStr">
        <is>
          <t>Implicit grant returns token in fragment</t>
        </is>
      </c>
      <c r="F115" s="16" t="inlineStr">
        <is>
          <t>Grant=implicit.</t>
        </is>
      </c>
      <c r="G115" s="16" t="inlineStr">
        <is>
          <t>1. Get token in popup.</t>
        </is>
      </c>
      <c r="H115" s="16" t="inlineStr">
        <is>
          <t>—</t>
        </is>
      </c>
      <c r="I115" s="16" t="inlineStr">
        <is>
          <t>Token extracted from URL fragment by oauth-callback.html; relayed; no refresh_token; stored.</t>
        </is>
      </c>
      <c r="J115" s="16" t="inlineStr"/>
      <c r="K115" s="16" t="inlineStr">
        <is>
          <t>Not Run</t>
        </is>
      </c>
      <c r="L115" s="16" t="inlineStr">
        <is>
          <t>Medium</t>
        </is>
      </c>
      <c r="M115" s="16" t="inlineStr"/>
      <c r="N115" s="16" t="inlineStr"/>
      <c r="O115" s="16" t="inlineStr"/>
    </row>
    <row r="116" ht="78" customHeight="1">
      <c r="A116" s="16" t="inlineStr">
        <is>
          <t>TC-O2-019</t>
        </is>
      </c>
      <c r="B116" s="16" t="inlineStr">
        <is>
          <t>OAuth2 Flows</t>
        </is>
      </c>
      <c r="C116" s="16" t="inlineStr">
        <is>
          <t>Multiple</t>
        </is>
      </c>
      <c r="D116" s="16" t="inlineStr">
        <is>
          <t>Edge Case</t>
        </is>
      </c>
      <c r="E116" s="16" t="inlineStr">
        <is>
          <t>Two OAuth flows simultaneously (different requests)</t>
        </is>
      </c>
      <c r="F116" s="16" t="inlineStr">
        <is>
          <t>Two requests with different OAuth configs.</t>
        </is>
      </c>
      <c r="G116" s="16" t="inlineStr">
        <is>
          <t>1. Start flow A.
2. Before A completes, start flow B.</t>
        </is>
      </c>
      <c r="H116" s="16" t="inlineStr">
        <is>
          <t>—</t>
        </is>
      </c>
      <c r="I116" s="16" t="inlineStr">
        <is>
          <t>Each callback routed to its originating request via state key; tokens stored on correct requests; no cross-talk.</t>
        </is>
      </c>
      <c r="J116" s="16" t="inlineStr"/>
      <c r="K116" s="16" t="inlineStr">
        <is>
          <t>Not Run</t>
        </is>
      </c>
      <c r="L116" s="16" t="inlineStr">
        <is>
          <t>Medium</t>
        </is>
      </c>
      <c r="M116" s="16" t="inlineStr"/>
      <c r="N116" s="16" t="inlineStr"/>
      <c r="O116" s="16" t="inlineStr"/>
    </row>
    <row r="117" ht="78" customHeight="1">
      <c r="A117" s="16" t="inlineStr">
        <is>
          <t>TC-O2-020</t>
        </is>
      </c>
      <c r="B117" s="16" t="inlineStr">
        <is>
          <t>OAuth2 Flows</t>
        </is>
      </c>
      <c r="C117" s="16" t="inlineStr">
        <is>
          <t>Callback Page</t>
        </is>
      </c>
      <c r="D117" s="16" t="inlineStr">
        <is>
          <t>Security</t>
        </is>
      </c>
      <c r="E117" s="16" t="inlineStr">
        <is>
          <t>oauth-callback.html does not log token in DOM</t>
        </is>
      </c>
      <c r="F117" s="16" t="inlineStr">
        <is>
          <t>—</t>
        </is>
      </c>
      <c r="G117" s="16" t="inlineStr">
        <is>
          <t>1. Approve in popup.
2. Inspect oauth-callback.html DOM.</t>
        </is>
      </c>
      <c r="H117" s="16" t="inlineStr">
        <is>
          <t>—</t>
        </is>
      </c>
      <c r="I117" s="16" t="inlineStr">
        <is>
          <t>Page does not write access_token to DOM that could be screen-scraped; shows generic success and self-closes quickly.</t>
        </is>
      </c>
      <c r="J117" s="16" t="inlineStr"/>
      <c r="K117" s="16" t="inlineStr">
        <is>
          <t>Not Run</t>
        </is>
      </c>
      <c r="L117" s="16" t="inlineStr">
        <is>
          <t>Medium</t>
        </is>
      </c>
      <c r="M117" s="16" t="inlineStr"/>
      <c r="N117" s="16" t="inlineStr"/>
      <c r="O117" s="16" t="inlineStr"/>
    </row>
    <row r="118" ht="78" customHeight="1">
      <c r="A118" s="16" t="inlineStr">
        <is>
          <t>TC-VR-001</t>
        </is>
      </c>
      <c r="B118" s="16" t="inlineStr">
        <is>
          <t>Variables &amp; Environments</t>
        </is>
      </c>
      <c r="C118" s="16" t="inlineStr">
        <is>
          <t>Env</t>
        </is>
      </c>
      <c r="D118" s="16" t="inlineStr">
        <is>
          <t>Functional</t>
        </is>
      </c>
      <c r="E118" s="16" t="inlineStr">
        <is>
          <t>Create new environment</t>
        </is>
      </c>
      <c r="F118" s="16" t="inlineStr">
        <is>
          <t>Workspace open.</t>
        </is>
      </c>
      <c r="G118" s="16" t="inlineStr">
        <is>
          <t>1. Environments → + new → 'Dev'.</t>
        </is>
      </c>
      <c r="H118" s="16" t="inlineStr">
        <is>
          <t>—</t>
        </is>
      </c>
      <c r="I118" s="16" t="inlineStr">
        <is>
          <t>Env created; empty vars; selectable from picker.</t>
        </is>
      </c>
      <c r="J118" s="16" t="inlineStr"/>
      <c r="K118" s="16" t="inlineStr">
        <is>
          <t>Not Run</t>
        </is>
      </c>
      <c r="L118" s="16" t="inlineStr">
        <is>
          <t>High</t>
        </is>
      </c>
      <c r="M118" s="16" t="inlineStr"/>
      <c r="N118" s="16" t="inlineStr"/>
      <c r="O118" s="16" t="inlineStr"/>
    </row>
    <row r="119" ht="78" customHeight="1">
      <c r="A119" s="16" t="inlineStr">
        <is>
          <t>TC-VR-002</t>
        </is>
      </c>
      <c r="B119" s="16" t="inlineStr">
        <is>
          <t>Variables &amp; Environments</t>
        </is>
      </c>
      <c r="C119" s="16" t="inlineStr">
        <is>
          <t>Env</t>
        </is>
      </c>
      <c r="D119" s="16" t="inlineStr">
        <is>
          <t>Functional</t>
        </is>
      </c>
      <c r="E119" s="16" t="inlineStr">
        <is>
          <t>Activate env from dropdown</t>
        </is>
      </c>
      <c r="F119" s="16" t="inlineStr">
        <is>
          <t>Envs 'Dev', 'Prod' exist.</t>
        </is>
      </c>
      <c r="G119" s="16" t="inlineStr">
        <is>
          <t>1. Pick 'Prod' in env picker.</t>
        </is>
      </c>
      <c r="H119" s="16" t="inlineStr">
        <is>
          <t>—</t>
        </is>
      </c>
      <c r="I119" s="16" t="inlineStr">
        <is>
          <t>Active env switches to Prod; {{vars}} now resolve to Prod values.</t>
        </is>
      </c>
      <c r="J119" s="16" t="inlineStr"/>
      <c r="K119" s="16" t="inlineStr">
        <is>
          <t>Not Run</t>
        </is>
      </c>
      <c r="L119" s="16" t="inlineStr">
        <is>
          <t>High</t>
        </is>
      </c>
      <c r="M119" s="16" t="inlineStr"/>
      <c r="N119" s="16" t="inlineStr"/>
      <c r="O119" s="16" t="inlineStr"/>
    </row>
    <row r="120" ht="78" customHeight="1">
      <c r="A120" s="16" t="inlineStr">
        <is>
          <t>TC-VR-003</t>
        </is>
      </c>
      <c r="B120" s="16" t="inlineStr">
        <is>
          <t>Variables &amp; Environments</t>
        </is>
      </c>
      <c r="C120" s="16" t="inlineStr">
        <is>
          <t>Env</t>
        </is>
      </c>
      <c r="D120" s="16" t="inlineStr">
        <is>
          <t>Functional</t>
        </is>
      </c>
      <c r="E120" s="16" t="inlineStr">
        <is>
          <t>Duplicate env clones all vars</t>
        </is>
      </c>
      <c r="F120" s="16" t="inlineStr">
        <is>
          <t>Env 'Dev' has 5 vars.</t>
        </is>
      </c>
      <c r="G120" s="16" t="inlineStr">
        <is>
          <t>1. Duplicate Dev.</t>
        </is>
      </c>
      <c r="H120" s="16" t="inlineStr">
        <is>
          <t>—</t>
        </is>
      </c>
      <c r="I120" s="16" t="inlineStr">
        <is>
          <t>'Dev (copy)' has identical 5 vars; original unchanged.</t>
        </is>
      </c>
      <c r="J120" s="16" t="inlineStr"/>
      <c r="K120" s="16" t="inlineStr">
        <is>
          <t>Not Run</t>
        </is>
      </c>
      <c r="L120" s="16" t="inlineStr">
        <is>
          <t>Medium</t>
        </is>
      </c>
      <c r="M120" s="16" t="inlineStr"/>
      <c r="N120" s="16" t="inlineStr"/>
      <c r="O120" s="16" t="inlineStr"/>
    </row>
    <row r="121" ht="78" customHeight="1">
      <c r="A121" s="16" t="inlineStr">
        <is>
          <t>TC-VR-004</t>
        </is>
      </c>
      <c r="B121" s="16" t="inlineStr">
        <is>
          <t>Variables &amp; Environments</t>
        </is>
      </c>
      <c r="C121" s="16" t="inlineStr">
        <is>
          <t>Env</t>
        </is>
      </c>
      <c r="D121" s="16" t="inlineStr">
        <is>
          <t>Functional</t>
        </is>
      </c>
      <c r="E121" s="16" t="inlineStr">
        <is>
          <t>Delete env with confirm</t>
        </is>
      </c>
      <c r="F121" s="16" t="inlineStr">
        <is>
          <t>Env 'Old' exists.</t>
        </is>
      </c>
      <c r="G121" s="16" t="inlineStr">
        <is>
          <t>1. Delete Old → Confirm.</t>
        </is>
      </c>
      <c r="H121" s="16" t="inlineStr">
        <is>
          <t>—</t>
        </is>
      </c>
      <c r="I121" s="16" t="inlineStr">
        <is>
          <t>Env removed; if active, falls back to no env or next priority.</t>
        </is>
      </c>
      <c r="J121" s="16" t="inlineStr"/>
      <c r="K121" s="16" t="inlineStr">
        <is>
          <t>Not Run</t>
        </is>
      </c>
      <c r="L121" s="16" t="inlineStr">
        <is>
          <t>Medium</t>
        </is>
      </c>
      <c r="M121" s="16" t="inlineStr"/>
      <c r="N121" s="16" t="inlineStr"/>
      <c r="O121" s="16" t="inlineStr"/>
    </row>
    <row r="122" ht="78" customHeight="1">
      <c r="A122" s="16" t="inlineStr">
        <is>
          <t>TC-VR-005</t>
        </is>
      </c>
      <c r="B122" s="16" t="inlineStr">
        <is>
          <t>Variables &amp; Environments</t>
        </is>
      </c>
      <c r="C122" s="16" t="inlineStr">
        <is>
          <t>Var</t>
        </is>
      </c>
      <c r="D122" s="16" t="inlineStr">
        <is>
          <t>Functional</t>
        </is>
      </c>
      <c r="E122" s="16" t="inlineStr">
        <is>
          <t>Add plaintext variable</t>
        </is>
      </c>
      <c r="F122" s="16" t="inlineStr">
        <is>
          <t>Env active.</t>
        </is>
      </c>
      <c r="G122" s="16" t="inlineStr">
        <is>
          <t>1. Add baseUrl=https://dev.api.test.</t>
        </is>
      </c>
      <c r="H122" s="16" t="inlineStr">
        <is>
          <t>—</t>
        </is>
      </c>
      <c r="I122" s="16" t="inlineStr">
        <is>
          <t>Variable saves; {{baseUrl}} resolves correctly in URL/body/headers.</t>
        </is>
      </c>
      <c r="J122" s="16" t="inlineStr"/>
      <c r="K122" s="16" t="inlineStr">
        <is>
          <t>Not Run</t>
        </is>
      </c>
      <c r="L122" s="16" t="inlineStr">
        <is>
          <t>High</t>
        </is>
      </c>
      <c r="M122" s="16" t="inlineStr"/>
      <c r="N122" s="16" t="inlineStr"/>
      <c r="O122" s="16" t="inlineStr"/>
    </row>
    <row r="123" ht="78" customHeight="1">
      <c r="A123" s="16" t="inlineStr">
        <is>
          <t>TC-VR-006</t>
        </is>
      </c>
      <c r="B123" s="16" t="inlineStr">
        <is>
          <t>Variables &amp; Environments</t>
        </is>
      </c>
      <c r="C123" s="16" t="inlineStr">
        <is>
          <t>Var</t>
        </is>
      </c>
      <c r="D123" s="16" t="inlineStr">
        <is>
          <t>Functional</t>
        </is>
      </c>
      <c r="E123" s="16" t="inlineStr">
        <is>
          <t>Add secret variable masks input</t>
        </is>
      </c>
      <c r="F123" s="16" t="inlineStr">
        <is>
          <t>Env open.</t>
        </is>
      </c>
      <c r="G123" s="16" t="inlineStr">
        <is>
          <t>1. Add row, type=secret, value=topsecret.</t>
        </is>
      </c>
      <c r="H123" s="16" t="inlineStr">
        <is>
          <t>—</t>
        </is>
      </c>
      <c r="I123" s="16" t="inlineStr">
        <is>
          <t>Field masked; on focus shows actual value; persisted encrypted; never pushed to git.</t>
        </is>
      </c>
      <c r="J123" s="16" t="inlineStr"/>
      <c r="K123" s="16" t="inlineStr">
        <is>
          <t>Not Run</t>
        </is>
      </c>
      <c r="L123" s="16" t="inlineStr">
        <is>
          <t>High</t>
        </is>
      </c>
      <c r="M123" s="16" t="inlineStr"/>
      <c r="N123" s="16" t="inlineStr"/>
      <c r="O123" s="16" t="inlineStr"/>
    </row>
    <row r="124" ht="78" customHeight="1">
      <c r="A124" s="16" t="inlineStr">
        <is>
          <t>TC-VR-007</t>
        </is>
      </c>
      <c r="B124" s="16" t="inlineStr">
        <is>
          <t>Variables &amp; Environments</t>
        </is>
      </c>
      <c r="C124" s="16" t="inlineStr">
        <is>
          <t>Var</t>
        </is>
      </c>
      <c r="D124" s="16" t="inlineStr">
        <is>
          <t>Functional</t>
        </is>
      </c>
      <c r="E124" s="16" t="inlineStr">
        <is>
          <t>Variable autocomplete in URL</t>
        </is>
      </c>
      <c r="F124" s="16" t="inlineStr">
        <is>
          <t>Env baseUrl set.</t>
        </is>
      </c>
      <c r="G124" s="16" t="inlineStr">
        <is>
          <t>1. URL bar: type '{{ba'.</t>
        </is>
      </c>
      <c r="H124" s="16" t="inlineStr">
        <is>
          <t>—</t>
        </is>
      </c>
      <c r="I124" s="16" t="inlineStr">
        <is>
          <t>Popup shows 'baseUrl'; selection completes the token.</t>
        </is>
      </c>
      <c r="J124" s="16" t="inlineStr"/>
      <c r="K124" s="16" t="inlineStr">
        <is>
          <t>Not Run</t>
        </is>
      </c>
      <c r="L124" s="16" t="inlineStr">
        <is>
          <t>Medium</t>
        </is>
      </c>
      <c r="M124" s="16" t="inlineStr"/>
      <c r="N124" s="16" t="inlineStr"/>
      <c r="O124" s="16" t="inlineStr"/>
    </row>
    <row r="125" ht="78" customHeight="1">
      <c r="A125" s="16" t="inlineStr">
        <is>
          <t>TC-VR-008</t>
        </is>
      </c>
      <c r="B125" s="16" t="inlineStr">
        <is>
          <t>Variables &amp; Environments</t>
        </is>
      </c>
      <c r="C125" s="16" t="inlineStr">
        <is>
          <t>Var</t>
        </is>
      </c>
      <c r="D125" s="16" t="inlineStr">
        <is>
          <t>Edge Case</t>
        </is>
      </c>
      <c r="E125" s="16" t="inlineStr">
        <is>
          <t>Variable name with special chars rejected/escaped</t>
        </is>
      </c>
      <c r="F125" s="16" t="inlineStr">
        <is>
          <t>—</t>
        </is>
      </c>
      <c r="G125" s="16" t="inlineStr">
        <is>
          <t>1. Try to add var named '{{evil}}'.</t>
        </is>
      </c>
      <c r="H125" s="16" t="inlineStr">
        <is>
          <t>—</t>
        </is>
      </c>
      <c r="I125" s="16" t="inlineStr">
        <is>
          <t>Either name is rejected with clear message, or stored as literal; never causes runaway resolution.</t>
        </is>
      </c>
      <c r="J125" s="16" t="inlineStr"/>
      <c r="K125" s="16" t="inlineStr">
        <is>
          <t>Not Run</t>
        </is>
      </c>
      <c r="L125" s="16" t="inlineStr">
        <is>
          <t>Low</t>
        </is>
      </c>
      <c r="M125" s="16" t="inlineStr"/>
      <c r="N125" s="16" t="inlineStr"/>
      <c r="O125" s="16" t="inlineStr"/>
    </row>
    <row r="126" ht="78" customHeight="1">
      <c r="A126" s="16" t="inlineStr">
        <is>
          <t>TC-VR-009</t>
        </is>
      </c>
      <c r="B126" s="16" t="inlineStr">
        <is>
          <t>Variables &amp; Environments</t>
        </is>
      </c>
      <c r="C126" s="16" t="inlineStr">
        <is>
          <t>Scope</t>
        </is>
      </c>
      <c r="D126" s="16" t="inlineStr">
        <is>
          <t>Functional</t>
        </is>
      </c>
      <c r="E126" s="16" t="inlineStr">
        <is>
          <t>Request-context var overrides env</t>
        </is>
      </c>
      <c r="F126" s="16" t="inlineStr">
        <is>
          <t>Env x=env; pre-request: pm.variables.set('x','req').</t>
        </is>
      </c>
      <c r="G126" s="16" t="inlineStr">
        <is>
          <t>1. Body uses {{x}}; Send.</t>
        </is>
      </c>
      <c r="H126" s="16" t="inlineStr">
        <is>
          <t>—</t>
        </is>
      </c>
      <c r="I126" s="16" t="inlineStr">
        <is>
          <t>Body resolves to 'req'.</t>
        </is>
      </c>
      <c r="J126" s="16" t="inlineStr"/>
      <c r="K126" s="16" t="inlineStr">
        <is>
          <t>Not Run</t>
        </is>
      </c>
      <c r="L126" s="16" t="inlineStr">
        <is>
          <t>Medium</t>
        </is>
      </c>
      <c r="M126" s="16" t="inlineStr"/>
      <c r="N126" s="16" t="inlineStr"/>
      <c r="O126" s="16" t="inlineStr"/>
    </row>
    <row r="127" ht="78" customHeight="1">
      <c r="A127" s="16" t="inlineStr">
        <is>
          <t>TC-VR-010</t>
        </is>
      </c>
      <c r="B127" s="16" t="inlineStr">
        <is>
          <t>Variables &amp; Environments</t>
        </is>
      </c>
      <c r="C127" s="16" t="inlineStr">
        <is>
          <t>Scope</t>
        </is>
      </c>
      <c r="D127" s="16" t="inlineStr">
        <is>
          <t>Functional</t>
        </is>
      </c>
      <c r="E127" s="16" t="inlineStr">
        <is>
          <t>Workspace var fallback</t>
        </is>
      </c>
      <c r="F127" s="16" t="inlineStr">
        <is>
          <t>Workspace var 'app'='studio'; no env var.</t>
        </is>
      </c>
      <c r="G127" s="16" t="inlineStr">
        <is>
          <t>1. Reference {{app}} in header.</t>
        </is>
      </c>
      <c r="H127" s="16" t="inlineStr">
        <is>
          <t>—</t>
        </is>
      </c>
      <c r="I127" s="16" t="inlineStr">
        <is>
          <t>Resolves to 'studio'.</t>
        </is>
      </c>
      <c r="J127" s="16" t="inlineStr"/>
      <c r="K127" s="16" t="inlineStr">
        <is>
          <t>Not Run</t>
        </is>
      </c>
      <c r="L127" s="16" t="inlineStr">
        <is>
          <t>Medium</t>
        </is>
      </c>
      <c r="M127" s="16" t="inlineStr"/>
      <c r="N127" s="16" t="inlineStr"/>
      <c r="O127" s="16" t="inlineStr"/>
    </row>
    <row r="128" ht="78" customHeight="1">
      <c r="A128" s="16" t="inlineStr">
        <is>
          <t>TC-VR-011</t>
        </is>
      </c>
      <c r="B128" s="16" t="inlineStr">
        <is>
          <t>Variables &amp; Environments</t>
        </is>
      </c>
      <c r="C128" s="16" t="inlineStr">
        <is>
          <t>Linked Env</t>
        </is>
      </c>
      <c r="D128" s="16" t="inlineStr">
        <is>
          <t>UX/UI</t>
        </is>
      </c>
      <c r="E128" s="16" t="inlineStr">
        <is>
          <t>Drag-reorder linked env priority</t>
        </is>
      </c>
      <c r="F128" s="16" t="inlineStr">
        <is>
          <t>1 local + 2 linked envs.</t>
        </is>
      </c>
      <c r="G128" s="16" t="inlineStr">
        <is>
          <t>1. Drag link #2 above #1.</t>
        </is>
      </c>
      <c r="H128" s="16" t="inlineStr">
        <is>
          <t>—</t>
        </is>
      </c>
      <c r="I128" s="16" t="inlineStr">
        <is>
          <t>Order persists; resolution follows new order.</t>
        </is>
      </c>
      <c r="J128" s="16" t="inlineStr"/>
      <c r="K128" s="16" t="inlineStr">
        <is>
          <t>Not Run</t>
        </is>
      </c>
      <c r="L128" s="16" t="inlineStr">
        <is>
          <t>Low</t>
        </is>
      </c>
      <c r="M128" s="16" t="inlineStr"/>
      <c r="N128" s="16" t="inlineStr"/>
      <c r="O128" s="16" t="inlineStr"/>
    </row>
    <row r="129" ht="78" customHeight="1">
      <c r="A129" s="16" t="inlineStr">
        <is>
          <t>TC-VR-012</t>
        </is>
      </c>
      <c r="B129" s="16" t="inlineStr">
        <is>
          <t>Variables &amp; Environments</t>
        </is>
      </c>
      <c r="C129" s="16" t="inlineStr">
        <is>
          <t>Resolution</t>
        </is>
      </c>
      <c r="D129" s="16" t="inlineStr">
        <is>
          <t>Edge Case</t>
        </is>
      </c>
      <c r="E129" s="16" t="inlineStr">
        <is>
          <t>Circular reference does not infinite-loop</t>
        </is>
      </c>
      <c r="F129" s="16" t="inlineStr">
        <is>
          <t>Var a='{{b}}'; b='{{a}}'.</t>
        </is>
      </c>
      <c r="G129" s="16" t="inlineStr">
        <is>
          <t>1. Reference {{a}} in URL.
2. Send.</t>
        </is>
      </c>
      <c r="H129" s="16" t="inlineStr">
        <is>
          <t>—</t>
        </is>
      </c>
      <c r="I129" s="16" t="inlineStr">
        <is>
          <t>Resolution terminates after a safe depth limit; result is left as a literal or empty string; no app freeze.</t>
        </is>
      </c>
      <c r="J129" s="16" t="inlineStr"/>
      <c r="K129" s="16" t="inlineStr">
        <is>
          <t>Not Run</t>
        </is>
      </c>
      <c r="L129" s="16" t="inlineStr">
        <is>
          <t>Medium</t>
        </is>
      </c>
      <c r="M129" s="16" t="inlineStr"/>
      <c r="N129" s="16" t="inlineStr"/>
      <c r="O129" s="16" t="inlineStr"/>
    </row>
    <row r="130" ht="78" customHeight="1">
      <c r="A130" s="16" t="inlineStr">
        <is>
          <t>TC-VR-013</t>
        </is>
      </c>
      <c r="B130" s="16" t="inlineStr">
        <is>
          <t>Variables &amp; Environments</t>
        </is>
      </c>
      <c r="C130" s="16" t="inlineStr">
        <is>
          <t>Encryption</t>
        </is>
      </c>
      <c r="D130" s="16" t="inlineStr">
        <is>
          <t>Security</t>
        </is>
      </c>
      <c r="E130" s="16" t="inlineStr">
        <is>
          <t>Secrets encrypted with passphrase-derived AES-GCM</t>
        </is>
      </c>
      <c r="F130" s="16" t="inlineStr">
        <is>
          <t>Workspace has secrets + passphrase.</t>
        </is>
      </c>
      <c r="G130" s="16" t="inlineStr">
        <is>
          <t>1. Inspect IndexedDB.</t>
        </is>
      </c>
      <c r="H130" s="16" t="inlineStr">
        <is>
          <t>—</t>
        </is>
      </c>
      <c r="I130" s="16" t="inlineStr">
        <is>
          <t>Secret values stored as 'enc:v1:&lt;iv&gt;:&lt;ciphertext&gt;'; no plaintext secret bytes; master key stored as JWK.</t>
        </is>
      </c>
      <c r="J130" s="16" t="inlineStr"/>
      <c r="K130" s="16" t="inlineStr">
        <is>
          <t>Not Run</t>
        </is>
      </c>
      <c r="L130" s="16" t="inlineStr">
        <is>
          <t>High</t>
        </is>
      </c>
      <c r="M130" s="16" t="inlineStr"/>
      <c r="N130" s="16" t="inlineStr"/>
      <c r="O130" s="16" t="inlineStr"/>
    </row>
    <row r="131" ht="78" customHeight="1">
      <c r="A131" s="16" t="inlineStr">
        <is>
          <t>TC-VR-014</t>
        </is>
      </c>
      <c r="B131" s="16" t="inlineStr">
        <is>
          <t>Variables &amp; Environments</t>
        </is>
      </c>
      <c r="C131" s="16" t="inlineStr">
        <is>
          <t>Encryption</t>
        </is>
      </c>
      <c r="D131" s="16" t="inlineStr">
        <is>
          <t>Negative</t>
        </is>
      </c>
      <c r="E131" s="16" t="inlineStr">
        <is>
          <t>Master JWK present in IndexedDB (web limitation)</t>
        </is>
      </c>
      <c r="F131" s="16" t="inlineStr">
        <is>
          <t>Web build with passphrase set.</t>
        </is>
      </c>
      <c r="G131" s="16" t="inlineStr">
        <is>
          <t>1. Inspect IndexedDB master key entry.</t>
        </is>
      </c>
      <c r="H131" s="16" t="inlineStr">
        <is>
          <t>—</t>
        </is>
      </c>
      <c r="I131" s="16" t="inlineStr">
        <is>
          <t>JWK is present in plaintext (a known web-app limitation since no OS keystore); secrets remain encrypted at rest via the wrapped key — this risk should be disclosed in docs/UI.</t>
        </is>
      </c>
      <c r="J131" s="16" t="inlineStr"/>
      <c r="K131" s="16" t="inlineStr">
        <is>
          <t>Not Run</t>
        </is>
      </c>
      <c r="L131" s="16" t="inlineStr">
        <is>
          <t>Medium</t>
        </is>
      </c>
      <c r="M131" s="16" t="inlineStr"/>
      <c r="N131" s="16" t="inlineStr"/>
      <c r="O131" s="16" t="inlineStr"/>
    </row>
    <row r="132" ht="78" customHeight="1">
      <c r="A132" s="16" t="inlineStr">
        <is>
          <t>TC-VR-015</t>
        </is>
      </c>
      <c r="B132" s="16" t="inlineStr">
        <is>
          <t>Variables &amp; Environments</t>
        </is>
      </c>
      <c r="C132" s="16" t="inlineStr">
        <is>
          <t>Passphrase</t>
        </is>
      </c>
      <c r="D132" s="16" t="inlineStr">
        <is>
          <t>Functional</t>
        </is>
      </c>
      <c r="E132" s="16" t="inlineStr">
        <is>
          <t>Change passphrase re-wraps all secrets</t>
        </is>
      </c>
      <c r="F132" s="16" t="inlineStr">
        <is>
          <t>Workspace with secrets + passphrase.</t>
        </is>
      </c>
      <c r="G132" s="16" t="inlineStr">
        <is>
          <t>1. Settings → change passphrase (old + new).</t>
        </is>
      </c>
      <c r="H132" s="16" t="inlineStr">
        <is>
          <t>—</t>
        </is>
      </c>
      <c r="I132" s="16" t="inlineStr">
        <is>
          <t>Secrets re-encrypted under new key; old passphrase no longer decrypts.</t>
        </is>
      </c>
      <c r="J132" s="16" t="inlineStr"/>
      <c r="K132" s="16" t="inlineStr">
        <is>
          <t>Not Run</t>
        </is>
      </c>
      <c r="L132" s="16" t="inlineStr">
        <is>
          <t>High</t>
        </is>
      </c>
      <c r="M132" s="16" t="inlineStr"/>
      <c r="N132" s="16" t="inlineStr"/>
      <c r="O132" s="16" t="inlineStr"/>
    </row>
    <row r="133" ht="78" customHeight="1">
      <c r="A133" s="16" t="inlineStr">
        <is>
          <t>TC-RP-001</t>
        </is>
      </c>
      <c r="B133" s="16" t="inlineStr">
        <is>
          <t>Response Panel</t>
        </is>
      </c>
      <c r="C133" s="16" t="inlineStr">
        <is>
          <t>Status</t>
        </is>
      </c>
      <c r="D133" s="16" t="inlineStr">
        <is>
          <t>Functional</t>
        </is>
      </c>
      <c r="E133" s="16" t="inlineStr">
        <is>
          <t>200 OK badge</t>
        </is>
      </c>
      <c r="F133" s="16" t="inlineStr">
        <is>
          <t>GET 200 success.</t>
        </is>
      </c>
      <c r="G133" s="16" t="inlineStr">
        <is>
          <t>1. Send.</t>
        </is>
      </c>
      <c r="H133" s="16" t="inlineStr">
        <is>
          <t>—</t>
        </is>
      </c>
      <c r="I133" s="16" t="inlineStr">
        <is>
          <t>Status 200 with positive badge; time in ms; size in KB/MB.</t>
        </is>
      </c>
      <c r="J133" s="16" t="inlineStr"/>
      <c r="K133" s="16" t="inlineStr">
        <is>
          <t>Not Run</t>
        </is>
      </c>
      <c r="L133" s="16" t="inlineStr">
        <is>
          <t>High</t>
        </is>
      </c>
      <c r="M133" s="16" t="inlineStr"/>
      <c r="N133" s="16" t="inlineStr"/>
      <c r="O133" s="16" t="inlineStr"/>
    </row>
    <row r="134" ht="78" customHeight="1">
      <c r="A134" s="16" t="inlineStr">
        <is>
          <t>TC-RP-002</t>
        </is>
      </c>
      <c r="B134" s="16" t="inlineStr">
        <is>
          <t>Response Panel</t>
        </is>
      </c>
      <c r="C134" s="16" t="inlineStr">
        <is>
          <t>Status</t>
        </is>
      </c>
      <c r="D134" s="16" t="inlineStr">
        <is>
          <t>Functional</t>
        </is>
      </c>
      <c r="E134" s="16" t="inlineStr">
        <is>
          <t>Non-2xx red badge</t>
        </is>
      </c>
      <c r="F134" s="16" t="inlineStr">
        <is>
          <t>404 endpoint.</t>
        </is>
      </c>
      <c r="G134" s="16" t="inlineStr">
        <is>
          <t>1. Send.</t>
        </is>
      </c>
      <c r="H134" s="16" t="inlineStr">
        <is>
          <t>—</t>
        </is>
      </c>
      <c r="I134" s="16" t="inlineStr">
        <is>
          <t>404 with red badge; body still rendered.</t>
        </is>
      </c>
      <c r="J134" s="16" t="inlineStr"/>
      <c r="K134" s="16" t="inlineStr">
        <is>
          <t>Not Run</t>
        </is>
      </c>
      <c r="L134" s="16" t="inlineStr">
        <is>
          <t>Medium</t>
        </is>
      </c>
      <c r="M134" s="16" t="inlineStr"/>
      <c r="N134" s="16" t="inlineStr"/>
      <c r="O134" s="16" t="inlineStr"/>
    </row>
    <row r="135" ht="78" customHeight="1">
      <c r="A135" s="16" t="inlineStr">
        <is>
          <t>TC-RP-003</t>
        </is>
      </c>
      <c r="B135" s="16" t="inlineStr">
        <is>
          <t>Response Panel</t>
        </is>
      </c>
      <c r="C135" s="16" t="inlineStr">
        <is>
          <t>Body Viewer</t>
        </is>
      </c>
      <c r="D135" s="16" t="inlineStr">
        <is>
          <t>Functional</t>
        </is>
      </c>
      <c r="E135" s="16" t="inlineStr">
        <is>
          <t>Pretty/Raw/Preview toggle</t>
        </is>
      </c>
      <c r="F135" s="16" t="inlineStr">
        <is>
          <t>JSON response present.</t>
        </is>
      </c>
      <c r="G135" s="16" t="inlineStr">
        <is>
          <t>1. Toggle Pretty/Raw/Preview.</t>
        </is>
      </c>
      <c r="H135" s="16" t="inlineStr">
        <is>
          <t>—</t>
        </is>
      </c>
      <c r="I135" s="16" t="inlineStr">
        <is>
          <t>Pretty pretty-prints; Raw shows minified; Preview applies syntax highlighting.</t>
        </is>
      </c>
      <c r="J135" s="16" t="inlineStr"/>
      <c r="K135" s="16" t="inlineStr">
        <is>
          <t>Not Run</t>
        </is>
      </c>
      <c r="L135" s="16" t="inlineStr">
        <is>
          <t>High</t>
        </is>
      </c>
      <c r="M135" s="16" t="inlineStr"/>
      <c r="N135" s="16" t="inlineStr"/>
      <c r="O135" s="16" t="inlineStr"/>
    </row>
    <row r="136" ht="78" customHeight="1">
      <c r="A136" s="16" t="inlineStr">
        <is>
          <t>TC-RP-004</t>
        </is>
      </c>
      <c r="B136" s="16" t="inlineStr">
        <is>
          <t>Response Panel</t>
        </is>
      </c>
      <c r="C136" s="16" t="inlineStr">
        <is>
          <t>Body Viewer</t>
        </is>
      </c>
      <c r="D136" s="16" t="inlineStr">
        <is>
          <t>Edge Case</t>
        </is>
      </c>
      <c r="E136" s="16" t="inlineStr">
        <is>
          <t>Very large response shows preview cap notice</t>
        </is>
      </c>
      <c r="F136" s="16" t="inlineStr">
        <is>
          <t>Response &gt; 1 MB.</t>
        </is>
      </c>
      <c r="G136" s="16" t="inlineStr">
        <is>
          <t>1. Send to large endpoint.</t>
        </is>
      </c>
      <c r="H136" s="16" t="inlineStr">
        <is>
          <t>—</t>
        </is>
      </c>
      <c r="I136" s="16" t="inlineStr">
        <is>
          <t>Preview capped; banner offers Download; viewer remains responsive.</t>
        </is>
      </c>
      <c r="J136" s="16" t="inlineStr"/>
      <c r="K136" s="16" t="inlineStr">
        <is>
          <t>Not Run</t>
        </is>
      </c>
      <c r="L136" s="16" t="inlineStr">
        <is>
          <t>Medium</t>
        </is>
      </c>
      <c r="M136" s="16" t="inlineStr"/>
      <c r="N136" s="16" t="inlineStr"/>
      <c r="O136" s="16" t="inlineStr"/>
    </row>
    <row r="137" ht="78" customHeight="1">
      <c r="A137" s="16" t="inlineStr">
        <is>
          <t>TC-RP-005</t>
        </is>
      </c>
      <c r="B137" s="16" t="inlineStr">
        <is>
          <t>Response Panel</t>
        </is>
      </c>
      <c r="C137" s="16" t="inlineStr">
        <is>
          <t>Headers</t>
        </is>
      </c>
      <c r="D137" s="16" t="inlineStr">
        <is>
          <t>Functional</t>
        </is>
      </c>
      <c r="E137" s="16" t="inlineStr">
        <is>
          <t>Response headers tab</t>
        </is>
      </c>
      <c r="F137" s="16" t="inlineStr">
        <is>
          <t>Response with multiple headers.</t>
        </is>
      </c>
      <c r="G137" s="16" t="inlineStr">
        <is>
          <t>1. Open Headers tab.</t>
        </is>
      </c>
      <c r="H137" s="16" t="inlineStr">
        <is>
          <t>—</t>
        </is>
      </c>
      <c r="I137" s="16" t="inlineStr">
        <is>
          <t>Key-value table; copy-to-clipboard works; case preserved.</t>
        </is>
      </c>
      <c r="J137" s="16" t="inlineStr"/>
      <c r="K137" s="16" t="inlineStr">
        <is>
          <t>Not Run</t>
        </is>
      </c>
      <c r="L137" s="16" t="inlineStr">
        <is>
          <t>Medium</t>
        </is>
      </c>
      <c r="M137" s="16" t="inlineStr"/>
      <c r="N137" s="16" t="inlineStr"/>
      <c r="O137" s="16" t="inlineStr"/>
    </row>
    <row r="138" ht="78" customHeight="1">
      <c r="A138" s="16" t="inlineStr">
        <is>
          <t>TC-RP-006</t>
        </is>
      </c>
      <c r="B138" s="16" t="inlineStr">
        <is>
          <t>Response Panel</t>
        </is>
      </c>
      <c r="C138" s="16" t="inlineStr">
        <is>
          <t>Cookies</t>
        </is>
      </c>
      <c r="D138" s="16" t="inlineStr">
        <is>
          <t>Functional</t>
        </is>
      </c>
      <c r="E138" s="16" t="inlineStr">
        <is>
          <t>Set-Cookie populates jar</t>
        </is>
      </c>
      <c r="F138" s="16" t="inlineStr">
        <is>
          <t>Endpoint returns Set-Cookie.</t>
        </is>
      </c>
      <c r="G138" s="16" t="inlineStr">
        <is>
          <t>1. Send.
2. Cookies tab.</t>
        </is>
      </c>
      <c r="H138" s="16" t="inlineStr">
        <is>
          <t>—</t>
        </is>
      </c>
      <c r="I138" s="16" t="inlineStr">
        <is>
          <t>New cookie listed with domain/path/expiry.</t>
        </is>
      </c>
      <c r="J138" s="16" t="inlineStr"/>
      <c r="K138" s="16" t="inlineStr">
        <is>
          <t>Not Run</t>
        </is>
      </c>
      <c r="L138" s="16" t="inlineStr">
        <is>
          <t>High</t>
        </is>
      </c>
      <c r="M138" s="16" t="inlineStr"/>
      <c r="N138" s="16" t="inlineStr"/>
      <c r="O138" s="16" t="inlineStr"/>
    </row>
    <row r="139" ht="78" customHeight="1">
      <c r="A139" s="16" t="inlineStr">
        <is>
          <t>TC-RP-007</t>
        </is>
      </c>
      <c r="B139" s="16" t="inlineStr">
        <is>
          <t>Response Panel</t>
        </is>
      </c>
      <c r="C139" s="16" t="inlineStr">
        <is>
          <t>Transformations</t>
        </is>
      </c>
      <c r="D139" s="16" t="inlineStr">
        <is>
          <t>Functional</t>
        </is>
      </c>
      <c r="E139" s="16" t="inlineStr">
        <is>
          <t>TOON/YAML/CSV savings badges for JSON</t>
        </is>
      </c>
      <c r="F139" s="16" t="inlineStr">
        <is>
          <t>JSON response.</t>
        </is>
      </c>
      <c r="G139" s="16" t="inlineStr">
        <is>
          <t>1. View size hints area.</t>
        </is>
      </c>
      <c r="H139" s="16" t="inlineStr">
        <is>
          <t>—</t>
        </is>
      </c>
      <c r="I139" s="16" t="inlineStr">
        <is>
          <t>Badges show percent reduction vs minified JSON for each format.</t>
        </is>
      </c>
      <c r="J139" s="16" t="inlineStr"/>
      <c r="K139" s="16" t="inlineStr">
        <is>
          <t>Not Run</t>
        </is>
      </c>
      <c r="L139" s="16" t="inlineStr">
        <is>
          <t>Medium</t>
        </is>
      </c>
      <c r="M139" s="16" t="inlineStr"/>
      <c r="N139" s="16" t="inlineStr"/>
      <c r="O139" s="16" t="inlineStr"/>
    </row>
    <row r="140" ht="78" customHeight="1">
      <c r="A140" s="16" t="inlineStr">
        <is>
          <t>TC-RP-008</t>
        </is>
      </c>
      <c r="B140" s="16" t="inlineStr">
        <is>
          <t>Response Panel</t>
        </is>
      </c>
      <c r="C140" s="16" t="inlineStr">
        <is>
          <t>Transformations</t>
        </is>
      </c>
      <c r="D140" s="16" t="inlineStr">
        <is>
          <t>Functional</t>
        </is>
      </c>
      <c r="E140" s="16" t="inlineStr">
        <is>
          <t>Switch to YAML preview</t>
        </is>
      </c>
      <c r="F140" s="16" t="inlineStr">
        <is>
          <t>JSON response.</t>
        </is>
      </c>
      <c r="G140" s="16" t="inlineStr">
        <is>
          <t>1. Click 'as YAML'.</t>
        </is>
      </c>
      <c r="H140" s="16" t="inlineStr">
        <is>
          <t>—</t>
        </is>
      </c>
      <c r="I140" s="16" t="inlineStr">
        <is>
          <t>Body shows YAML; switch back to JSON works.</t>
        </is>
      </c>
      <c r="J140" s="16" t="inlineStr"/>
      <c r="K140" s="16" t="inlineStr">
        <is>
          <t>Not Run</t>
        </is>
      </c>
      <c r="L140" s="16" t="inlineStr">
        <is>
          <t>Low</t>
        </is>
      </c>
      <c r="M140" s="16" t="inlineStr"/>
      <c r="N140" s="16" t="inlineStr"/>
      <c r="O140" s="16" t="inlineStr"/>
    </row>
    <row r="141" ht="78" customHeight="1">
      <c r="A141" s="16" t="inlineStr">
        <is>
          <t>TC-RP-009</t>
        </is>
      </c>
      <c r="B141" s="16" t="inlineStr">
        <is>
          <t>Response Panel</t>
        </is>
      </c>
      <c r="C141" s="16" t="inlineStr">
        <is>
          <t>Transformations</t>
        </is>
      </c>
      <c r="D141" s="16" t="inlineStr">
        <is>
          <t>Edge Case</t>
        </is>
      </c>
      <c r="E141" s="16" t="inlineStr">
        <is>
          <t>Savings computed vs minified JSON (not pretty)</t>
        </is>
      </c>
      <c r="F141" s="16" t="inlineStr">
        <is>
          <t>Response with pretty-printed JSON.</t>
        </is>
      </c>
      <c r="G141" s="16" t="inlineStr">
        <is>
          <t>1. View badges.</t>
        </is>
      </c>
      <c r="H141" s="16" t="inlineStr">
        <is>
          <t>—</t>
        </is>
      </c>
      <c r="I141" s="16" t="inlineStr">
        <is>
          <t>Savings computed against minifiedBytes (NOT pretty-printed); banner does not inflate savings.</t>
        </is>
      </c>
      <c r="J141" s="16" t="inlineStr"/>
      <c r="K141" s="16" t="inlineStr">
        <is>
          <t>Not Run</t>
        </is>
      </c>
      <c r="L141" s="16" t="inlineStr">
        <is>
          <t>Medium</t>
        </is>
      </c>
      <c r="M141" s="16" t="inlineStr"/>
      <c r="N141" s="16" t="inlineStr"/>
      <c r="O141" s="16" t="inlineStr"/>
    </row>
    <row r="142" ht="78" customHeight="1">
      <c r="A142" s="16" t="inlineStr">
        <is>
          <t>TC-RP-010</t>
        </is>
      </c>
      <c r="B142" s="16" t="inlineStr">
        <is>
          <t>Response Panel</t>
        </is>
      </c>
      <c r="C142" s="16" t="inlineStr">
        <is>
          <t>Download</t>
        </is>
      </c>
      <c r="D142" s="16" t="inlineStr">
        <is>
          <t>Functional</t>
        </is>
      </c>
      <c r="E142" s="16" t="inlineStr">
        <is>
          <t>Download response body</t>
        </is>
      </c>
      <c r="F142" s="16" t="inlineStr">
        <is>
          <t>Any response.</t>
        </is>
      </c>
      <c r="G142" s="16" t="inlineStr">
        <is>
          <t>1. Click Download.</t>
        </is>
      </c>
      <c r="H142" s="16" t="inlineStr">
        <is>
          <t>—</t>
        </is>
      </c>
      <c r="I142" s="16" t="inlineStr">
        <is>
          <t>File save flow opens (browser download in web / native dialog in desktop); bytes match.</t>
        </is>
      </c>
      <c r="J142" s="16" t="inlineStr"/>
      <c r="K142" s="16" t="inlineStr">
        <is>
          <t>Not Run</t>
        </is>
      </c>
      <c r="L142" s="16" t="inlineStr">
        <is>
          <t>Medium</t>
        </is>
      </c>
      <c r="M142" s="16" t="inlineStr"/>
      <c r="N142" s="16" t="inlineStr"/>
      <c r="O142" s="16" t="inlineStr"/>
    </row>
    <row r="143" ht="78" customHeight="1">
      <c r="A143" s="16" t="inlineStr">
        <is>
          <t>TC-RP-011</t>
        </is>
      </c>
      <c r="B143" s="16" t="inlineStr">
        <is>
          <t>Response Panel</t>
        </is>
      </c>
      <c r="C143" s="16" t="inlineStr">
        <is>
          <t>Snapshots</t>
        </is>
      </c>
      <c r="D143" s="16" t="inlineStr">
        <is>
          <t>Functional</t>
        </is>
      </c>
      <c r="E143" s="16" t="inlineStr">
        <is>
          <t>Timeline picker for prior responses</t>
        </is>
      </c>
      <c r="F143" s="16" t="inlineStr">
        <is>
          <t>Multiple runs of same request.</t>
        </is>
      </c>
      <c r="G143" s="16" t="inlineStr">
        <is>
          <t>1. Click timeline → pick older run.</t>
        </is>
      </c>
      <c r="H143" s="16" t="inlineStr">
        <is>
          <t>—</t>
        </is>
      </c>
      <c r="I143" s="16" t="inlineStr">
        <is>
          <t>Body viewer swaps to that run; status/time/size update; toggle between snapshots is smooth.</t>
        </is>
      </c>
      <c r="J143" s="16" t="inlineStr"/>
      <c r="K143" s="16" t="inlineStr">
        <is>
          <t>Not Run</t>
        </is>
      </c>
      <c r="L143" s="16" t="inlineStr">
        <is>
          <t>Medium</t>
        </is>
      </c>
      <c r="M143" s="16" t="inlineStr"/>
      <c r="N143" s="16" t="inlineStr"/>
      <c r="O143" s="16" t="inlineStr"/>
    </row>
    <row r="144" ht="78" customHeight="1">
      <c r="A144" s="16" t="inlineStr">
        <is>
          <t>TC-RP-012</t>
        </is>
      </c>
      <c r="B144" s="16" t="inlineStr">
        <is>
          <t>Response Panel</t>
        </is>
      </c>
      <c r="C144" s="16" t="inlineStr">
        <is>
          <t>Error</t>
        </is>
      </c>
      <c r="D144" s="16" t="inlineStr">
        <is>
          <t>Negative</t>
        </is>
      </c>
      <c r="E144" s="16" t="inlineStr">
        <is>
          <t>Network error renders error state</t>
        </is>
      </c>
      <c r="F144" s="16" t="inlineStr">
        <is>
          <t>Endpoint unreachable.</t>
        </is>
      </c>
      <c r="G144" s="16" t="inlineStr">
        <is>
          <t>1. Send to non-routable host.</t>
        </is>
      </c>
      <c r="H144" s="16" t="inlineStr">
        <is>
          <t>—</t>
        </is>
      </c>
      <c r="I144" s="16" t="inlineStr">
        <is>
          <t>Response panel shows error message (not blank); guidance offered (check URL/network).</t>
        </is>
      </c>
      <c r="J144" s="16" t="inlineStr"/>
      <c r="K144" s="16" t="inlineStr">
        <is>
          <t>Not Run</t>
        </is>
      </c>
      <c r="L144" s="16" t="inlineStr">
        <is>
          <t>High</t>
        </is>
      </c>
      <c r="M144" s="16" t="inlineStr"/>
      <c r="N144" s="16" t="inlineStr"/>
      <c r="O144" s="16" t="inlineStr"/>
    </row>
    <row r="145" ht="78" customHeight="1">
      <c r="A145" s="16" t="inlineStr">
        <is>
          <t>TC-RP-013</t>
        </is>
      </c>
      <c r="B145" s="16" t="inlineStr">
        <is>
          <t>Response Panel</t>
        </is>
      </c>
      <c r="C145" s="16" t="inlineStr">
        <is>
          <t>Render</t>
        </is>
      </c>
      <c r="D145" s="16" t="inlineStr">
        <is>
          <t>Security</t>
        </is>
      </c>
      <c r="E145" s="16" t="inlineStr">
        <is>
          <t>HTML response rendered safely</t>
        </is>
      </c>
      <c r="F145" s="16" t="inlineStr">
        <is>
          <t>Response Content-Type: text/html with &lt;script&gt;alert(1)&lt;/script&gt;.</t>
        </is>
      </c>
      <c r="G145" s="16" t="inlineStr">
        <is>
          <t>1. Send.
2. Switch to Preview.</t>
        </is>
      </c>
      <c r="H145" s="16" t="inlineStr">
        <is>
          <t>—</t>
        </is>
      </c>
      <c r="I145" s="16" t="inlineStr">
        <is>
          <t>Script does NOT execute; preview renders in sandboxed iframe or escaped text; no XSS in our app.</t>
        </is>
      </c>
      <c r="J145" s="16" t="inlineStr"/>
      <c r="K145" s="16" t="inlineStr">
        <is>
          <t>Not Run</t>
        </is>
      </c>
      <c r="L145" s="16" t="inlineStr">
        <is>
          <t>High</t>
        </is>
      </c>
      <c r="M145" s="16" t="inlineStr"/>
      <c r="N145" s="16" t="inlineStr"/>
      <c r="O145" s="16" t="inlineStr"/>
    </row>
    <row r="146" ht="78" customHeight="1">
      <c r="A146" s="16" t="inlineStr">
        <is>
          <t>TC-RP-014</t>
        </is>
      </c>
      <c r="B146" s="16" t="inlineStr">
        <is>
          <t>Response Panel</t>
        </is>
      </c>
      <c r="C146" s="16" t="inlineStr">
        <is>
          <t>CORS</t>
        </is>
      </c>
      <c r="D146" s="16" t="inlineStr">
        <is>
          <t>Negative</t>
        </is>
      </c>
      <c r="E146" s="16" t="inlineStr">
        <is>
          <t>Cross-origin request without CORS surfaces error</t>
        </is>
      </c>
      <c r="F146" s="16" t="inlineStr">
        <is>
          <t>Endpoint without CORS headers.</t>
        </is>
      </c>
      <c r="G146" s="16" t="inlineStr">
        <is>
          <t>1. Send to cross-origin endpoint.</t>
        </is>
      </c>
      <c r="H146" s="16" t="inlineStr">
        <is>
          <t>—</t>
        </is>
      </c>
      <c r="I146" s="16" t="inlineStr">
        <is>
          <t>Browser blocks; clear error 'CORS or network failure' shown in response panel with actionable guidance (use desktop, set CORS, or use proxy).</t>
        </is>
      </c>
      <c r="J146" s="16" t="inlineStr"/>
      <c r="K146" s="16" t="inlineStr">
        <is>
          <t>Not Run</t>
        </is>
      </c>
      <c r="L146" s="16" t="inlineStr">
        <is>
          <t>High</t>
        </is>
      </c>
      <c r="M146" s="16" t="inlineStr"/>
      <c r="N146" s="16" t="inlineStr"/>
      <c r="O146" s="16" t="inlineStr"/>
    </row>
    <row r="147" ht="78" customHeight="1">
      <c r="A147" s="16" t="inlineStr">
        <is>
          <t>TC-RP-015</t>
        </is>
      </c>
      <c r="B147" s="16" t="inlineStr">
        <is>
          <t>Response Panel</t>
        </is>
      </c>
      <c r="C147" s="16" t="inlineStr">
        <is>
          <t>Mixed Content</t>
        </is>
      </c>
      <c r="D147" s="16" t="inlineStr">
        <is>
          <t>Negative</t>
        </is>
      </c>
      <c r="E147" s="16" t="inlineStr">
        <is>
          <t>HTTP request from HTTPS app warns</t>
        </is>
      </c>
      <c r="F147" s="16" t="inlineStr">
        <is>
          <t>App on https origin; send to http://endpoint.</t>
        </is>
      </c>
      <c r="G147" s="16" t="inlineStr">
        <is>
          <t>1. Send.</t>
        </is>
      </c>
      <c r="H147" s="16" t="inlineStr">
        <is>
          <t>—</t>
        </is>
      </c>
      <c r="I147" s="16" t="inlineStr">
        <is>
          <t>Browser blocks or warns; app surfaces a clear message; user can retry on https.</t>
        </is>
      </c>
      <c r="J147" s="16" t="inlineStr"/>
      <c r="K147" s="16" t="inlineStr">
        <is>
          <t>Not Run</t>
        </is>
      </c>
      <c r="L147" s="16" t="inlineStr">
        <is>
          <t>High</t>
        </is>
      </c>
      <c r="M147" s="16" t="inlineStr"/>
      <c r="N147" s="16" t="inlineStr"/>
      <c r="O147" s="16" t="inlineStr"/>
    </row>
    <row r="148" ht="78" customHeight="1">
      <c r="A148" s="16" t="inlineStr">
        <is>
          <t>TC-SC-001</t>
        </is>
      </c>
      <c r="B148" s="16" t="inlineStr">
        <is>
          <t>Pre-request Scripts &amp; Tests</t>
        </is>
      </c>
      <c r="C148" s="16" t="inlineStr">
        <is>
          <t>Pre-request</t>
        </is>
      </c>
      <c r="D148" s="16" t="inlineStr">
        <is>
          <t>Functional</t>
        </is>
      </c>
      <c r="E148" s="16" t="inlineStr">
        <is>
          <t>pm.variables.set persists across send</t>
        </is>
      </c>
      <c r="F148" s="16" t="inlineStr">
        <is>
          <t>Script: pm.variables.set('token','xyz')</t>
        </is>
      </c>
      <c r="G148" s="16" t="inlineStr">
        <is>
          <t>1. Body uses {{token}}.
2. Send.</t>
        </is>
      </c>
      <c r="H148" s="16" t="inlineStr">
        <is>
          <t>—</t>
        </is>
      </c>
      <c r="I148" s="16" t="inlineStr">
        <is>
          <t>Body contains 'xyz'.</t>
        </is>
      </c>
      <c r="J148" s="16" t="inlineStr"/>
      <c r="K148" s="16" t="inlineStr">
        <is>
          <t>Not Run</t>
        </is>
      </c>
      <c r="L148" s="16" t="inlineStr">
        <is>
          <t>High</t>
        </is>
      </c>
      <c r="M148" s="16" t="inlineStr"/>
      <c r="N148" s="16" t="inlineStr"/>
      <c r="O148" s="16" t="inlineStr"/>
    </row>
    <row r="149" ht="78" customHeight="1">
      <c r="A149" s="16" t="inlineStr">
        <is>
          <t>TC-SC-002</t>
        </is>
      </c>
      <c r="B149" s="16" t="inlineStr">
        <is>
          <t>Pre-request Scripts &amp; Tests</t>
        </is>
      </c>
      <c r="C149" s="16" t="inlineStr">
        <is>
          <t>Pre-request</t>
        </is>
      </c>
      <c r="D149" s="16" t="inlineStr">
        <is>
          <t>Negative</t>
        </is>
      </c>
      <c r="E149" s="16" t="inlineStr">
        <is>
          <t>Runtime error aborts send</t>
        </is>
      </c>
      <c r="F149" s="16" t="inlineStr">
        <is>
          <t>Script: throw new Error('boom')</t>
        </is>
      </c>
      <c r="G149" s="16" t="inlineStr">
        <is>
          <t>1. Send.</t>
        </is>
      </c>
      <c r="H149" s="16" t="inlineStr">
        <is>
          <t>—</t>
        </is>
      </c>
      <c r="I149" s="16" t="inlineStr">
        <is>
          <t>Error toast/panel surfaces; HTTP request NOT sent.</t>
        </is>
      </c>
      <c r="J149" s="16" t="inlineStr"/>
      <c r="K149" s="16" t="inlineStr">
        <is>
          <t>Not Run</t>
        </is>
      </c>
      <c r="L149" s="16" t="inlineStr">
        <is>
          <t>High</t>
        </is>
      </c>
      <c r="M149" s="16" t="inlineStr"/>
      <c r="N149" s="16" t="inlineStr"/>
      <c r="O149" s="16" t="inlineStr"/>
    </row>
    <row r="150" ht="78" customHeight="1">
      <c r="A150" s="16" t="inlineStr">
        <is>
          <t>TC-SC-003</t>
        </is>
      </c>
      <c r="B150" s="16" t="inlineStr">
        <is>
          <t>Pre-request Scripts &amp; Tests</t>
        </is>
      </c>
      <c r="C150" s="16" t="inlineStr">
        <is>
          <t>Console</t>
        </is>
      </c>
      <c r="D150" s="16" t="inlineStr">
        <is>
          <t>Functional</t>
        </is>
      </c>
      <c r="E150" s="16" t="inlineStr">
        <is>
          <t>console.log appears in script console</t>
        </is>
      </c>
      <c r="F150" s="16" t="inlineStr">
        <is>
          <t>Script: console.log('hello')</t>
        </is>
      </c>
      <c r="G150" s="16" t="inlineStr">
        <is>
          <t>1. Send.
2. Open script console.</t>
        </is>
      </c>
      <c r="H150" s="16" t="inlineStr">
        <is>
          <t>—</t>
        </is>
      </c>
      <c r="I150" s="16" t="inlineStr">
        <is>
          <t>'hello' line appears with timestamp.</t>
        </is>
      </c>
      <c r="J150" s="16" t="inlineStr"/>
      <c r="K150" s="16" t="inlineStr">
        <is>
          <t>Not Run</t>
        </is>
      </c>
      <c r="L150" s="16" t="inlineStr">
        <is>
          <t>Medium</t>
        </is>
      </c>
      <c r="M150" s="16" t="inlineStr"/>
      <c r="N150" s="16" t="inlineStr"/>
      <c r="O150" s="16" t="inlineStr"/>
    </row>
    <row r="151" ht="78" customHeight="1">
      <c r="A151" s="16" t="inlineStr">
        <is>
          <t>TC-SC-004</t>
        </is>
      </c>
      <c r="B151" s="16" t="inlineStr">
        <is>
          <t>Pre-request Scripts &amp; Tests</t>
        </is>
      </c>
      <c r="C151" s="16" t="inlineStr">
        <is>
          <t>Sandbox</t>
        </is>
      </c>
      <c r="D151" s="16" t="inlineStr">
        <is>
          <t>Security</t>
        </is>
      </c>
      <c r="E151" s="16" t="inlineStr">
        <is>
          <t>Pre-request script cannot access window globals</t>
        </is>
      </c>
      <c r="F151" s="16" t="inlineStr">
        <is>
          <t>Script: window.foo = 1</t>
        </is>
      </c>
      <c r="G151" s="16" t="inlineStr">
        <is>
          <t>1. Send.</t>
        </is>
      </c>
      <c r="H151" s="16" t="inlineStr">
        <is>
          <t>—</t>
        </is>
      </c>
      <c r="I151" s="16" t="inlineStr">
        <is>
          <t>Script runs in isolated sandbox; cannot leak to host window; no global namespace pollution.</t>
        </is>
      </c>
      <c r="J151" s="16" t="inlineStr"/>
      <c r="K151" s="16" t="inlineStr">
        <is>
          <t>Not Run</t>
        </is>
      </c>
      <c r="L151" s="16" t="inlineStr">
        <is>
          <t>High</t>
        </is>
      </c>
      <c r="M151" s="16" t="inlineStr"/>
      <c r="N151" s="16" t="inlineStr"/>
      <c r="O151" s="16" t="inlineStr"/>
    </row>
    <row r="152" ht="78" customHeight="1">
      <c r="A152" s="16" t="inlineStr">
        <is>
          <t>TC-SC-005</t>
        </is>
      </c>
      <c r="B152" s="16" t="inlineStr">
        <is>
          <t>Pre-request Scripts &amp; Tests</t>
        </is>
      </c>
      <c r="C152" s="16" t="inlineStr">
        <is>
          <t>Tests</t>
        </is>
      </c>
      <c r="D152" s="16" t="inlineStr">
        <is>
          <t>Functional</t>
        </is>
      </c>
      <c r="E152" s="16" t="inlineStr">
        <is>
          <t>Add status==200 assertion</t>
        </is>
      </c>
      <c r="F152" s="16" t="inlineStr">
        <is>
          <t>Tests tab.</t>
        </is>
      </c>
      <c r="G152" s="16" t="inlineStr">
        <is>
          <t>1. Add status==200.
2. Send to 200 endpoint.</t>
        </is>
      </c>
      <c r="H152" s="16" t="inlineStr">
        <is>
          <t>—</t>
        </is>
      </c>
      <c r="I152" s="16" t="inlineStr">
        <is>
          <t>Assertion passes; green row; 1/1 passed.</t>
        </is>
      </c>
      <c r="J152" s="16" t="inlineStr"/>
      <c r="K152" s="16" t="inlineStr">
        <is>
          <t>Not Run</t>
        </is>
      </c>
      <c r="L152" s="16" t="inlineStr">
        <is>
          <t>High</t>
        </is>
      </c>
      <c r="M152" s="16" t="inlineStr"/>
      <c r="N152" s="16" t="inlineStr"/>
      <c r="O152" s="16" t="inlineStr"/>
    </row>
    <row r="153" ht="78" customHeight="1">
      <c r="A153" s="16" t="inlineStr">
        <is>
          <t>TC-SC-006</t>
        </is>
      </c>
      <c r="B153" s="16" t="inlineStr">
        <is>
          <t>Pre-request Scripts &amp; Tests</t>
        </is>
      </c>
      <c r="C153" s="16" t="inlineStr">
        <is>
          <t>Tests</t>
        </is>
      </c>
      <c r="D153" s="16" t="inlineStr">
        <is>
          <t>Functional</t>
        </is>
      </c>
      <c r="E153" s="16" t="inlineStr">
        <is>
          <t>Add JSON path assertion</t>
        </is>
      </c>
      <c r="F153" s="16" t="inlineStr">
        <is>
          <t>Response {"id":42}.</t>
        </is>
      </c>
      <c r="G153" s="16" t="inlineStr">
        <is>
          <t>1. Add body.id == 42.
2. Send.</t>
        </is>
      </c>
      <c r="H153" s="16" t="inlineStr">
        <is>
          <t>—</t>
        </is>
      </c>
      <c r="I153" s="16" t="inlineStr">
        <is>
          <t>Passes; actual=42, expected=42.</t>
        </is>
      </c>
      <c r="J153" s="16" t="inlineStr"/>
      <c r="K153" s="16" t="inlineStr">
        <is>
          <t>Not Run</t>
        </is>
      </c>
      <c r="L153" s="16" t="inlineStr">
        <is>
          <t>High</t>
        </is>
      </c>
      <c r="M153" s="16" t="inlineStr"/>
      <c r="N153" s="16" t="inlineStr"/>
      <c r="O153" s="16" t="inlineStr"/>
    </row>
    <row r="154" ht="78" customHeight="1">
      <c r="A154" s="16" t="inlineStr">
        <is>
          <t>TC-SC-007</t>
        </is>
      </c>
      <c r="B154" s="16" t="inlineStr">
        <is>
          <t>Pre-request Scripts &amp; Tests</t>
        </is>
      </c>
      <c r="C154" s="16" t="inlineStr">
        <is>
          <t>Tests</t>
        </is>
      </c>
      <c r="D154" s="16" t="inlineStr">
        <is>
          <t>Negative</t>
        </is>
      </c>
      <c r="E154" s="16" t="inlineStr">
        <is>
          <t>Failing assertion shows red</t>
        </is>
      </c>
      <c r="F154" s="16" t="inlineStr">
        <is>
          <t>Response 404.</t>
        </is>
      </c>
      <c r="G154" s="16" t="inlineStr">
        <is>
          <t>1. Add status==200.
2. Send.</t>
        </is>
      </c>
      <c r="H154" s="16" t="inlineStr">
        <is>
          <t>—</t>
        </is>
      </c>
      <c r="I154" s="16" t="inlineStr">
        <is>
          <t>Assertion fails; red row; 0/1.</t>
        </is>
      </c>
      <c r="J154" s="16" t="inlineStr"/>
      <c r="K154" s="16" t="inlineStr">
        <is>
          <t>Not Run</t>
        </is>
      </c>
      <c r="L154" s="16" t="inlineStr">
        <is>
          <t>Medium</t>
        </is>
      </c>
      <c r="M154" s="16" t="inlineStr"/>
      <c r="N154" s="16" t="inlineStr"/>
      <c r="O154" s="16" t="inlineStr"/>
    </row>
    <row r="155" ht="78" customHeight="1">
      <c r="A155" s="16" t="inlineStr">
        <is>
          <t>TC-SC-008</t>
        </is>
      </c>
      <c r="B155" s="16" t="inlineStr">
        <is>
          <t>Pre-request Scripts &amp; Tests</t>
        </is>
      </c>
      <c r="C155" s="16" t="inlineStr">
        <is>
          <t>Tests</t>
        </is>
      </c>
      <c r="D155" s="16" t="inlineStr">
        <is>
          <t>Functional</t>
        </is>
      </c>
      <c r="E155" s="16" t="inlineStr">
        <is>
          <t>Regex 'matches' operator</t>
        </is>
      </c>
      <c r="F155" s="16" t="inlineStr">
        <is>
          <t>Response body.email = 'a@b.com'.</t>
        </is>
      </c>
      <c r="G155" s="16" t="inlineStr">
        <is>
          <t>1. Assertion body.email matches '^[^@]+@[^@]+$'.
2. Send.</t>
        </is>
      </c>
      <c r="H155" s="16" t="inlineStr">
        <is>
          <t>—</t>
        </is>
      </c>
      <c r="I155" s="16" t="inlineStr">
        <is>
          <t>Passes.</t>
        </is>
      </c>
      <c r="J155" s="16" t="inlineStr"/>
      <c r="K155" s="16" t="inlineStr">
        <is>
          <t>Not Run</t>
        </is>
      </c>
      <c r="L155" s="16" t="inlineStr">
        <is>
          <t>Medium</t>
        </is>
      </c>
      <c r="M155" s="16" t="inlineStr"/>
      <c r="N155" s="16" t="inlineStr"/>
      <c r="O155" s="16" t="inlineStr"/>
    </row>
    <row r="156" ht="78" customHeight="1">
      <c r="A156" s="16" t="inlineStr">
        <is>
          <t>TC-SC-009</t>
        </is>
      </c>
      <c r="B156" s="16" t="inlineStr">
        <is>
          <t>Pre-request Scripts &amp; Tests</t>
        </is>
      </c>
      <c r="C156" s="16" t="inlineStr">
        <is>
          <t>Tests</t>
        </is>
      </c>
      <c r="D156" s="16" t="inlineStr">
        <is>
          <t>Edge Case</t>
        </is>
      </c>
      <c r="E156" s="16" t="inlineStr">
        <is>
          <t>Assertion on missing JSON path</t>
        </is>
      </c>
      <c r="F156" s="16" t="inlineStr">
        <is>
          <t>Response: {"a":1}; assertion body.b == 2.</t>
        </is>
      </c>
      <c r="G156" s="16" t="inlineStr">
        <is>
          <t>1. Send.</t>
        </is>
      </c>
      <c r="H156" s="16" t="inlineStr">
        <is>
          <t>—</t>
        </is>
      </c>
      <c r="I156" s="16" t="inlineStr">
        <is>
          <t>Assertion fails gracefully; no runtime exception; actual is reported as undefined/null.</t>
        </is>
      </c>
      <c r="J156" s="16" t="inlineStr"/>
      <c r="K156" s="16" t="inlineStr">
        <is>
          <t>Not Run</t>
        </is>
      </c>
      <c r="L156" s="16" t="inlineStr">
        <is>
          <t>Medium</t>
        </is>
      </c>
      <c r="M156" s="16" t="inlineStr"/>
      <c r="N156" s="16" t="inlineStr"/>
      <c r="O156" s="16" t="inlineStr"/>
    </row>
    <row r="157" ht="78" customHeight="1">
      <c r="A157" s="16" t="inlineStr">
        <is>
          <t>TC-SC-010</t>
        </is>
      </c>
      <c r="B157" s="16" t="inlineStr">
        <is>
          <t>Pre-request Scripts &amp; Tests</t>
        </is>
      </c>
      <c r="C157" s="16" t="inlineStr">
        <is>
          <t>Tests</t>
        </is>
      </c>
      <c r="D157" s="16" t="inlineStr">
        <is>
          <t>Edge Case</t>
        </is>
      </c>
      <c r="E157" s="16" t="inlineStr">
        <is>
          <t>Duration assertion</t>
        </is>
      </c>
      <c r="F157" s="16" t="inlineStr">
        <is>
          <t>responseTime lt 1000</t>
        </is>
      </c>
      <c r="G157" s="16" t="inlineStr">
        <is>
          <t>1. Send to typical endpoint.</t>
        </is>
      </c>
      <c r="H157" s="16" t="inlineStr">
        <is>
          <t>—</t>
        </is>
      </c>
      <c r="I157" s="16" t="inlineStr">
        <is>
          <t>Assertion passes if response within 1s; reports actual ms.</t>
        </is>
      </c>
      <c r="J157" s="16" t="inlineStr"/>
      <c r="K157" s="16" t="inlineStr">
        <is>
          <t>Not Run</t>
        </is>
      </c>
      <c r="L157" s="16" t="inlineStr">
        <is>
          <t>Low</t>
        </is>
      </c>
      <c r="M157" s="16" t="inlineStr"/>
      <c r="N157" s="16" t="inlineStr"/>
      <c r="O157" s="16" t="inlineStr"/>
    </row>
    <row r="158" ht="78" customHeight="1">
      <c r="A158" s="16" t="inlineStr">
        <is>
          <t>TC-HS-001</t>
        </is>
      </c>
      <c r="B158" s="16" t="inlineStr">
        <is>
          <t>History</t>
        </is>
      </c>
      <c r="C158" s="16" t="inlineStr">
        <is>
          <t>Log</t>
        </is>
      </c>
      <c r="D158" s="16" t="inlineStr">
        <is>
          <t>Functional</t>
        </is>
      </c>
      <c r="E158" s="16" t="inlineStr">
        <is>
          <t>Each send creates a history entry</t>
        </is>
      </c>
      <c r="F158" s="16" t="inlineStr">
        <is>
          <t>History panel open.</t>
        </is>
      </c>
      <c r="G158" s="16" t="inlineStr">
        <is>
          <t>1. Send 3 requests.</t>
        </is>
      </c>
      <c r="H158" s="16" t="inlineStr">
        <is>
          <t>—</t>
        </is>
      </c>
      <c r="I158" s="16" t="inlineStr">
        <is>
          <t>3 entries; newest first; method/URL/status/time visible.</t>
        </is>
      </c>
      <c r="J158" s="16" t="inlineStr"/>
      <c r="K158" s="16" t="inlineStr">
        <is>
          <t>Not Run</t>
        </is>
      </c>
      <c r="L158" s="16" t="inlineStr">
        <is>
          <t>High</t>
        </is>
      </c>
      <c r="M158" s="16" t="inlineStr"/>
      <c r="N158" s="16" t="inlineStr"/>
      <c r="O158" s="16" t="inlineStr"/>
    </row>
    <row r="159" ht="78" customHeight="1">
      <c r="A159" s="16" t="inlineStr">
        <is>
          <t>TC-HS-002</t>
        </is>
      </c>
      <c r="B159" s="16" t="inlineStr">
        <is>
          <t>History</t>
        </is>
      </c>
      <c r="C159" s="16" t="inlineStr">
        <is>
          <t>Buckets</t>
        </is>
      </c>
      <c r="D159" s="16" t="inlineStr">
        <is>
          <t>UX/UI</t>
        </is>
      </c>
      <c r="E159" s="16" t="inlineStr">
        <is>
          <t>Date buckets</t>
        </is>
      </c>
      <c r="F159" s="16" t="inlineStr">
        <is>
          <t>Runs across multiple days.</t>
        </is>
      </c>
      <c r="G159" s="16" t="inlineStr">
        <is>
          <t>1. Open history.</t>
        </is>
      </c>
      <c r="H159" s="16" t="inlineStr">
        <is>
          <t>—</t>
        </is>
      </c>
      <c r="I159" s="16" t="inlineStr">
        <is>
          <t>Today, Yesterday, Last 7 days, etc. groupings.</t>
        </is>
      </c>
      <c r="J159" s="16" t="inlineStr"/>
      <c r="K159" s="16" t="inlineStr">
        <is>
          <t>Not Run</t>
        </is>
      </c>
      <c r="L159" s="16" t="inlineStr">
        <is>
          <t>Medium</t>
        </is>
      </c>
      <c r="M159" s="16" t="inlineStr"/>
      <c r="N159" s="16" t="inlineStr"/>
      <c r="O159" s="16" t="inlineStr"/>
    </row>
    <row r="160" ht="78" customHeight="1">
      <c r="A160" s="16" t="inlineStr">
        <is>
          <t>TC-HS-003</t>
        </is>
      </c>
      <c r="B160" s="16" t="inlineStr">
        <is>
          <t>History</t>
        </is>
      </c>
      <c r="C160" s="16" t="inlineStr">
        <is>
          <t>Filter</t>
        </is>
      </c>
      <c r="D160" s="16" t="inlineStr">
        <is>
          <t>Functional</t>
        </is>
      </c>
      <c r="E160" s="16" t="inlineStr">
        <is>
          <t>Filter by status range</t>
        </is>
      </c>
      <c r="F160" s="16" t="inlineStr">
        <is>
          <t>Mixed 2xx/4xx/5xx.</t>
        </is>
      </c>
      <c r="G160" s="16" t="inlineStr">
        <is>
          <t>1. Apply 4xx filter.</t>
        </is>
      </c>
      <c r="H160" s="16" t="inlineStr">
        <is>
          <t>—</t>
        </is>
      </c>
      <c r="I160" s="16" t="inlineStr">
        <is>
          <t>Only 4xx entries; counts update.</t>
        </is>
      </c>
      <c r="J160" s="16" t="inlineStr"/>
      <c r="K160" s="16" t="inlineStr">
        <is>
          <t>Not Run</t>
        </is>
      </c>
      <c r="L160" s="16" t="inlineStr">
        <is>
          <t>Medium</t>
        </is>
      </c>
      <c r="M160" s="16" t="inlineStr"/>
      <c r="N160" s="16" t="inlineStr"/>
      <c r="O160" s="16" t="inlineStr"/>
    </row>
    <row r="161" ht="78" customHeight="1">
      <c r="A161" s="16" t="inlineStr">
        <is>
          <t>TC-HS-004</t>
        </is>
      </c>
      <c r="B161" s="16" t="inlineStr">
        <is>
          <t>History</t>
        </is>
      </c>
      <c r="C161" s="16" t="inlineStr">
        <is>
          <t>Filter</t>
        </is>
      </c>
      <c r="D161" s="16" t="inlineStr">
        <is>
          <t>Functional</t>
        </is>
      </c>
      <c r="E161" s="16" t="inlineStr">
        <is>
          <t>Filter by method</t>
        </is>
      </c>
      <c r="F161" s="16" t="inlineStr">
        <is>
          <t>Mixed methods.</t>
        </is>
      </c>
      <c r="G161" s="16" t="inlineStr">
        <is>
          <t>1. Filter POST.</t>
        </is>
      </c>
      <c r="H161" s="16" t="inlineStr">
        <is>
          <t>—</t>
        </is>
      </c>
      <c r="I161" s="16" t="inlineStr">
        <is>
          <t>Only POST entries.</t>
        </is>
      </c>
      <c r="J161" s="16" t="inlineStr"/>
      <c r="K161" s="16" t="inlineStr">
        <is>
          <t>Not Run</t>
        </is>
      </c>
      <c r="L161" s="16" t="inlineStr">
        <is>
          <t>Low</t>
        </is>
      </c>
      <c r="M161" s="16" t="inlineStr"/>
      <c r="N161" s="16" t="inlineStr"/>
      <c r="O161" s="16" t="inlineStr"/>
    </row>
    <row r="162" ht="78" customHeight="1">
      <c r="A162" s="16" t="inlineStr">
        <is>
          <t>TC-HS-005</t>
        </is>
      </c>
      <c r="B162" s="16" t="inlineStr">
        <is>
          <t>History</t>
        </is>
      </c>
      <c r="C162" s="16" t="inlineStr">
        <is>
          <t>Filter</t>
        </is>
      </c>
      <c r="D162" s="16" t="inlineStr">
        <is>
          <t>Functional</t>
        </is>
      </c>
      <c r="E162" s="16" t="inlineStr">
        <is>
          <t>Filter by URL substring</t>
        </is>
      </c>
      <c r="F162" s="16" t="inlineStr">
        <is>
          <t>—</t>
        </is>
      </c>
      <c r="G162" s="16" t="inlineStr">
        <is>
          <t>1. Search 'users' in history.</t>
        </is>
      </c>
      <c r="H162" s="16" t="inlineStr">
        <is>
          <t>—</t>
        </is>
      </c>
      <c r="I162" s="16" t="inlineStr">
        <is>
          <t>Only entries with 'users' in URL.</t>
        </is>
      </c>
      <c r="J162" s="16" t="inlineStr"/>
      <c r="K162" s="16" t="inlineStr">
        <is>
          <t>Not Run</t>
        </is>
      </c>
      <c r="L162" s="16" t="inlineStr">
        <is>
          <t>Low</t>
        </is>
      </c>
      <c r="M162" s="16" t="inlineStr"/>
      <c r="N162" s="16" t="inlineStr"/>
      <c r="O162" s="16" t="inlineStr"/>
    </row>
    <row r="163" ht="78" customHeight="1">
      <c r="A163" s="16" t="inlineStr">
        <is>
          <t>TC-HS-006</t>
        </is>
      </c>
      <c r="B163" s="16" t="inlineStr">
        <is>
          <t>History</t>
        </is>
      </c>
      <c r="C163" s="16" t="inlineStr">
        <is>
          <t>Replay</t>
        </is>
      </c>
      <c r="D163" s="16" t="inlineStr">
        <is>
          <t>Functional</t>
        </is>
      </c>
      <c r="E163" s="16" t="inlineStr">
        <is>
          <t>Replay restores request state</t>
        </is>
      </c>
      <c r="F163" s="16" t="inlineStr">
        <is>
          <t>A run with body/headers.</t>
        </is>
      </c>
      <c r="G163" s="16" t="inlineStr">
        <is>
          <t>1. Click Replay.</t>
        </is>
      </c>
      <c r="H163" s="16" t="inlineStr">
        <is>
          <t>—</t>
        </is>
      </c>
      <c r="I163" s="16" t="inlineStr">
        <is>
          <t>Editor opens with that state; user can edit and re-send.</t>
        </is>
      </c>
      <c r="J163" s="16" t="inlineStr"/>
      <c r="K163" s="16" t="inlineStr">
        <is>
          <t>Not Run</t>
        </is>
      </c>
      <c r="L163" s="16" t="inlineStr">
        <is>
          <t>Medium</t>
        </is>
      </c>
      <c r="M163" s="16" t="inlineStr"/>
      <c r="N163" s="16" t="inlineStr"/>
      <c r="O163" s="16" t="inlineStr"/>
    </row>
    <row r="164" ht="78" customHeight="1">
      <c r="A164" s="16" t="inlineStr">
        <is>
          <t>TC-HS-007</t>
        </is>
      </c>
      <c r="B164" s="16" t="inlineStr">
        <is>
          <t>History</t>
        </is>
      </c>
      <c r="C164" s="16" t="inlineStr">
        <is>
          <t>Delete</t>
        </is>
      </c>
      <c r="D164" s="16" t="inlineStr">
        <is>
          <t>Functional</t>
        </is>
      </c>
      <c r="E164" s="16" t="inlineStr">
        <is>
          <t>Delete single run</t>
        </is>
      </c>
      <c r="F164" s="16" t="inlineStr">
        <is>
          <t>Run exists.</t>
        </is>
      </c>
      <c r="G164" s="16" t="inlineStr">
        <is>
          <t>1. Delete → Confirm.</t>
        </is>
      </c>
      <c r="H164" s="16" t="inlineStr">
        <is>
          <t>—</t>
        </is>
      </c>
      <c r="I164" s="16" t="inlineStr">
        <is>
          <t>Removed; storage freed.</t>
        </is>
      </c>
      <c r="J164" s="16" t="inlineStr"/>
      <c r="K164" s="16" t="inlineStr">
        <is>
          <t>Not Run</t>
        </is>
      </c>
      <c r="L164" s="16" t="inlineStr">
        <is>
          <t>Low</t>
        </is>
      </c>
      <c r="M164" s="16" t="inlineStr"/>
      <c r="N164" s="16" t="inlineStr"/>
      <c r="O164" s="16" t="inlineStr"/>
    </row>
    <row r="165" ht="78" customHeight="1">
      <c r="A165" s="16" t="inlineStr">
        <is>
          <t>TC-HS-008</t>
        </is>
      </c>
      <c r="B165" s="16" t="inlineStr">
        <is>
          <t>History</t>
        </is>
      </c>
      <c r="C165" s="16" t="inlineStr">
        <is>
          <t>Clear</t>
        </is>
      </c>
      <c r="D165" s="16" t="inlineStr">
        <is>
          <t>Functional</t>
        </is>
      </c>
      <c r="E165" s="16" t="inlineStr">
        <is>
          <t>Clear all history</t>
        </is>
      </c>
      <c r="F165" s="16" t="inlineStr">
        <is>
          <t>Many runs.</t>
        </is>
      </c>
      <c r="G165" s="16" t="inlineStr">
        <is>
          <t>1. Clear history → Confirm.</t>
        </is>
      </c>
      <c r="H165" s="16" t="inlineStr">
        <is>
          <t>—</t>
        </is>
      </c>
      <c r="I165" s="16" t="inlineStr">
        <is>
          <t>All entries removed; empty state shown.</t>
        </is>
      </c>
      <c r="J165" s="16" t="inlineStr"/>
      <c r="K165" s="16" t="inlineStr">
        <is>
          <t>Not Run</t>
        </is>
      </c>
      <c r="L165" s="16" t="inlineStr">
        <is>
          <t>Medium</t>
        </is>
      </c>
      <c r="M165" s="16" t="inlineStr"/>
      <c r="N165" s="16" t="inlineStr"/>
      <c r="O165" s="16" t="inlineStr"/>
    </row>
    <row r="166" ht="78" customHeight="1">
      <c r="A166" s="16" t="inlineStr">
        <is>
          <t>TC-HS-009</t>
        </is>
      </c>
      <c r="B166" s="16" t="inlineStr">
        <is>
          <t>History</t>
        </is>
      </c>
      <c r="C166" s="16" t="inlineStr">
        <is>
          <t>Persistence</t>
        </is>
      </c>
      <c r="D166" s="16" t="inlineStr">
        <is>
          <t>Functional</t>
        </is>
      </c>
      <c r="E166" s="16" t="inlineStr">
        <is>
          <t>History survives app/page reload</t>
        </is>
      </c>
      <c r="F166" s="16" t="inlineStr">
        <is>
          <t>5 runs in session.</t>
        </is>
      </c>
      <c r="G166" s="16" t="inlineStr">
        <is>
          <t>1. Reload (page/app).</t>
        </is>
      </c>
      <c r="H166" s="16" t="inlineStr">
        <is>
          <t>—</t>
        </is>
      </c>
      <c r="I166" s="16" t="inlineStr">
        <is>
          <t>All 5 visible; metadata intact.</t>
        </is>
      </c>
      <c r="J166" s="16" t="inlineStr"/>
      <c r="K166" s="16" t="inlineStr">
        <is>
          <t>Not Run</t>
        </is>
      </c>
      <c r="L166" s="16" t="inlineStr">
        <is>
          <t>Medium</t>
        </is>
      </c>
      <c r="M166" s="16" t="inlineStr"/>
      <c r="N166" s="16" t="inlineStr"/>
      <c r="O166" s="16" t="inlineStr"/>
    </row>
    <row r="167" ht="78" customHeight="1">
      <c r="A167" s="16" t="inlineStr">
        <is>
          <t>TC-HS-010</t>
        </is>
      </c>
      <c r="B167" s="16" t="inlineStr">
        <is>
          <t>History</t>
        </is>
      </c>
      <c r="C167" s="16" t="inlineStr">
        <is>
          <t>Performance</t>
        </is>
      </c>
      <c r="D167" s="16" t="inlineStr">
        <is>
          <t>Performance</t>
        </is>
      </c>
      <c r="E167" s="16" t="inlineStr">
        <is>
          <t>Many history entries (1000) remain navigable</t>
        </is>
      </c>
      <c r="F167" s="16" t="inlineStr">
        <is>
          <t>Inject 1000 runs.</t>
        </is>
      </c>
      <c r="G167" s="16" t="inlineStr">
        <is>
          <t>1. Open history.
2. Scroll/filter.</t>
        </is>
      </c>
      <c r="H167" s="16" t="inlineStr">
        <is>
          <t>—</t>
        </is>
      </c>
      <c r="I167" s="16" t="inlineStr">
        <is>
          <t>List renders without freezing (virtualization or pagination); scrolling stays smooth.</t>
        </is>
      </c>
      <c r="J167" s="16" t="inlineStr"/>
      <c r="K167" s="16" t="inlineStr">
        <is>
          <t>Not Run</t>
        </is>
      </c>
      <c r="L167" s="16" t="inlineStr">
        <is>
          <t>Medium</t>
        </is>
      </c>
      <c r="M167" s="16" t="inlineStr"/>
      <c r="N167" s="16" t="inlineStr"/>
      <c r="O167" s="16" t="inlineStr"/>
    </row>
    <row r="168" ht="78" customHeight="1">
      <c r="A168" s="16" t="inlineStr">
        <is>
          <t>TC-CO-001</t>
        </is>
      </c>
      <c r="B168" s="16" t="inlineStr">
        <is>
          <t>Cookies</t>
        </is>
      </c>
      <c r="C168" s="16" t="inlineStr">
        <is>
          <t>Auto-populate</t>
        </is>
      </c>
      <c r="D168" s="16" t="inlineStr">
        <is>
          <t>Functional</t>
        </is>
      </c>
      <c r="E168" s="16" t="inlineStr">
        <is>
          <t>Set-Cookie stored in jar</t>
        </is>
      </c>
      <c r="F168" s="16" t="inlineStr">
        <is>
          <t>Response with Set-Cookie: a=1.</t>
        </is>
      </c>
      <c r="G168" s="16" t="inlineStr">
        <is>
          <t>1. Send.
2. Cookie manager.</t>
        </is>
      </c>
      <c r="H168" s="16" t="inlineStr">
        <is>
          <t>—</t>
        </is>
      </c>
      <c r="I168" s="16" t="inlineStr">
        <is>
          <t>Cookie a=1 listed under domain.</t>
        </is>
      </c>
      <c r="J168" s="16" t="inlineStr"/>
      <c r="K168" s="16" t="inlineStr">
        <is>
          <t>Not Run</t>
        </is>
      </c>
      <c r="L168" s="16" t="inlineStr">
        <is>
          <t>High</t>
        </is>
      </c>
      <c r="M168" s="16" t="inlineStr"/>
      <c r="N168" s="16" t="inlineStr"/>
      <c r="O168" s="16" t="inlineStr"/>
    </row>
    <row r="169" ht="78" customHeight="1">
      <c r="A169" s="16" t="inlineStr">
        <is>
          <t>TC-CO-002</t>
        </is>
      </c>
      <c r="B169" s="16" t="inlineStr">
        <is>
          <t>Cookies</t>
        </is>
      </c>
      <c r="C169" s="16" t="inlineStr">
        <is>
          <t>Auto-send</t>
        </is>
      </c>
      <c r="D169" s="16" t="inlineStr">
        <is>
          <t>Functional</t>
        </is>
      </c>
      <c r="E169" s="16" t="inlineStr">
        <is>
          <t>Stored cookies sent on next matching request</t>
        </is>
      </c>
      <c r="F169" s="16" t="inlineStr">
        <is>
          <t>Cookie a=1 for example.com.</t>
        </is>
      </c>
      <c r="G169" s="16" t="inlineStr">
        <is>
          <t>1. Send another request to example.com.</t>
        </is>
      </c>
      <c r="H169" s="16" t="inlineStr">
        <is>
          <t>—</t>
        </is>
      </c>
      <c r="I169" s="16" t="inlineStr">
        <is>
          <t>Outgoing request includes 'Cookie: a=1'.</t>
        </is>
      </c>
      <c r="J169" s="16" t="inlineStr"/>
      <c r="K169" s="16" t="inlineStr">
        <is>
          <t>Not Run</t>
        </is>
      </c>
      <c r="L169" s="16" t="inlineStr">
        <is>
          <t>High</t>
        </is>
      </c>
      <c r="M169" s="16" t="inlineStr"/>
      <c r="N169" s="16" t="inlineStr"/>
      <c r="O169" s="16" t="inlineStr"/>
    </row>
    <row r="170" ht="78" customHeight="1">
      <c r="A170" s="16" t="inlineStr">
        <is>
          <t>TC-CO-003</t>
        </is>
      </c>
      <c r="B170" s="16" t="inlineStr">
        <is>
          <t>Cookies</t>
        </is>
      </c>
      <c r="C170" s="16" t="inlineStr">
        <is>
          <t>Expiry</t>
        </is>
      </c>
      <c r="D170" s="16" t="inlineStr">
        <is>
          <t>Edge Case</t>
        </is>
      </c>
      <c r="E170" s="16" t="inlineStr">
        <is>
          <t>Expired cookies not sent</t>
        </is>
      </c>
      <c r="F170" s="16" t="inlineStr">
        <is>
          <t>Cookie with Expires=past.</t>
        </is>
      </c>
      <c r="G170" s="16" t="inlineStr">
        <is>
          <t>1. Send.</t>
        </is>
      </c>
      <c r="H170" s="16" t="inlineStr">
        <is>
          <t>—</t>
        </is>
      </c>
      <c r="I170" s="16" t="inlineStr">
        <is>
          <t>Not included; UI may show as expired.</t>
        </is>
      </c>
      <c r="J170" s="16" t="inlineStr"/>
      <c r="K170" s="16" t="inlineStr">
        <is>
          <t>Not Run</t>
        </is>
      </c>
      <c r="L170" s="16" t="inlineStr">
        <is>
          <t>Medium</t>
        </is>
      </c>
      <c r="M170" s="16" t="inlineStr"/>
      <c r="N170" s="16" t="inlineStr"/>
      <c r="O170" s="16" t="inlineStr"/>
    </row>
    <row r="171" ht="78" customHeight="1">
      <c r="A171" s="16" t="inlineStr">
        <is>
          <t>TC-CO-004</t>
        </is>
      </c>
      <c r="B171" s="16" t="inlineStr">
        <is>
          <t>Cookies</t>
        </is>
      </c>
      <c r="C171" s="16" t="inlineStr">
        <is>
          <t>Manual</t>
        </is>
      </c>
      <c r="D171" s="16" t="inlineStr">
        <is>
          <t>Functional</t>
        </is>
      </c>
      <c r="E171" s="16" t="inlineStr">
        <is>
          <t>User adds cookie manually</t>
        </is>
      </c>
      <c r="F171" s="16" t="inlineStr">
        <is>
          <t>Cookie manager open.</t>
        </is>
      </c>
      <c r="G171" s="16" t="inlineStr">
        <is>
          <t>1. Add example.com tk=abc.</t>
        </is>
      </c>
      <c r="H171" s="16" t="inlineStr">
        <is>
          <t>—</t>
        </is>
      </c>
      <c r="I171" s="16" t="inlineStr">
        <is>
          <t>Persisted; sent on next example.com request.</t>
        </is>
      </c>
      <c r="J171" s="16" t="inlineStr"/>
      <c r="K171" s="16" t="inlineStr">
        <is>
          <t>Not Run</t>
        </is>
      </c>
      <c r="L171" s="16" t="inlineStr">
        <is>
          <t>Medium</t>
        </is>
      </c>
      <c r="M171" s="16" t="inlineStr"/>
      <c r="N171" s="16" t="inlineStr"/>
      <c r="O171" s="16" t="inlineStr"/>
    </row>
    <row r="172" ht="78" customHeight="1">
      <c r="A172" s="16" t="inlineStr">
        <is>
          <t>TC-CO-005</t>
        </is>
      </c>
      <c r="B172" s="16" t="inlineStr">
        <is>
          <t>Cookies</t>
        </is>
      </c>
      <c r="C172" s="16" t="inlineStr">
        <is>
          <t>Manual</t>
        </is>
      </c>
      <c r="D172" s="16" t="inlineStr">
        <is>
          <t>Functional</t>
        </is>
      </c>
      <c r="E172" s="16" t="inlineStr">
        <is>
          <t>Edit cookie value</t>
        </is>
      </c>
      <c r="F172" s="16" t="inlineStr">
        <is>
          <t>Cookie tk=abc.</t>
        </is>
      </c>
      <c r="G172" s="16" t="inlineStr">
        <is>
          <t>1. Edit value → 'xyz'.</t>
        </is>
      </c>
      <c r="H172" s="16" t="inlineStr">
        <is>
          <t>—</t>
        </is>
      </c>
      <c r="I172" s="16" t="inlineStr">
        <is>
          <t>Updated; next send uses new value.</t>
        </is>
      </c>
      <c r="J172" s="16" t="inlineStr"/>
      <c r="K172" s="16" t="inlineStr">
        <is>
          <t>Not Run</t>
        </is>
      </c>
      <c r="L172" s="16" t="inlineStr">
        <is>
          <t>Low</t>
        </is>
      </c>
      <c r="M172" s="16" t="inlineStr"/>
      <c r="N172" s="16" t="inlineStr"/>
      <c r="O172" s="16" t="inlineStr"/>
    </row>
    <row r="173" ht="78" customHeight="1">
      <c r="A173" s="16" t="inlineStr">
        <is>
          <t>TC-CO-006</t>
        </is>
      </c>
      <c r="B173" s="16" t="inlineStr">
        <is>
          <t>Cookies</t>
        </is>
      </c>
      <c r="C173" s="16" t="inlineStr">
        <is>
          <t>Clear</t>
        </is>
      </c>
      <c r="D173" s="16" t="inlineStr">
        <is>
          <t>Functional</t>
        </is>
      </c>
      <c r="E173" s="16" t="inlineStr">
        <is>
          <t>Clear domain cookies</t>
        </is>
      </c>
      <c r="F173" s="16" t="inlineStr">
        <is>
          <t>Multiple cookies for example.com.</t>
        </is>
      </c>
      <c r="G173" s="16" t="inlineStr">
        <is>
          <t>1. Clear all for example.com.</t>
        </is>
      </c>
      <c r="H173" s="16" t="inlineStr">
        <is>
          <t>—</t>
        </is>
      </c>
      <c r="I173" s="16" t="inlineStr">
        <is>
          <t>All removed; other domains unaffected.</t>
        </is>
      </c>
      <c r="J173" s="16" t="inlineStr"/>
      <c r="K173" s="16" t="inlineStr">
        <is>
          <t>Not Run</t>
        </is>
      </c>
      <c r="L173" s="16" t="inlineStr">
        <is>
          <t>Medium</t>
        </is>
      </c>
      <c r="M173" s="16" t="inlineStr"/>
      <c r="N173" s="16" t="inlineStr"/>
      <c r="O173" s="16" t="inlineStr"/>
    </row>
    <row r="174" ht="78" customHeight="1">
      <c r="A174" s="16" t="inlineStr">
        <is>
          <t>TC-CO-007</t>
        </is>
      </c>
      <c r="B174" s="16" t="inlineStr">
        <is>
          <t>Cookies</t>
        </is>
      </c>
      <c r="C174" s="16" t="inlineStr">
        <is>
          <t>Path</t>
        </is>
      </c>
      <c r="D174" s="16" t="inlineStr">
        <is>
          <t>Edge Case</t>
        </is>
      </c>
      <c r="E174" s="16" t="inlineStr">
        <is>
          <t>Path matching: subpaths get parent cookies</t>
        </is>
      </c>
      <c r="F174" s="16" t="inlineStr">
        <is>
          <t>Cookie path=/api.</t>
        </is>
      </c>
      <c r="G174" s="16" t="inlineStr">
        <is>
          <t>1. Send to /api/v1.</t>
        </is>
      </c>
      <c r="H174" s="16" t="inlineStr">
        <is>
          <t>—</t>
        </is>
      </c>
      <c r="I174" s="16" t="inlineStr">
        <is>
          <t>Cookie included.</t>
        </is>
      </c>
      <c r="J174" s="16" t="inlineStr"/>
      <c r="K174" s="16" t="inlineStr">
        <is>
          <t>Not Run</t>
        </is>
      </c>
      <c r="L174" s="16" t="inlineStr">
        <is>
          <t>Low</t>
        </is>
      </c>
      <c r="M174" s="16" t="inlineStr"/>
      <c r="N174" s="16" t="inlineStr"/>
      <c r="O174" s="16" t="inlineStr"/>
    </row>
    <row r="175" ht="78" customHeight="1">
      <c r="A175" s="16" t="inlineStr">
        <is>
          <t>TC-CO-008</t>
        </is>
      </c>
      <c r="B175" s="16" t="inlineStr">
        <is>
          <t>Cookies</t>
        </is>
      </c>
      <c r="C175" s="16" t="inlineStr">
        <is>
          <t>Third-Party</t>
        </is>
      </c>
      <c r="D175" s="16" t="inlineStr">
        <is>
          <t>Compatibility</t>
        </is>
      </c>
      <c r="E175" s="16" t="inlineStr">
        <is>
          <t>Browser blocks third-party cookies</t>
        </is>
      </c>
      <c r="F175" s="16" t="inlineStr">
        <is>
          <t>Cross-origin request setting cookies.</t>
        </is>
      </c>
      <c r="G175" s="16" t="inlineStr">
        <is>
          <t>1. Send.</t>
        </is>
      </c>
      <c r="H175" s="16" t="inlineStr">
        <is>
          <t>—</t>
        </is>
      </c>
      <c r="I175" s="16" t="inlineStr">
        <is>
          <t>Depending on browser settings, cookie may not be stored; app does not assume success; user can switch to desktop where browser cookie isolation does not apply.</t>
        </is>
      </c>
      <c r="J175" s="16" t="inlineStr"/>
      <c r="K175" s="16" t="inlineStr">
        <is>
          <t>Not Run</t>
        </is>
      </c>
      <c r="L175" s="16" t="inlineStr">
        <is>
          <t>Medium</t>
        </is>
      </c>
      <c r="M175" s="16" t="inlineStr"/>
      <c r="N175" s="16" t="inlineStr"/>
      <c r="O175" s="16" t="inlineStr"/>
    </row>
    <row r="176" ht="78" customHeight="1">
      <c r="A176" s="16" t="inlineStr">
        <is>
          <t>TC-MK-001</t>
        </is>
      </c>
      <c r="B176" s="16" t="inlineStr">
        <is>
          <t>Mock Servers</t>
        </is>
      </c>
      <c r="C176" s="16" t="inlineStr">
        <is>
          <t>Definition</t>
        </is>
      </c>
      <c r="D176" s="16" t="inlineStr">
        <is>
          <t>Functional</t>
        </is>
      </c>
      <c r="E176" s="16" t="inlineStr">
        <is>
          <t>Create mock server</t>
        </is>
      </c>
      <c r="F176" s="16" t="inlineStr">
        <is>
          <t>Mocks panel open.</t>
        </is>
      </c>
      <c r="G176" s="16" t="inlineStr">
        <is>
          <t>1. Create mock → name 'Users API'.</t>
        </is>
      </c>
      <c r="H176" s="16" t="inlineStr">
        <is>
          <t>—</t>
        </is>
      </c>
      <c r="I176" s="16" t="inlineStr">
        <is>
          <t>Entry in list; edit page opens.</t>
        </is>
      </c>
      <c r="J176" s="16" t="inlineStr"/>
      <c r="K176" s="16" t="inlineStr">
        <is>
          <t>Not Run</t>
        </is>
      </c>
      <c r="L176" s="16" t="inlineStr">
        <is>
          <t>High</t>
        </is>
      </c>
      <c r="M176" s="16" t="inlineStr"/>
      <c r="N176" s="16" t="inlineStr"/>
      <c r="O176" s="16" t="inlineStr"/>
    </row>
    <row r="177" ht="78" customHeight="1">
      <c r="A177" s="16" t="inlineStr">
        <is>
          <t>TC-MK-002</t>
        </is>
      </c>
      <c r="B177" s="16" t="inlineStr">
        <is>
          <t>Mock Servers</t>
        </is>
      </c>
      <c r="C177" s="16" t="inlineStr">
        <is>
          <t>Endpoint</t>
        </is>
      </c>
      <c r="D177" s="16" t="inlineStr">
        <is>
          <t>Functional</t>
        </is>
      </c>
      <c r="E177" s="16" t="inlineStr">
        <is>
          <t>Add GET /users/:id endpoint</t>
        </is>
      </c>
      <c r="F177" s="16" t="inlineStr">
        <is>
          <t>Mock open.</t>
        </is>
      </c>
      <c r="G177" s="16" t="inlineStr">
        <is>
          <t>1. Add endpoint; 200 JSON {"id":1,"name":"alice"}.</t>
        </is>
      </c>
      <c r="H177" s="16" t="inlineStr">
        <is>
          <t>—</t>
        </is>
      </c>
      <c r="I177" s="16" t="inlineStr">
        <is>
          <t>Saved; visible in endpoint list.</t>
        </is>
      </c>
      <c r="J177" s="16" t="inlineStr"/>
      <c r="K177" s="16" t="inlineStr">
        <is>
          <t>Not Run</t>
        </is>
      </c>
      <c r="L177" s="16" t="inlineStr">
        <is>
          <t>High</t>
        </is>
      </c>
      <c r="M177" s="16" t="inlineStr"/>
      <c r="N177" s="16" t="inlineStr"/>
      <c r="O177" s="16" t="inlineStr"/>
    </row>
    <row r="178" ht="78" customHeight="1">
      <c r="A178" s="16" t="inlineStr">
        <is>
          <t>TC-MK-003</t>
        </is>
      </c>
      <c r="B178" s="16" t="inlineStr">
        <is>
          <t>Mock Servers</t>
        </is>
      </c>
      <c r="C178" s="16" t="inlineStr">
        <is>
          <t>Endpoint</t>
        </is>
      </c>
      <c r="D178" s="16" t="inlineStr">
        <is>
          <t>Edge Case</t>
        </is>
      </c>
      <c r="E178" s="16" t="inlineStr">
        <is>
          <t>Path with :param and {param} both supported</t>
        </is>
      </c>
      <c r="F178" s="16" t="inlineStr">
        <is>
          <t>—</t>
        </is>
      </c>
      <c r="G178" s="16" t="inlineStr">
        <is>
          <t>1. Add /users/:id and /items/{id}.</t>
        </is>
      </c>
      <c r="H178" s="16" t="inlineStr">
        <is>
          <t>—</t>
        </is>
      </c>
      <c r="I178" s="16" t="inlineStr">
        <is>
          <t>Both syntaxes accepted; runtime matches correctly (desktop).</t>
        </is>
      </c>
      <c r="J178" s="16" t="inlineStr"/>
      <c r="K178" s="16" t="inlineStr">
        <is>
          <t>Not Run</t>
        </is>
      </c>
      <c r="L178" s="16" t="inlineStr">
        <is>
          <t>Low</t>
        </is>
      </c>
      <c r="M178" s="16" t="inlineStr"/>
      <c r="N178" s="16" t="inlineStr"/>
      <c r="O178" s="16" t="inlineStr"/>
    </row>
    <row r="179" ht="78" customHeight="1">
      <c r="A179" s="16" t="inlineStr">
        <is>
          <t>TC-MK-004</t>
        </is>
      </c>
      <c r="B179" s="16" t="inlineStr">
        <is>
          <t>Mock Servers</t>
        </is>
      </c>
      <c r="C179" s="16" t="inlineStr">
        <is>
          <t>Response</t>
        </is>
      </c>
      <c r="D179" s="16" t="inlineStr">
        <is>
          <t>Functional</t>
        </is>
      </c>
      <c r="E179" s="16" t="inlineStr">
        <is>
          <t>Multiple responses with selector</t>
        </is>
      </c>
      <c r="F179" s="16" t="inlineStr">
        <is>
          <t>Endpoint has 2 responses with matching rules.</t>
        </is>
      </c>
      <c r="G179" s="16" t="inlineStr">
        <is>
          <t>1. Add 200 for header X=A; 400 for header X=B.</t>
        </is>
      </c>
      <c r="H179" s="16" t="inlineStr">
        <is>
          <t>—</t>
        </is>
      </c>
      <c r="I179" s="16" t="inlineStr">
        <is>
          <t>Both responses saved; runtime picks based on request match (desktop).</t>
        </is>
      </c>
      <c r="J179" s="16" t="inlineStr"/>
      <c r="K179" s="16" t="inlineStr">
        <is>
          <t>Not Run</t>
        </is>
      </c>
      <c r="L179" s="16" t="inlineStr">
        <is>
          <t>Medium</t>
        </is>
      </c>
      <c r="M179" s="16" t="inlineStr"/>
      <c r="N179" s="16" t="inlineStr"/>
      <c r="O179" s="16" t="inlineStr"/>
    </row>
    <row r="180" ht="78" customHeight="1">
      <c r="A180" s="16" t="inlineStr">
        <is>
          <t>TC-MK-005</t>
        </is>
      </c>
      <c r="B180" s="16" t="inlineStr">
        <is>
          <t>Mock Servers</t>
        </is>
      </c>
      <c r="C180" s="16" t="inlineStr">
        <is>
          <t>Spec Import</t>
        </is>
      </c>
      <c r="D180" s="16" t="inlineStr">
        <is>
          <t>Functional</t>
        </is>
      </c>
      <c r="E180" s="16" t="inlineStr">
        <is>
          <t>Import OpenAPI generates endpoints</t>
        </is>
      </c>
      <c r="F180" s="16" t="inlineStr">
        <is>
          <t>OpenAPI YAML available.</t>
        </is>
      </c>
      <c r="G180" s="16" t="inlineStr">
        <is>
          <t>1. Import spec.</t>
        </is>
      </c>
      <c r="H180" s="16" t="inlineStr">
        <is>
          <t>—</t>
        </is>
      </c>
      <c r="I180" s="16" t="inlineStr">
        <is>
          <t>Endpoints + stub responses generated; user can refine.</t>
        </is>
      </c>
      <c r="J180" s="16" t="inlineStr"/>
      <c r="K180" s="16" t="inlineStr">
        <is>
          <t>Not Run</t>
        </is>
      </c>
      <c r="L180" s="16" t="inlineStr">
        <is>
          <t>Medium</t>
        </is>
      </c>
      <c r="M180" s="16" t="inlineStr"/>
      <c r="N180" s="16" t="inlineStr"/>
      <c r="O180" s="16" t="inlineStr"/>
    </row>
    <row r="181" ht="78" customHeight="1">
      <c r="A181" s="16" t="inlineStr">
        <is>
          <t>TC-MK-006</t>
        </is>
      </c>
      <c r="B181" s="16" t="inlineStr">
        <is>
          <t>Mock Servers</t>
        </is>
      </c>
      <c r="C181" s="16" t="inlineStr">
        <is>
          <t>Delete</t>
        </is>
      </c>
      <c r="D181" s="16" t="inlineStr">
        <is>
          <t>Functional</t>
        </is>
      </c>
      <c r="E181" s="16" t="inlineStr">
        <is>
          <t>Delete mock server</t>
        </is>
      </c>
      <c r="F181" s="16" t="inlineStr">
        <is>
          <t>Mock exists.</t>
        </is>
      </c>
      <c r="G181" s="16" t="inlineStr">
        <is>
          <t>1. Delete → Confirm.</t>
        </is>
      </c>
      <c r="H181" s="16" t="inlineStr">
        <is>
          <t>—</t>
        </is>
      </c>
      <c r="I181" s="16" t="inlineStr">
        <is>
          <t>Removed.</t>
        </is>
      </c>
      <c r="J181" s="16" t="inlineStr"/>
      <c r="K181" s="16" t="inlineStr">
        <is>
          <t>Not Run</t>
        </is>
      </c>
      <c r="L181" s="16" t="inlineStr">
        <is>
          <t>Medium</t>
        </is>
      </c>
      <c r="M181" s="16" t="inlineStr"/>
      <c r="N181" s="16" t="inlineStr"/>
      <c r="O181" s="16" t="inlineStr"/>
    </row>
    <row r="182" ht="78" customHeight="1">
      <c r="A182" s="16" t="inlineStr">
        <is>
          <t>TC-MK-007</t>
        </is>
      </c>
      <c r="B182" s="16" t="inlineStr">
        <is>
          <t>Mock Servers</t>
        </is>
      </c>
      <c r="C182" s="16" t="inlineStr">
        <is>
          <t>Duplicate</t>
        </is>
      </c>
      <c r="D182" s="16" t="inlineStr">
        <is>
          <t>Functional</t>
        </is>
      </c>
      <c r="E182" s="16" t="inlineStr">
        <is>
          <t>Duplicate mock</t>
        </is>
      </c>
      <c r="F182" s="16" t="inlineStr">
        <is>
          <t>Mock with 3 endpoints.</t>
        </is>
      </c>
      <c r="G182" s="16" t="inlineStr">
        <is>
          <t>1. Duplicate.</t>
        </is>
      </c>
      <c r="H182" s="16" t="inlineStr">
        <is>
          <t>—</t>
        </is>
      </c>
      <c r="I182" s="16" t="inlineStr">
        <is>
          <t>Copy with same endpoints; runtime independent.</t>
        </is>
      </c>
      <c r="J182" s="16" t="inlineStr"/>
      <c r="K182" s="16" t="inlineStr">
        <is>
          <t>Not Run</t>
        </is>
      </c>
      <c r="L182" s="16" t="inlineStr">
        <is>
          <t>Low</t>
        </is>
      </c>
      <c r="M182" s="16" t="inlineStr"/>
      <c r="N182" s="16" t="inlineStr"/>
      <c r="O182" s="16" t="inlineStr"/>
    </row>
    <row r="183" ht="78" customHeight="1">
      <c r="A183" s="16" t="inlineStr">
        <is>
          <t>TC-MK-008</t>
        </is>
      </c>
      <c r="B183" s="16" t="inlineStr">
        <is>
          <t>Mock Servers</t>
        </is>
      </c>
      <c r="C183" s="16" t="inlineStr">
        <is>
          <t>Runtime</t>
        </is>
      </c>
      <c r="D183" s="16" t="inlineStr">
        <is>
          <t>Negative</t>
        </is>
      </c>
      <c r="E183" s="16" t="inlineStr">
        <is>
          <t>Start button disabled on web</t>
        </is>
      </c>
      <c r="F183" s="16" t="inlineStr">
        <is>
          <t>Web build; mock defined.</t>
        </is>
      </c>
      <c r="G183" s="16" t="inlineStr">
        <is>
          <t>1. Mocks panel → inspect Start button.</t>
        </is>
      </c>
      <c r="H183" s="16" t="inlineStr">
        <is>
          <t>—</t>
        </is>
      </c>
      <c r="I183" s="16" t="inlineStr">
        <is>
          <t>Start/Stop buttons disabled with tooltip 'Available in desktop app'; definitions still editable.</t>
        </is>
      </c>
      <c r="J183" s="16" t="inlineStr"/>
      <c r="K183" s="16" t="inlineStr">
        <is>
          <t>Not Run</t>
        </is>
      </c>
      <c r="L183" s="16" t="inlineStr">
        <is>
          <t>High</t>
        </is>
      </c>
      <c r="M183" s="16" t="inlineStr"/>
      <c r="N183" s="16" t="inlineStr"/>
      <c r="O183" s="16" t="inlineStr"/>
    </row>
    <row r="184" ht="78" customHeight="1">
      <c r="A184" s="16" t="inlineStr">
        <is>
          <t>TC-MK-009</t>
        </is>
      </c>
      <c r="B184" s="16" t="inlineStr">
        <is>
          <t>Mock Servers</t>
        </is>
      </c>
      <c r="C184" s="16" t="inlineStr">
        <is>
          <t>Runtime</t>
        </is>
      </c>
      <c r="D184" s="16" t="inlineStr">
        <is>
          <t>Edge Case</t>
        </is>
      </c>
      <c r="E184" s="16" t="inlineStr">
        <is>
          <t>Web users can export CLI command to run mock externally</t>
        </is>
      </c>
      <c r="F184" s="16" t="inlineStr">
        <is>
          <t>Mock defined.</t>
        </is>
      </c>
      <c r="G184" s="16" t="inlineStr">
        <is>
          <t>1. Mock menu → 'Copy CLI command'.</t>
        </is>
      </c>
      <c r="H184" s="16" t="inlineStr">
        <is>
          <t>—</t>
        </is>
      </c>
      <c r="I184" s="16" t="inlineStr">
        <is>
          <t>Clipboard has command like 'apicircle mock &lt;workspace&gt;'; documentation link present.</t>
        </is>
      </c>
      <c r="J184" s="16" t="inlineStr"/>
      <c r="K184" s="16" t="inlineStr">
        <is>
          <t>Not Run</t>
        </is>
      </c>
      <c r="L184" s="16" t="inlineStr">
        <is>
          <t>Low</t>
        </is>
      </c>
      <c r="M184" s="16" t="inlineStr"/>
      <c r="N184" s="16" t="inlineStr"/>
      <c r="O184" s="16" t="inlineStr"/>
    </row>
    <row r="185" ht="78" customHeight="1">
      <c r="A185" s="16" t="inlineStr">
        <is>
          <t>TC-ST-001</t>
        </is>
      </c>
      <c r="B185" s="16" t="inlineStr">
        <is>
          <t>Settings &amp; Theming</t>
        </is>
      </c>
      <c r="C185" s="16" t="inlineStr">
        <is>
          <t>Theme</t>
        </is>
      </c>
      <c r="D185" s="16" t="inlineStr">
        <is>
          <t>Functional</t>
        </is>
      </c>
      <c r="E185" s="16" t="inlineStr">
        <is>
          <t>Switch dark to light</t>
        </is>
      </c>
      <c r="F185" s="16" t="inlineStr">
        <is>
          <t>Active theme dark.</t>
        </is>
      </c>
      <c r="G185" s="16" t="inlineStr">
        <is>
          <t>1. Settings → Appearance → 'workbench-light'.</t>
        </is>
      </c>
      <c r="H185" s="16" t="inlineStr">
        <is>
          <t>—</t>
        </is>
      </c>
      <c r="I185" s="16" t="inlineStr">
        <is>
          <t>UI re-themes; Monaco follows; no reload needed.</t>
        </is>
      </c>
      <c r="J185" s="16" t="inlineStr"/>
      <c r="K185" s="16" t="inlineStr">
        <is>
          <t>Not Run</t>
        </is>
      </c>
      <c r="L185" s="16" t="inlineStr">
        <is>
          <t>High</t>
        </is>
      </c>
      <c r="M185" s="16" t="inlineStr"/>
      <c r="N185" s="16" t="inlineStr"/>
      <c r="O185" s="16" t="inlineStr"/>
    </row>
    <row r="186" ht="78" customHeight="1">
      <c r="A186" s="16" t="inlineStr">
        <is>
          <t>TC-ST-002</t>
        </is>
      </c>
      <c r="B186" s="16" t="inlineStr">
        <is>
          <t>Settings &amp; Theming</t>
        </is>
      </c>
      <c r="C186" s="16" t="inlineStr">
        <is>
          <t>Theme</t>
        </is>
      </c>
      <c r="D186" s="16" t="inlineStr">
        <is>
          <t>A11y</t>
        </is>
      </c>
      <c r="E186" s="16" t="inlineStr">
        <is>
          <t>High-contrast theme meets WCAG 2.1</t>
        </is>
      </c>
      <c r="F186" s="16" t="inlineStr">
        <is>
          <t>—</t>
        </is>
      </c>
      <c r="G186" s="16" t="inlineStr">
        <is>
          <t>1. Select high-contrast theme.</t>
        </is>
      </c>
      <c r="H186" s="16" t="inlineStr">
        <is>
          <t>—</t>
        </is>
      </c>
      <c r="I186" s="16" t="inlineStr">
        <is>
          <t>Text/background ≥7:1 contrast; focus rings clearly visible.</t>
        </is>
      </c>
      <c r="J186" s="16" t="inlineStr"/>
      <c r="K186" s="16" t="inlineStr">
        <is>
          <t>Not Run</t>
        </is>
      </c>
      <c r="L186" s="16" t="inlineStr">
        <is>
          <t>Medium</t>
        </is>
      </c>
      <c r="M186" s="16" t="inlineStr"/>
      <c r="N186" s="16" t="inlineStr"/>
      <c r="O186" s="16" t="inlineStr"/>
    </row>
    <row r="187" ht="78" customHeight="1">
      <c r="A187" s="16" t="inlineStr">
        <is>
          <t>TC-ST-003</t>
        </is>
      </c>
      <c r="B187" s="16" t="inlineStr">
        <is>
          <t>Settings &amp; Theming</t>
        </is>
      </c>
      <c r="C187" s="16" t="inlineStr">
        <is>
          <t>Font</t>
        </is>
      </c>
      <c r="D187" s="16" t="inlineStr">
        <is>
          <t>Functional</t>
        </is>
      </c>
      <c r="E187" s="16" t="inlineStr">
        <is>
          <t>Change code font</t>
        </is>
      </c>
      <c r="F187" s="16" t="inlineStr">
        <is>
          <t>Settings open.</t>
        </is>
      </c>
      <c r="G187" s="16" t="inlineStr">
        <is>
          <t>1. Pick JetBrains Mono.</t>
        </is>
      </c>
      <c r="H187" s="16" t="inlineStr">
        <is>
          <t>—</t>
        </is>
      </c>
      <c r="I187" s="16" t="inlineStr">
        <is>
          <t>Monaco font updates immediately; sans font unaffected.</t>
        </is>
      </c>
      <c r="J187" s="16" t="inlineStr"/>
      <c r="K187" s="16" t="inlineStr">
        <is>
          <t>Not Run</t>
        </is>
      </c>
      <c r="L187" s="16" t="inlineStr">
        <is>
          <t>Low</t>
        </is>
      </c>
      <c r="M187" s="16" t="inlineStr"/>
      <c r="N187" s="16" t="inlineStr"/>
      <c r="O187" s="16" t="inlineStr"/>
    </row>
    <row r="188" ht="78" customHeight="1">
      <c r="A188" s="16" t="inlineStr">
        <is>
          <t>TC-ST-004</t>
        </is>
      </c>
      <c r="B188" s="16" t="inlineStr">
        <is>
          <t>Settings &amp; Theming</t>
        </is>
      </c>
      <c r="C188" s="16" t="inlineStr">
        <is>
          <t>Font Size</t>
        </is>
      </c>
      <c r="D188" s="16" t="inlineStr">
        <is>
          <t>Functional</t>
        </is>
      </c>
      <c r="E188" s="16" t="inlineStr">
        <is>
          <t>Increase UI text size</t>
        </is>
      </c>
      <c r="F188" s="16" t="inlineStr">
        <is>
          <t>Default 100%.</t>
        </is>
      </c>
      <c r="G188" s="16" t="inlineStr">
        <is>
          <t>1. Ctrl/Cmd+Shift+= ×3.</t>
        </is>
      </c>
      <c r="H188" s="16" t="inlineStr">
        <is>
          <t>—</t>
        </is>
      </c>
      <c r="I188" s="16" t="inlineStr">
        <is>
          <t>Scales to ~115%; persists across sessions.</t>
        </is>
      </c>
      <c r="J188" s="16" t="inlineStr"/>
      <c r="K188" s="16" t="inlineStr">
        <is>
          <t>Not Run</t>
        </is>
      </c>
      <c r="L188" s="16" t="inlineStr">
        <is>
          <t>Medium</t>
        </is>
      </c>
      <c r="M188" s="16" t="inlineStr"/>
      <c r="N188" s="16" t="inlineStr"/>
      <c r="O188" s="16" t="inlineStr"/>
    </row>
    <row r="189" ht="78" customHeight="1">
      <c r="A189" s="16" t="inlineStr">
        <is>
          <t>TC-ST-005</t>
        </is>
      </c>
      <c r="B189" s="16" t="inlineStr">
        <is>
          <t>Settings &amp; Theming</t>
        </is>
      </c>
      <c r="C189" s="16" t="inlineStr">
        <is>
          <t>Font Size</t>
        </is>
      </c>
      <c r="D189" s="16" t="inlineStr">
        <is>
          <t>Functional</t>
        </is>
      </c>
      <c r="E189" s="16" t="inlineStr">
        <is>
          <t>Reset UI text size</t>
        </is>
      </c>
      <c r="F189" s="16" t="inlineStr">
        <is>
          <t>—</t>
        </is>
      </c>
      <c r="G189" s="16" t="inlineStr">
        <is>
          <t>1. Ctrl/Cmd+Shift+0.</t>
        </is>
      </c>
      <c r="H189" s="16" t="inlineStr">
        <is>
          <t>—</t>
        </is>
      </c>
      <c r="I189" s="16" t="inlineStr">
        <is>
          <t>Resets to 100%.</t>
        </is>
      </c>
      <c r="J189" s="16" t="inlineStr"/>
      <c r="K189" s="16" t="inlineStr">
        <is>
          <t>Not Run</t>
        </is>
      </c>
      <c r="L189" s="16" t="inlineStr">
        <is>
          <t>Low</t>
        </is>
      </c>
      <c r="M189" s="16" t="inlineStr"/>
      <c r="N189" s="16" t="inlineStr"/>
      <c r="O189" s="16" t="inlineStr"/>
    </row>
    <row r="190" ht="78" customHeight="1">
      <c r="A190" s="16" t="inlineStr">
        <is>
          <t>TC-ST-006</t>
        </is>
      </c>
      <c r="B190" s="16" t="inlineStr">
        <is>
          <t>Settings &amp; Theming</t>
        </is>
      </c>
      <c r="C190" s="16" t="inlineStr">
        <is>
          <t>Workspace-scoped</t>
        </is>
      </c>
      <c r="D190" s="16" t="inlineStr">
        <is>
          <t>Functional</t>
        </is>
      </c>
      <c r="E190" s="16" t="inlineStr">
        <is>
          <t>Theme persists per workspace</t>
        </is>
      </c>
      <c r="F190" s="16" t="inlineStr">
        <is>
          <t>Workspaces A and B.</t>
        </is>
      </c>
      <c r="G190" s="16" t="inlineStr">
        <is>
          <t>1. Dark in A.
2. Light in B.
3. Back to A.</t>
        </is>
      </c>
      <c r="H190" s="16" t="inlineStr">
        <is>
          <t>—</t>
        </is>
      </c>
      <c r="I190" s="16" t="inlineStr">
        <is>
          <t>Each workspace remembers its theme independently.</t>
        </is>
      </c>
      <c r="J190" s="16" t="inlineStr"/>
      <c r="K190" s="16" t="inlineStr">
        <is>
          <t>Not Run</t>
        </is>
      </c>
      <c r="L190" s="16" t="inlineStr">
        <is>
          <t>Medium</t>
        </is>
      </c>
      <c r="M190" s="16" t="inlineStr"/>
      <c r="N190" s="16" t="inlineStr"/>
      <c r="O190" s="16" t="inlineStr"/>
    </row>
    <row r="191" ht="78" customHeight="1">
      <c r="A191" s="16" t="inlineStr">
        <is>
          <t>TC-ST-007</t>
        </is>
      </c>
      <c r="B191" s="16" t="inlineStr">
        <is>
          <t>Settings &amp; Theming</t>
        </is>
      </c>
      <c r="C191" s="16" t="inlineStr">
        <is>
          <t>Browser Zoom</t>
        </is>
      </c>
      <c r="D191" s="16" t="inlineStr">
        <is>
          <t>Compatibility</t>
        </is>
      </c>
      <c r="E191" s="16" t="inlineStr">
        <is>
          <t>Browser Ctrl++ vs app font size do not double-apply</t>
        </is>
      </c>
      <c r="F191" s="16" t="inlineStr">
        <is>
          <t>—</t>
        </is>
      </c>
      <c r="G191" s="16" t="inlineStr">
        <is>
          <t>1. Browser zoom 125% + app size 110%.</t>
        </is>
      </c>
      <c r="H191" s="16" t="inlineStr">
        <is>
          <t>—</t>
        </is>
      </c>
      <c r="I191" s="16" t="inlineStr">
        <is>
          <t>Reasonable cumulative scale; layout remains usable.</t>
        </is>
      </c>
      <c r="J191" s="16" t="inlineStr"/>
      <c r="K191" s="16" t="inlineStr">
        <is>
          <t>Not Run</t>
        </is>
      </c>
      <c r="L191" s="16" t="inlineStr">
        <is>
          <t>Low</t>
        </is>
      </c>
      <c r="M191" s="16" t="inlineStr"/>
      <c r="N191" s="16" t="inlineStr"/>
      <c r="O191" s="16" t="inlineStr"/>
    </row>
    <row r="192" ht="78" customHeight="1">
      <c r="A192" s="16" t="inlineStr">
        <is>
          <t>TC-IE-001</t>
        </is>
      </c>
      <c r="B192" s="16" t="inlineStr">
        <is>
          <t>Import / Export</t>
        </is>
      </c>
      <c r="C192" s="16" t="inlineStr">
        <is>
          <t>Postman</t>
        </is>
      </c>
      <c r="D192" s="16" t="inlineStr">
        <is>
          <t>Functional</t>
        </is>
      </c>
      <c r="E192" s="16" t="inlineStr">
        <is>
          <t>Import Postman v2.1 collection</t>
        </is>
      </c>
      <c r="F192" s="16" t="inlineStr">
        <is>
          <t>Postman v2.1 JSON.</t>
        </is>
      </c>
      <c r="G192" s="16" t="inlineStr">
        <is>
          <t>1. Import → choose file.</t>
        </is>
      </c>
      <c r="H192" s="16" t="inlineStr">
        <is>
          <t>—</t>
        </is>
      </c>
      <c r="I192" s="16" t="inlineStr">
        <is>
          <t>Folders/requests imported; URLs/methods/headers/body/auth (compatible) preserved; summary lists counts + warnings.</t>
        </is>
      </c>
      <c r="J192" s="16" t="inlineStr"/>
      <c r="K192" s="16" t="inlineStr">
        <is>
          <t>Not Run</t>
        </is>
      </c>
      <c r="L192" s="16" t="inlineStr">
        <is>
          <t>High</t>
        </is>
      </c>
      <c r="M192" s="16" t="inlineStr"/>
      <c r="N192" s="16" t="inlineStr"/>
      <c r="O192" s="16" t="inlineStr"/>
    </row>
    <row r="193" ht="78" customHeight="1">
      <c r="A193" s="16" t="inlineStr">
        <is>
          <t>TC-IE-002</t>
        </is>
      </c>
      <c r="B193" s="16" t="inlineStr">
        <is>
          <t>Import / Export</t>
        </is>
      </c>
      <c r="C193" s="16" t="inlineStr">
        <is>
          <t>Postman</t>
        </is>
      </c>
      <c r="D193" s="16" t="inlineStr">
        <is>
          <t>Edge Case</t>
        </is>
      </c>
      <c r="E193" s="16" t="inlineStr">
        <is>
          <t>Unsupported auth falls back gracefully</t>
        </is>
      </c>
      <c r="F193" s="16" t="inlineStr">
        <is>
          <t>Postman collection with exotic auth.</t>
        </is>
      </c>
      <c r="G193" s="16" t="inlineStr">
        <is>
          <t>1. Import.</t>
        </is>
      </c>
      <c r="H193" s="16" t="inlineStr">
        <is>
          <t>—</t>
        </is>
      </c>
      <c r="I193" s="16" t="inlineStr">
        <is>
          <t>Auth downgraded to 'none' or 'inherit' with explicit warning; import does not fail entirely.</t>
        </is>
      </c>
      <c r="J193" s="16" t="inlineStr"/>
      <c r="K193" s="16" t="inlineStr">
        <is>
          <t>Not Run</t>
        </is>
      </c>
      <c r="L193" s="16" t="inlineStr">
        <is>
          <t>Medium</t>
        </is>
      </c>
      <c r="M193" s="16" t="inlineStr"/>
      <c r="N193" s="16" t="inlineStr"/>
      <c r="O193" s="16" t="inlineStr"/>
    </row>
    <row r="194" ht="78" customHeight="1">
      <c r="A194" s="16" t="inlineStr">
        <is>
          <t>TC-IE-003</t>
        </is>
      </c>
      <c r="B194" s="16" t="inlineStr">
        <is>
          <t>Import / Export</t>
        </is>
      </c>
      <c r="C194" s="16" t="inlineStr">
        <is>
          <t>cURL</t>
        </is>
      </c>
      <c r="D194" s="16" t="inlineStr">
        <is>
          <t>Functional</t>
        </is>
      </c>
      <c r="E194" s="16" t="inlineStr">
        <is>
          <t>Paste cURL creates request</t>
        </is>
      </c>
      <c r="F194" s="16" t="inlineStr">
        <is>
          <t>Editor open.</t>
        </is>
      </c>
      <c r="G194" s="16" t="inlineStr">
        <is>
          <t>1. Paste 'curl -X POST -H Content-Type:application/json -d {…} https://api.test/x'.</t>
        </is>
      </c>
      <c r="H194" s="16" t="inlineStr">
        <is>
          <t>—</t>
        </is>
      </c>
      <c r="I194" s="16" t="inlineStr">
        <is>
          <t>Request created: POST, header, body; can be sent immediately.</t>
        </is>
      </c>
      <c r="J194" s="16" t="inlineStr"/>
      <c r="K194" s="16" t="inlineStr">
        <is>
          <t>Not Run</t>
        </is>
      </c>
      <c r="L194" s="16" t="inlineStr">
        <is>
          <t>High</t>
        </is>
      </c>
      <c r="M194" s="16" t="inlineStr"/>
      <c r="N194" s="16" t="inlineStr"/>
      <c r="O194" s="16" t="inlineStr"/>
    </row>
    <row r="195" ht="78" customHeight="1">
      <c r="A195" s="16" t="inlineStr">
        <is>
          <t>TC-IE-004</t>
        </is>
      </c>
      <c r="B195" s="16" t="inlineStr">
        <is>
          <t>Import / Export</t>
        </is>
      </c>
      <c r="C195" s="16" t="inlineStr">
        <is>
          <t>cURL</t>
        </is>
      </c>
      <c r="D195" s="16" t="inlineStr">
        <is>
          <t>Edge Case</t>
        </is>
      </c>
      <c r="E195" s="16" t="inlineStr">
        <is>
          <t>Multi-line cURL with backslash continuations</t>
        </is>
      </c>
      <c r="F195" s="16" t="inlineStr">
        <is>
          <t>—</t>
        </is>
      </c>
      <c r="G195" s="16" t="inlineStr">
        <is>
          <t>1. Paste cURL with several \-continued lines.</t>
        </is>
      </c>
      <c r="H195" s="16" t="inlineStr">
        <is>
          <t>—</t>
        </is>
      </c>
      <c r="I195" s="16" t="inlineStr">
        <is>
          <t>Parsed correctly; all flags preserved.</t>
        </is>
      </c>
      <c r="J195" s="16" t="inlineStr"/>
      <c r="K195" s="16" t="inlineStr">
        <is>
          <t>Not Run</t>
        </is>
      </c>
      <c r="L195" s="16" t="inlineStr">
        <is>
          <t>Low</t>
        </is>
      </c>
      <c r="M195" s="16" t="inlineStr"/>
      <c r="N195" s="16" t="inlineStr"/>
      <c r="O195" s="16" t="inlineStr"/>
    </row>
    <row r="196" ht="78" customHeight="1">
      <c r="A196" s="16" t="inlineStr">
        <is>
          <t>TC-IE-005</t>
        </is>
      </c>
      <c r="B196" s="16" t="inlineStr">
        <is>
          <t>Import / Export</t>
        </is>
      </c>
      <c r="C196" s="16" t="inlineStr">
        <is>
          <t>Insomnia</t>
        </is>
      </c>
      <c r="D196" s="16" t="inlineStr">
        <is>
          <t>Functional</t>
        </is>
      </c>
      <c r="E196" s="16" t="inlineStr">
        <is>
          <t>Import Insomnia export</t>
        </is>
      </c>
      <c r="F196" s="16" t="inlineStr">
        <is>
          <t>Insomnia JSON.</t>
        </is>
      </c>
      <c r="G196" s="16" t="inlineStr">
        <is>
          <t>1. Import.</t>
        </is>
      </c>
      <c r="H196" s="16" t="inlineStr">
        <is>
          <t>—</t>
        </is>
      </c>
      <c r="I196" s="16" t="inlineStr">
        <is>
          <t>Requests/envs imported.</t>
        </is>
      </c>
      <c r="J196" s="16" t="inlineStr"/>
      <c r="K196" s="16" t="inlineStr">
        <is>
          <t>Not Run</t>
        </is>
      </c>
      <c r="L196" s="16" t="inlineStr">
        <is>
          <t>Medium</t>
        </is>
      </c>
      <c r="M196" s="16" t="inlineStr"/>
      <c r="N196" s="16" t="inlineStr"/>
      <c r="O196" s="16" t="inlineStr"/>
    </row>
    <row r="197" ht="78" customHeight="1">
      <c r="A197" s="16" t="inlineStr">
        <is>
          <t>TC-IE-006</t>
        </is>
      </c>
      <c r="B197" s="16" t="inlineStr">
        <is>
          <t>Import / Export</t>
        </is>
      </c>
      <c r="C197" s="16" t="inlineStr">
        <is>
          <t>Export</t>
        </is>
      </c>
      <c r="D197" s="16" t="inlineStr">
        <is>
          <t>Functional</t>
        </is>
      </c>
      <c r="E197" s="16" t="inlineStr">
        <is>
          <t>Export workspace JSON</t>
        </is>
      </c>
      <c r="F197" s="16" t="inlineStr">
        <is>
          <t>Workspace has data.</t>
        </is>
      </c>
      <c r="G197" s="16" t="inlineStr">
        <is>
          <t>1. Export → JSON.</t>
        </is>
      </c>
      <c r="H197" s="16" t="inlineStr">
        <is>
          <t>—</t>
        </is>
      </c>
      <c r="I197" s="16" t="inlineStr">
        <is>
          <t>Valid WorkspaceSynced JSON saved; secrets excluded.</t>
        </is>
      </c>
      <c r="J197" s="16" t="inlineStr"/>
      <c r="K197" s="16" t="inlineStr">
        <is>
          <t>Not Run</t>
        </is>
      </c>
      <c r="L197" s="16" t="inlineStr">
        <is>
          <t>Medium</t>
        </is>
      </c>
      <c r="M197" s="16" t="inlineStr"/>
      <c r="N197" s="16" t="inlineStr"/>
      <c r="O197" s="16" t="inlineStr"/>
    </row>
    <row r="198" ht="78" customHeight="1">
      <c r="A198" s="16" t="inlineStr">
        <is>
          <t>TC-IE-007</t>
        </is>
      </c>
      <c r="B198" s="16" t="inlineStr">
        <is>
          <t>Import / Export</t>
        </is>
      </c>
      <c r="C198" s="16" t="inlineStr">
        <is>
          <t>Copy cURL</t>
        </is>
      </c>
      <c r="D198" s="16" t="inlineStr">
        <is>
          <t>Functional</t>
        </is>
      </c>
      <c r="E198" s="16" t="inlineStr">
        <is>
          <t>Copy request as cURL</t>
        </is>
      </c>
      <c r="F198" s="16" t="inlineStr">
        <is>
          <t>Request configured.</t>
        </is>
      </c>
      <c r="G198" s="16" t="inlineStr">
        <is>
          <t>1. Copy as cURL.</t>
        </is>
      </c>
      <c r="H198" s="16" t="inlineStr">
        <is>
          <t>—</t>
        </is>
      </c>
      <c r="I198" s="16" t="inlineStr">
        <is>
          <t>Clipboard has working cURL; pasting in terminal sends the same request.</t>
        </is>
      </c>
      <c r="J198" s="16" t="inlineStr"/>
      <c r="K198" s="16" t="inlineStr">
        <is>
          <t>Not Run</t>
        </is>
      </c>
      <c r="L198" s="16" t="inlineStr">
        <is>
          <t>Medium</t>
        </is>
      </c>
      <c r="M198" s="16" t="inlineStr"/>
      <c r="N198" s="16" t="inlineStr"/>
      <c r="O198" s="16" t="inlineStr"/>
    </row>
    <row r="199" ht="78" customHeight="1">
      <c r="A199" s="16" t="inlineStr">
        <is>
          <t>TC-IE-008</t>
        </is>
      </c>
      <c r="B199" s="16" t="inlineStr">
        <is>
          <t>Import / Export</t>
        </is>
      </c>
      <c r="C199" s="16" t="inlineStr">
        <is>
          <t>Export</t>
        </is>
      </c>
      <c r="D199" s="16" t="inlineStr">
        <is>
          <t>Security</t>
        </is>
      </c>
      <c r="E199" s="16" t="inlineStr">
        <is>
          <t>Exported JSON omits secret values</t>
        </is>
      </c>
      <c r="F199" s="16" t="inlineStr">
        <is>
          <t>Workspace has secret var 'token'.</t>
        </is>
      </c>
      <c r="G199" s="16" t="inlineStr">
        <is>
          <t>1. Export.</t>
        </is>
      </c>
      <c r="H199" s="16" t="inlineStr">
        <is>
          <t>—</t>
        </is>
      </c>
      <c r="I199" s="16" t="inlineStr">
        <is>
          <t>JSON contains the var name but value is empty or [SECRET]; never plaintext.</t>
        </is>
      </c>
      <c r="J199" s="16" t="inlineStr"/>
      <c r="K199" s="16" t="inlineStr">
        <is>
          <t>Not Run</t>
        </is>
      </c>
      <c r="L199" s="16" t="inlineStr">
        <is>
          <t>High</t>
        </is>
      </c>
      <c r="M199" s="16" t="inlineStr"/>
      <c r="N199" s="16" t="inlineStr"/>
      <c r="O199" s="16" t="inlineStr"/>
    </row>
    <row r="200" ht="78" customHeight="1">
      <c r="A200" s="16" t="inlineStr">
        <is>
          <t>TC-IE-009</t>
        </is>
      </c>
      <c r="B200" s="16" t="inlineStr">
        <is>
          <t>Import / Export</t>
        </is>
      </c>
      <c r="C200" s="16" t="inlineStr">
        <is>
          <t>Download</t>
        </is>
      </c>
      <c r="D200" s="16" t="inlineStr">
        <is>
          <t>Functional</t>
        </is>
      </c>
      <c r="E200" s="16" t="inlineStr">
        <is>
          <t>Export triggers browser download</t>
        </is>
      </c>
      <c r="F200" s="16" t="inlineStr">
        <is>
          <t>—</t>
        </is>
      </c>
      <c r="G200" s="16" t="inlineStr">
        <is>
          <t>1. Export workspace.</t>
        </is>
      </c>
      <c r="H200" s="16" t="inlineStr">
        <is>
          <t>—</t>
        </is>
      </c>
      <c r="I200" s="16" t="inlineStr">
        <is>
          <t>Browser download bar shows file; saved to default Downloads folder.</t>
        </is>
      </c>
      <c r="J200" s="16" t="inlineStr"/>
      <c r="K200" s="16" t="inlineStr">
        <is>
          <t>Not Run</t>
        </is>
      </c>
      <c r="L200" s="16" t="inlineStr">
        <is>
          <t>Medium</t>
        </is>
      </c>
      <c r="M200" s="16" t="inlineStr"/>
      <c r="N200" s="16" t="inlineStr"/>
      <c r="O200" s="16" t="inlineStr"/>
    </row>
    <row r="201" ht="78" customHeight="1">
      <c r="A201" s="16" t="inlineStr">
        <is>
          <t>TC-IE-010</t>
        </is>
      </c>
      <c r="B201" s="16" t="inlineStr">
        <is>
          <t>Import / Export</t>
        </is>
      </c>
      <c r="C201" s="16" t="inlineStr">
        <is>
          <t>Upload</t>
        </is>
      </c>
      <c r="D201" s="16" t="inlineStr">
        <is>
          <t>Functional</t>
        </is>
      </c>
      <c r="E201" s="16" t="inlineStr">
        <is>
          <t>Import uses browser file picker</t>
        </is>
      </c>
      <c r="F201" s="16" t="inlineStr">
        <is>
          <t>—</t>
        </is>
      </c>
      <c r="G201" s="16" t="inlineStr">
        <is>
          <t>1. Import → file picker.</t>
        </is>
      </c>
      <c r="H201" s="16" t="inlineStr">
        <is>
          <t>—</t>
        </is>
      </c>
      <c r="I201" s="16" t="inlineStr">
        <is>
          <t>Picker opens; selected file content is read in-memory.</t>
        </is>
      </c>
      <c r="J201" s="16" t="inlineStr"/>
      <c r="K201" s="16" t="inlineStr">
        <is>
          <t>Not Run</t>
        </is>
      </c>
      <c r="L201" s="16" t="inlineStr">
        <is>
          <t>Medium</t>
        </is>
      </c>
      <c r="M201" s="16" t="inlineStr"/>
      <c r="N201" s="16" t="inlineStr"/>
      <c r="O201" s="16" t="inlineStr"/>
    </row>
    <row r="202" ht="78" customHeight="1">
      <c r="A202" s="16" t="inlineStr">
        <is>
          <t>TC-GT-001</t>
        </is>
      </c>
      <c r="B202" s="16" t="inlineStr">
        <is>
          <t>Git Integration</t>
        </is>
      </c>
      <c r="C202" s="16" t="inlineStr">
        <is>
          <t>Push Conflict</t>
        </is>
      </c>
      <c r="D202" s="16" t="inlineStr">
        <is>
          <t>Negative</t>
        </is>
      </c>
      <c r="E202" s="16" t="inlineStr">
        <is>
          <t>Concurrent push fails second push</t>
        </is>
      </c>
      <c r="F202" s="16" t="inlineStr">
        <is>
          <t>Two devices push same branch.</t>
        </is>
      </c>
      <c r="G202" s="16" t="inlineStr">
        <is>
          <t>1. Device A push.
2. Device B push without pull.</t>
        </is>
      </c>
      <c r="H202" s="16" t="inlineStr">
        <is>
          <t>—</t>
        </is>
      </c>
      <c r="I202" s="16" t="inlineStr">
        <is>
          <t>B fails 'remote has changes'; user prompted to pull and merge.</t>
        </is>
      </c>
      <c r="J202" s="16" t="inlineStr"/>
      <c r="K202" s="16" t="inlineStr">
        <is>
          <t>Not Run</t>
        </is>
      </c>
      <c r="L202" s="16" t="inlineStr">
        <is>
          <t>High</t>
        </is>
      </c>
      <c r="M202" s="16" t="inlineStr"/>
      <c r="N202" s="16" t="inlineStr"/>
      <c r="O202" s="16" t="inlineStr"/>
    </row>
    <row r="203" ht="78" customHeight="1">
      <c r="A203" s="16" t="inlineStr">
        <is>
          <t>TC-GT-002</t>
        </is>
      </c>
      <c r="B203" s="16" t="inlineStr">
        <is>
          <t>Git Integration</t>
        </is>
      </c>
      <c r="C203" s="16" t="inlineStr">
        <is>
          <t>Three-way</t>
        </is>
      </c>
      <c r="D203" s="16" t="inlineStr">
        <is>
          <t>Functional</t>
        </is>
      </c>
      <c r="E203" s="16" t="inlineStr">
        <is>
          <t>Auto-merge non-conflicting edits</t>
        </is>
      </c>
      <c r="F203" s="16" t="inlineStr">
        <is>
          <t>Local: URL changed. Remote: headers changed (same request).</t>
        </is>
      </c>
      <c r="G203" s="16" t="inlineStr">
        <is>
          <t>1. Pull.</t>
        </is>
      </c>
      <c r="H203" s="16" t="inlineStr">
        <is>
          <t>—</t>
        </is>
      </c>
      <c r="I203" s="16" t="inlineStr">
        <is>
          <t>Both edits merged; final request has both new URL and headers.</t>
        </is>
      </c>
      <c r="J203" s="16" t="inlineStr"/>
      <c r="K203" s="16" t="inlineStr">
        <is>
          <t>Not Run</t>
        </is>
      </c>
      <c r="L203" s="16" t="inlineStr">
        <is>
          <t>High</t>
        </is>
      </c>
      <c r="M203" s="16" t="inlineStr"/>
      <c r="N203" s="16" t="inlineStr"/>
      <c r="O203" s="16" t="inlineStr"/>
    </row>
    <row r="204" ht="78" customHeight="1">
      <c r="A204" s="16" t="inlineStr">
        <is>
          <t>TC-GT-003</t>
        </is>
      </c>
      <c r="B204" s="16" t="inlineStr">
        <is>
          <t>Git Integration</t>
        </is>
      </c>
      <c r="C204" s="16" t="inlineStr">
        <is>
          <t>Three-way</t>
        </is>
      </c>
      <c r="D204" s="16" t="inlineStr">
        <is>
          <t>Functional</t>
        </is>
      </c>
      <c r="E204" s="16" t="inlineStr">
        <is>
          <t>Conflict on same field surfaces resolution UI</t>
        </is>
      </c>
      <c r="F204" s="16" t="inlineStr">
        <is>
          <t>Local URL=A; remote URL=B.</t>
        </is>
      </c>
      <c r="G204" s="16" t="inlineStr">
        <is>
          <t>1. Pull.</t>
        </is>
      </c>
      <c r="H204" s="16" t="inlineStr">
        <is>
          <t>—</t>
        </is>
      </c>
      <c r="I204" s="16" t="inlineStr">
        <is>
          <t>Conflict modal lists conflicting fields; user picks theirs/mine/manual; resolution committed.</t>
        </is>
      </c>
      <c r="J204" s="16" t="inlineStr"/>
      <c r="K204" s="16" t="inlineStr">
        <is>
          <t>Not Run</t>
        </is>
      </c>
      <c r="L204" s="16" t="inlineStr">
        <is>
          <t>High</t>
        </is>
      </c>
      <c r="M204" s="16" t="inlineStr"/>
      <c r="N204" s="16" t="inlineStr"/>
      <c r="O204" s="16" t="inlineStr"/>
    </row>
    <row r="205" ht="78" customHeight="1">
      <c r="A205" s="16" t="inlineStr">
        <is>
          <t>TC-GT-004</t>
        </is>
      </c>
      <c r="B205" s="16" t="inlineStr">
        <is>
          <t>Git Integration</t>
        </is>
      </c>
      <c r="C205" s="16" t="inlineStr">
        <is>
          <t>Branch</t>
        </is>
      </c>
      <c r="D205" s="16" t="inlineStr">
        <is>
          <t>Functional</t>
        </is>
      </c>
      <c r="E205" s="16" t="inlineStr">
        <is>
          <t>Switch working branch reloads synced doc</t>
        </is>
      </c>
      <c r="F205" s="16" t="inlineStr">
        <is>
          <t>Workspace on branch X.</t>
        </is>
      </c>
      <c r="G205" s="16" t="inlineStr">
        <is>
          <t>1. Switch to Y.</t>
        </is>
      </c>
      <c r="H205" s="16" t="inlineStr">
        <is>
          <t>—</t>
        </is>
      </c>
      <c r="I205" s="16" t="inlineStr">
        <is>
          <t>Local synced replaced with Y's content; local edits warned about (stash/discard).</t>
        </is>
      </c>
      <c r="J205" s="16" t="inlineStr"/>
      <c r="K205" s="16" t="inlineStr">
        <is>
          <t>Not Run</t>
        </is>
      </c>
      <c r="L205" s="16" t="inlineStr">
        <is>
          <t>Medium</t>
        </is>
      </c>
      <c r="M205" s="16" t="inlineStr"/>
      <c r="N205" s="16" t="inlineStr"/>
      <c r="O205" s="16" t="inlineStr"/>
    </row>
    <row r="206" ht="78" customHeight="1">
      <c r="A206" s="16" t="inlineStr">
        <is>
          <t>TC-GT-005</t>
        </is>
      </c>
      <c r="B206" s="16" t="inlineStr">
        <is>
          <t>Git Integration</t>
        </is>
      </c>
      <c r="C206" s="16" t="inlineStr">
        <is>
          <t>Retired</t>
        </is>
      </c>
      <c r="D206" s="16" t="inlineStr">
        <is>
          <t>Functional</t>
        </is>
      </c>
      <c r="E206" s="16" t="inlineStr">
        <is>
          <t>Cleanup prompt after PR merge</t>
        </is>
      </c>
      <c r="F206" s="16" t="inlineStr">
        <is>
          <t>PR merged; branch deleted.</t>
        </is>
      </c>
      <c r="G206" s="16" t="inlineStr">
        <is>
          <t>1. Refresh.</t>
        </is>
      </c>
      <c r="H206" s="16" t="inlineStr">
        <is>
          <t>—</t>
        </is>
      </c>
      <c r="I206" s="16" t="inlineStr">
        <is>
          <t>Prompt offers: new branch from main, or abandon changes.</t>
        </is>
      </c>
      <c r="J206" s="16" t="inlineStr"/>
      <c r="K206" s="16" t="inlineStr">
        <is>
          <t>Not Run</t>
        </is>
      </c>
      <c r="L206" s="16" t="inlineStr">
        <is>
          <t>Medium</t>
        </is>
      </c>
      <c r="M206" s="16" t="inlineStr"/>
      <c r="N206" s="16" t="inlineStr"/>
      <c r="O206" s="16" t="inlineStr"/>
    </row>
    <row r="207" ht="78" customHeight="1">
      <c r="A207" s="16" t="inlineStr">
        <is>
          <t>TC-GT-006</t>
        </is>
      </c>
      <c r="B207" s="16" t="inlineStr">
        <is>
          <t>Git Integration</t>
        </is>
      </c>
      <c r="C207" s="16" t="inlineStr">
        <is>
          <t>Commit Author</t>
        </is>
      </c>
      <c r="D207" s="16" t="inlineStr">
        <is>
          <t>Functional</t>
        </is>
      </c>
      <c r="E207" s="16" t="inlineStr">
        <is>
          <t>Commit author matches OAuthed user</t>
        </is>
      </c>
      <c r="F207" s="16" t="inlineStr">
        <is>
          <t>—</t>
        </is>
      </c>
      <c r="G207" s="16" t="inlineStr">
        <is>
          <t>1. Push.
2. Inspect commit on GitHub.</t>
        </is>
      </c>
      <c r="H207" s="16" t="inlineStr">
        <is>
          <t>—</t>
        </is>
      </c>
      <c r="I207" s="16" t="inlineStr">
        <is>
          <t>Author email/name match GitHub OAuth profile.</t>
        </is>
      </c>
      <c r="J207" s="16" t="inlineStr"/>
      <c r="K207" s="16" t="inlineStr">
        <is>
          <t>Not Run</t>
        </is>
      </c>
      <c r="L207" s="16" t="inlineStr">
        <is>
          <t>Low</t>
        </is>
      </c>
      <c r="M207" s="16" t="inlineStr"/>
      <c r="N207" s="16" t="inlineStr"/>
      <c r="O207" s="16" t="inlineStr"/>
    </row>
    <row r="208" ht="78" customHeight="1">
      <c r="A208" s="16" t="inlineStr">
        <is>
          <t>TC-GT-007</t>
        </is>
      </c>
      <c r="B208" s="16" t="inlineStr">
        <is>
          <t>Git Integration</t>
        </is>
      </c>
      <c r="C208" s="16" t="inlineStr">
        <is>
          <t>Network</t>
        </is>
      </c>
      <c r="D208" s="16" t="inlineStr">
        <is>
          <t>Negative</t>
        </is>
      </c>
      <c r="E208" s="16" t="inlineStr">
        <is>
          <t>Push during offline shows clear error</t>
        </is>
      </c>
      <c r="F208" s="16" t="inlineStr">
        <is>
          <t>Network disabled.</t>
        </is>
      </c>
      <c r="G208" s="16" t="inlineStr">
        <is>
          <t>1. Push.</t>
        </is>
      </c>
      <c r="H208" s="16" t="inlineStr">
        <is>
          <t>—</t>
        </is>
      </c>
      <c r="I208" s="16" t="inlineStr">
        <is>
          <t>Toast 'Network unavailable. Try again later.'; local edits preserved.</t>
        </is>
      </c>
      <c r="J208" s="16" t="inlineStr"/>
      <c r="K208" s="16" t="inlineStr">
        <is>
          <t>Not Run</t>
        </is>
      </c>
      <c r="L208" s="16" t="inlineStr">
        <is>
          <t>High</t>
        </is>
      </c>
      <c r="M208" s="16" t="inlineStr"/>
      <c r="N208" s="16" t="inlineStr"/>
      <c r="O208" s="16" t="inlineStr"/>
    </row>
    <row r="209" ht="78" customHeight="1">
      <c r="A209" s="16" t="inlineStr">
        <is>
          <t>TC-GT-008</t>
        </is>
      </c>
      <c r="B209" s="16" t="inlineStr">
        <is>
          <t>Git Integration</t>
        </is>
      </c>
      <c r="C209" s="16" t="inlineStr">
        <is>
          <t>PR Capability</t>
        </is>
      </c>
      <c r="D209" s="16" t="inlineStr">
        <is>
          <t>Functional</t>
        </is>
      </c>
      <c r="E209" s="16" t="inlineStr">
        <is>
          <t>Create PR button visible when capability detected</t>
        </is>
      </c>
      <c r="F209" s="16" t="inlineStr">
        <is>
          <t>Repo with PR permission for the OAuth scope.</t>
        </is>
      </c>
      <c r="G209" s="16" t="inlineStr">
        <is>
          <t>1. After push, look for Create PR button.</t>
        </is>
      </c>
      <c r="H209" s="16" t="inlineStr">
        <is>
          <t>—</t>
        </is>
      </c>
      <c r="I209" s="16" t="inlineStr">
        <is>
          <t>Button visible; click opens GitHub compose page (web/external browser).</t>
        </is>
      </c>
      <c r="J209" s="16" t="inlineStr"/>
      <c r="K209" s="16" t="inlineStr">
        <is>
          <t>Not Run</t>
        </is>
      </c>
      <c r="L209" s="16" t="inlineStr">
        <is>
          <t>Medium</t>
        </is>
      </c>
      <c r="M209" s="16" t="inlineStr"/>
      <c r="N209" s="16" t="inlineStr"/>
      <c r="O209" s="16" t="inlineStr"/>
    </row>
    <row r="210" ht="78" customHeight="1">
      <c r="A210" s="16" t="inlineStr">
        <is>
          <t>TC-GT-009</t>
        </is>
      </c>
      <c r="B210" s="16" t="inlineStr">
        <is>
          <t>Git Integration</t>
        </is>
      </c>
      <c r="C210" s="16" t="inlineStr">
        <is>
          <t>Pull Race</t>
        </is>
      </c>
      <c r="D210" s="16" t="inlineStr">
        <is>
          <t>Edge Case</t>
        </is>
      </c>
      <c r="E210" s="16" t="inlineStr">
        <is>
          <t>Pull while local edits being typed</t>
        </is>
      </c>
      <c r="F210" s="16" t="inlineStr">
        <is>
          <t>Active editing in body field.</t>
        </is>
      </c>
      <c r="G210" s="16" t="inlineStr">
        <is>
          <t>1. Click Pull while typing.</t>
        </is>
      </c>
      <c r="H210" s="16" t="inlineStr">
        <is>
          <t>—</t>
        </is>
      </c>
      <c r="I210" s="16" t="inlineStr">
        <is>
          <t>App pauses pull or warns about unsaved keystrokes; no data lost.</t>
        </is>
      </c>
      <c r="J210" s="16" t="inlineStr"/>
      <c r="K210" s="16" t="inlineStr">
        <is>
          <t>Not Run</t>
        </is>
      </c>
      <c r="L210" s="16" t="inlineStr">
        <is>
          <t>Medium</t>
        </is>
      </c>
      <c r="M210" s="16" t="inlineStr"/>
      <c r="N210" s="16" t="inlineStr"/>
      <c r="O210" s="16" t="inlineStr"/>
    </row>
    <row r="211" ht="78" customHeight="1">
      <c r="A211" s="16" t="inlineStr">
        <is>
          <t>TC-GQ-001</t>
        </is>
      </c>
      <c r="B211" s="16" t="inlineStr">
        <is>
          <t>GraphQL</t>
        </is>
      </c>
      <c r="C211" s="16" t="inlineStr">
        <is>
          <t>Introspect</t>
        </is>
      </c>
      <c r="D211" s="16" t="inlineStr">
        <is>
          <t>Functional</t>
        </is>
      </c>
      <c r="E211" s="16" t="inlineStr">
        <is>
          <t>Fetch schema</t>
        </is>
      </c>
      <c r="F211" s="16" t="inlineStr">
        <is>
          <t>GraphQL endpoint reachable.</t>
        </is>
      </c>
      <c r="G211" s="16" t="inlineStr">
        <is>
          <t>1. Body → GraphQL.
2. Fetch Schema.</t>
        </is>
      </c>
      <c r="H211" s="16" t="inlineStr">
        <is>
          <t>—</t>
        </is>
      </c>
      <c r="I211" s="16" t="inlineStr">
        <is>
          <t>Schema saved to globalAssets; completions enabled.</t>
        </is>
      </c>
      <c r="J211" s="16" t="inlineStr"/>
      <c r="K211" s="16" t="inlineStr">
        <is>
          <t>Not Run</t>
        </is>
      </c>
      <c r="L211" s="16" t="inlineStr">
        <is>
          <t>High</t>
        </is>
      </c>
      <c r="M211" s="16" t="inlineStr"/>
      <c r="N211" s="16" t="inlineStr"/>
      <c r="O211" s="16" t="inlineStr"/>
    </row>
    <row r="212" ht="78" customHeight="1">
      <c r="A212" s="16" t="inlineStr">
        <is>
          <t>TC-GQ-002</t>
        </is>
      </c>
      <c r="B212" s="16" t="inlineStr">
        <is>
          <t>GraphQL</t>
        </is>
      </c>
      <c r="C212" s="16" t="inlineStr">
        <is>
          <t>Completions</t>
        </is>
      </c>
      <c r="D212" s="16" t="inlineStr">
        <is>
          <t>Functional</t>
        </is>
      </c>
      <c r="E212" s="16" t="inlineStr">
        <is>
          <t>Field autocomplete uses schema</t>
        </is>
      </c>
      <c r="F212" s="16" t="inlineStr">
        <is>
          <t>Schema fetched.</t>
        </is>
      </c>
      <c r="G212" s="16" t="inlineStr">
        <is>
          <t>1. Type 'query { us' in editor.</t>
        </is>
      </c>
      <c r="H212" s="16" t="inlineStr">
        <is>
          <t>—</t>
        </is>
      </c>
      <c r="I212" s="16" t="inlineStr">
        <is>
          <t>Suggestions include 'user' from loaded schema.</t>
        </is>
      </c>
      <c r="J212" s="16" t="inlineStr"/>
      <c r="K212" s="16" t="inlineStr">
        <is>
          <t>Not Run</t>
        </is>
      </c>
      <c r="L212" s="16" t="inlineStr">
        <is>
          <t>Medium</t>
        </is>
      </c>
      <c r="M212" s="16" t="inlineStr"/>
      <c r="N212" s="16" t="inlineStr"/>
      <c r="O212" s="16" t="inlineStr"/>
    </row>
    <row r="213" ht="78" customHeight="1">
      <c r="A213" s="16" t="inlineStr">
        <is>
          <t>TC-GQ-003</t>
        </is>
      </c>
      <c r="B213" s="16" t="inlineStr">
        <is>
          <t>GraphQL</t>
        </is>
      </c>
      <c r="C213" s="16" t="inlineStr">
        <is>
          <t>Variables</t>
        </is>
      </c>
      <c r="D213" s="16" t="inlineStr">
        <is>
          <t>Functional</t>
        </is>
      </c>
      <c r="E213" s="16" t="inlineStr">
        <is>
          <t>Variables sent with query</t>
        </is>
      </c>
      <c r="F213" s="16" t="inlineStr">
        <is>
          <t>Query: query($id:ID!){ user(id:$id){ name } }</t>
        </is>
      </c>
      <c r="G213" s="16" t="inlineStr">
        <is>
          <t>1. Variables: {"id":"1"}.
2. Send.</t>
        </is>
      </c>
      <c r="H213" s="16" t="inlineStr">
        <is>
          <t>—</t>
        </is>
      </c>
      <c r="I213" s="16" t="inlineStr">
        <is>
          <t>Body has both query and variables; resolved server-side.</t>
        </is>
      </c>
      <c r="J213" s="16" t="inlineStr"/>
      <c r="K213" s="16" t="inlineStr">
        <is>
          <t>Not Run</t>
        </is>
      </c>
      <c r="L213" s="16" t="inlineStr">
        <is>
          <t>Medium</t>
        </is>
      </c>
      <c r="M213" s="16" t="inlineStr"/>
      <c r="N213" s="16" t="inlineStr"/>
      <c r="O213" s="16" t="inlineStr"/>
    </row>
    <row r="214" ht="78" customHeight="1">
      <c r="A214" s="16" t="inlineStr">
        <is>
          <t>TC-GQ-004</t>
        </is>
      </c>
      <c r="B214" s="16" t="inlineStr">
        <is>
          <t>GraphQL</t>
        </is>
      </c>
      <c r="C214" s="16" t="inlineStr">
        <is>
          <t>Schema Reuse</t>
        </is>
      </c>
      <c r="D214" s="16" t="inlineStr">
        <is>
          <t>Functional</t>
        </is>
      </c>
      <c r="E214" s="16" t="inlineStr">
        <is>
          <t>Stored schema reused after reload</t>
        </is>
      </c>
      <c r="F214" s="16" t="inlineStr">
        <is>
          <t>Workspace reopened.</t>
        </is>
      </c>
      <c r="G214" s="16" t="inlineStr">
        <is>
          <t>1. Open GraphQL request.</t>
        </is>
      </c>
      <c r="H214" s="16" t="inlineStr">
        <is>
          <t>—</t>
        </is>
      </c>
      <c r="I214" s="16" t="inlineStr">
        <is>
          <t>Completions work without re-fetch; schema persisted in synced state.</t>
        </is>
      </c>
      <c r="J214" s="16" t="inlineStr"/>
      <c r="K214" s="16" t="inlineStr">
        <is>
          <t>Not Run</t>
        </is>
      </c>
      <c r="L214" s="16" t="inlineStr">
        <is>
          <t>Low</t>
        </is>
      </c>
      <c r="M214" s="16" t="inlineStr"/>
      <c r="N214" s="16" t="inlineStr"/>
      <c r="O214" s="16" t="inlineStr"/>
    </row>
    <row r="215" ht="78" customHeight="1">
      <c r="A215" s="16" t="inlineStr">
        <is>
          <t>TC-GQ-005</t>
        </is>
      </c>
      <c r="B215" s="16" t="inlineStr">
        <is>
          <t>GraphQL</t>
        </is>
      </c>
      <c r="C215" s="16" t="inlineStr">
        <is>
          <t>Introspect</t>
        </is>
      </c>
      <c r="D215" s="16" t="inlineStr">
        <is>
          <t>Negative</t>
        </is>
      </c>
      <c r="E215" s="16" t="inlineStr">
        <is>
          <t>Introspection disabled on server</t>
        </is>
      </c>
      <c r="F215" s="16" t="inlineStr">
        <is>
          <t>Server returns 400 on introspection.</t>
        </is>
      </c>
      <c r="G215" s="16" t="inlineStr">
        <is>
          <t>1. Fetch Schema.</t>
        </is>
      </c>
      <c r="H215" s="16" t="inlineStr">
        <is>
          <t>—</t>
        </is>
      </c>
      <c r="I215" s="16" t="inlineStr">
        <is>
          <t>Error 'Introspection not allowed'; user can upload schema manually if supported.</t>
        </is>
      </c>
      <c r="J215" s="16" t="inlineStr"/>
      <c r="K215" s="16" t="inlineStr">
        <is>
          <t>Not Run</t>
        </is>
      </c>
      <c r="L215" s="16" t="inlineStr">
        <is>
          <t>Medium</t>
        </is>
      </c>
      <c r="M215" s="16" t="inlineStr"/>
      <c r="N215" s="16" t="inlineStr"/>
      <c r="O215" s="16" t="inlineStr"/>
    </row>
    <row r="216" ht="78" customHeight="1">
      <c r="A216" s="16" t="inlineStr">
        <is>
          <t>TC-AS-001</t>
        </is>
      </c>
      <c r="B216" s="16" t="inlineStr">
        <is>
          <t>Assertions &amp; Execution Plans</t>
        </is>
      </c>
      <c r="C216" s="16" t="inlineStr">
        <is>
          <t>Plan Create</t>
        </is>
      </c>
      <c r="D216" s="16" t="inlineStr">
        <is>
          <t>Functional</t>
        </is>
      </c>
      <c r="E216" s="16" t="inlineStr">
        <is>
          <t>Create execution plan with 3 steps</t>
        </is>
      </c>
      <c r="F216" s="16" t="inlineStr">
        <is>
          <t>Workspace has 3+ requests.</t>
        </is>
      </c>
      <c r="G216" s="16" t="inlineStr">
        <is>
          <t>1. Execution panel → New plan.
2. Add 3 steps.</t>
        </is>
      </c>
      <c r="H216" s="16" t="inlineStr">
        <is>
          <t>—</t>
        </is>
      </c>
      <c r="I216" s="16" t="inlineStr">
        <is>
          <t>Plan saved; order set; each step shows source request.</t>
        </is>
      </c>
      <c r="J216" s="16" t="inlineStr"/>
      <c r="K216" s="16" t="inlineStr">
        <is>
          <t>Not Run</t>
        </is>
      </c>
      <c r="L216" s="16" t="inlineStr">
        <is>
          <t>High</t>
        </is>
      </c>
      <c r="M216" s="16" t="inlineStr"/>
      <c r="N216" s="16" t="inlineStr"/>
      <c r="O216" s="16" t="inlineStr"/>
    </row>
    <row r="217" ht="78" customHeight="1">
      <c r="A217" s="16" t="inlineStr">
        <is>
          <t>TC-AS-002</t>
        </is>
      </c>
      <c r="B217" s="16" t="inlineStr">
        <is>
          <t>Assertions &amp; Execution Plans</t>
        </is>
      </c>
      <c r="C217" s="16" t="inlineStr">
        <is>
          <t>Plan Run</t>
        </is>
      </c>
      <c r="D217" s="16" t="inlineStr">
        <is>
          <t>Functional</t>
        </is>
      </c>
      <c r="E217" s="16" t="inlineStr">
        <is>
          <t>Run plan sequentially</t>
        </is>
      </c>
      <c r="F217" s="16" t="inlineStr">
        <is>
          <t>Plan with 3 steps.</t>
        </is>
      </c>
      <c r="G217" s="16" t="inlineStr">
        <is>
          <t>1. Run.</t>
        </is>
      </c>
      <c r="H217" s="16" t="inlineStr">
        <is>
          <t>—</t>
        </is>
      </c>
      <c r="I217" s="16" t="inlineStr">
        <is>
          <t>Each step runs in order; aggregate progress; per-step pass/fail visible.</t>
        </is>
      </c>
      <c r="J217" s="16" t="inlineStr"/>
      <c r="K217" s="16" t="inlineStr">
        <is>
          <t>Not Run</t>
        </is>
      </c>
      <c r="L217" s="16" t="inlineStr">
        <is>
          <t>High</t>
        </is>
      </c>
      <c r="M217" s="16" t="inlineStr"/>
      <c r="N217" s="16" t="inlineStr"/>
      <c r="O217" s="16" t="inlineStr"/>
    </row>
    <row r="218" ht="78" customHeight="1">
      <c r="A218" s="16" t="inlineStr">
        <is>
          <t>TC-AS-003</t>
        </is>
      </c>
      <c r="B218" s="16" t="inlineStr">
        <is>
          <t>Assertions &amp; Execution Plans</t>
        </is>
      </c>
      <c r="C218" s="16" t="inlineStr">
        <is>
          <t>Plan Run</t>
        </is>
      </c>
      <c r="D218" s="16" t="inlineStr">
        <is>
          <t>Functional</t>
        </is>
      </c>
      <c r="E218" s="16" t="inlineStr">
        <is>
          <t>Disabled step is skipped</t>
        </is>
      </c>
      <c r="F218" s="16" t="inlineStr">
        <is>
          <t>Step 2 disabled.</t>
        </is>
      </c>
      <c r="G218" s="16" t="inlineStr">
        <is>
          <t>1. Run.</t>
        </is>
      </c>
      <c r="H218" s="16" t="inlineStr">
        <is>
          <t>—</t>
        </is>
      </c>
      <c r="I218" s="16" t="inlineStr">
        <is>
          <t>Step 2 marked skipped; 1 and 3 run; skip count separated from pass/fail.</t>
        </is>
      </c>
      <c r="J218" s="16" t="inlineStr"/>
      <c r="K218" s="16" t="inlineStr">
        <is>
          <t>Not Run</t>
        </is>
      </c>
      <c r="L218" s="16" t="inlineStr">
        <is>
          <t>Medium</t>
        </is>
      </c>
      <c r="M218" s="16" t="inlineStr"/>
      <c r="N218" s="16" t="inlineStr"/>
      <c r="O218" s="16" t="inlineStr"/>
    </row>
    <row r="219" ht="78" customHeight="1">
      <c r="A219" s="16" t="inlineStr">
        <is>
          <t>TC-AS-004</t>
        </is>
      </c>
      <c r="B219" s="16" t="inlineStr">
        <is>
          <t>Assertions &amp; Execution Plans</t>
        </is>
      </c>
      <c r="C219" s="16" t="inlineStr">
        <is>
          <t>Plan Run</t>
        </is>
      </c>
      <c r="D219" s="16" t="inlineStr">
        <is>
          <t>Functional</t>
        </is>
      </c>
      <c r="E219" s="16" t="inlineStr">
        <is>
          <t>Stop on first failure</t>
        </is>
      </c>
      <c r="F219" s="16" t="inlineStr">
        <is>
          <t>Option enabled; step 2 fails.</t>
        </is>
      </c>
      <c r="G219" s="16" t="inlineStr">
        <is>
          <t>1. Run.</t>
        </is>
      </c>
      <c r="H219" s="16" t="inlineStr">
        <is>
          <t>—</t>
        </is>
      </c>
      <c r="I219" s="16" t="inlineStr">
        <is>
          <t>Step 1 passes; 2 fails; remaining steps 'not run'; summary reflects.</t>
        </is>
      </c>
      <c r="J219" s="16" t="inlineStr"/>
      <c r="K219" s="16" t="inlineStr">
        <is>
          <t>Not Run</t>
        </is>
      </c>
      <c r="L219" s="16" t="inlineStr">
        <is>
          <t>Medium</t>
        </is>
      </c>
      <c r="M219" s="16" t="inlineStr"/>
      <c r="N219" s="16" t="inlineStr"/>
      <c r="O219" s="16" t="inlineStr"/>
    </row>
    <row r="220" ht="78" customHeight="1">
      <c r="A220" s="16" t="inlineStr">
        <is>
          <t>TC-AS-005</t>
        </is>
      </c>
      <c r="B220" s="16" t="inlineStr">
        <is>
          <t>Assertions &amp; Execution Plans</t>
        </is>
      </c>
      <c r="C220" s="16" t="inlineStr">
        <is>
          <t>Plan Report</t>
        </is>
      </c>
      <c r="D220" s="16" t="inlineStr">
        <is>
          <t>Functional</t>
        </is>
      </c>
      <c r="E220" s="16" t="inlineStr">
        <is>
          <t>Per-step results in panel</t>
        </is>
      </c>
      <c r="F220" s="16" t="inlineStr">
        <is>
          <t>Run completed.</t>
        </is>
      </c>
      <c r="G220" s="16" t="inlineStr">
        <is>
          <t>1. Expand a step.</t>
        </is>
      </c>
      <c r="H220" s="16" t="inlineStr">
        <is>
          <t>—</t>
        </is>
      </c>
      <c r="I220" s="16" t="inlineStr">
        <is>
          <t>Shows request, response, assertion details.</t>
        </is>
      </c>
      <c r="J220" s="16" t="inlineStr"/>
      <c r="K220" s="16" t="inlineStr">
        <is>
          <t>Not Run</t>
        </is>
      </c>
      <c r="L220" s="16" t="inlineStr">
        <is>
          <t>Medium</t>
        </is>
      </c>
      <c r="M220" s="16" t="inlineStr"/>
      <c r="N220" s="16" t="inlineStr"/>
      <c r="O220" s="16" t="inlineStr"/>
    </row>
    <row r="221" ht="78" customHeight="1">
      <c r="A221" s="16" t="inlineStr">
        <is>
          <t>TC-AS-006</t>
        </is>
      </c>
      <c r="B221" s="16" t="inlineStr">
        <is>
          <t>Assertions &amp; Execution Plans</t>
        </is>
      </c>
      <c r="C221" s="16" t="inlineStr">
        <is>
          <t>Plan Reorder</t>
        </is>
      </c>
      <c r="D221" s="16" t="inlineStr">
        <is>
          <t>Functional</t>
        </is>
      </c>
      <c r="E221" s="16" t="inlineStr">
        <is>
          <t>Drag-reorder plan steps</t>
        </is>
      </c>
      <c r="F221" s="16" t="inlineStr">
        <is>
          <t>Plan with 4 steps.</t>
        </is>
      </c>
      <c r="G221" s="16" t="inlineStr">
        <is>
          <t>1. Drag step 4 to position 1.</t>
        </is>
      </c>
      <c r="H221" s="16" t="inlineStr">
        <is>
          <t>—</t>
        </is>
      </c>
      <c r="I221" s="16" t="inlineStr">
        <is>
          <t>Order updates; persists.</t>
        </is>
      </c>
      <c r="J221" s="16" t="inlineStr"/>
      <c r="K221" s="16" t="inlineStr">
        <is>
          <t>Not Run</t>
        </is>
      </c>
      <c r="L221" s="16" t="inlineStr">
        <is>
          <t>Medium</t>
        </is>
      </c>
      <c r="M221" s="16" t="inlineStr"/>
      <c r="N221" s="16" t="inlineStr"/>
      <c r="O221" s="16" t="inlineStr"/>
    </row>
    <row r="222" ht="78" customHeight="1">
      <c r="A222" s="16" t="inlineStr">
        <is>
          <t>TC-AS-007</t>
        </is>
      </c>
      <c r="B222" s="16" t="inlineStr">
        <is>
          <t>Assertions &amp; Execution Plans</t>
        </is>
      </c>
      <c r="C222" s="16" t="inlineStr">
        <is>
          <t>Plan Env</t>
        </is>
      </c>
      <c r="D222" s="16" t="inlineStr">
        <is>
          <t>Functional</t>
        </is>
      </c>
      <c r="E222" s="16" t="inlineStr">
        <is>
          <t>Plan-level env priority override</t>
        </is>
      </c>
      <c r="F222" s="16" t="inlineStr">
        <is>
          <t>Plan with env priority different from workspace default.</t>
        </is>
      </c>
      <c r="G222" s="16" t="inlineStr">
        <is>
          <t>1. Run.</t>
        </is>
      </c>
      <c r="H222" s="16" t="inlineStr">
        <is>
          <t>—</t>
        </is>
      </c>
      <c r="I222" s="16" t="inlineStr">
        <is>
          <t>Variable resolution honors plan's env priority order.</t>
        </is>
      </c>
      <c r="J222" s="16" t="inlineStr"/>
      <c r="K222" s="16" t="inlineStr">
        <is>
          <t>Not Run</t>
        </is>
      </c>
      <c r="L222" s="16" t="inlineStr">
        <is>
          <t>Medium</t>
        </is>
      </c>
      <c r="M222" s="16" t="inlineStr"/>
      <c r="N222" s="16" t="inlineStr"/>
      <c r="O222" s="16" t="inlineStr"/>
    </row>
    <row r="223" ht="78" customHeight="1">
      <c r="A223" s="16" t="inlineStr">
        <is>
          <t>TC-AS-008</t>
        </is>
      </c>
      <c r="B223" s="16" t="inlineStr">
        <is>
          <t>Assertions &amp; Execution Plans</t>
        </is>
      </c>
      <c r="C223" s="16" t="inlineStr">
        <is>
          <t>Plan Loop</t>
        </is>
      </c>
      <c r="D223" s="16" t="inlineStr">
        <is>
          <t>Edge Case</t>
        </is>
      </c>
      <c r="E223" s="16" t="inlineStr">
        <is>
          <t>Plan with same step twice</t>
        </is>
      </c>
      <c r="F223" s="16" t="inlineStr">
        <is>
          <t>Plan adds Request R as steps 1 and 3.</t>
        </is>
      </c>
      <c r="G223" s="16" t="inlineStr">
        <is>
          <t>1. Run.</t>
        </is>
      </c>
      <c r="H223" s="16" t="inlineStr">
        <is>
          <t>—</t>
        </is>
      </c>
      <c r="I223" s="16" t="inlineStr">
        <is>
          <t>Both executions tracked separately; each gets its own run history entry.</t>
        </is>
      </c>
      <c r="J223" s="16" t="inlineStr"/>
      <c r="K223" s="16" t="inlineStr">
        <is>
          <t>Not Run</t>
        </is>
      </c>
      <c r="L223" s="16" t="inlineStr">
        <is>
          <t>Low</t>
        </is>
      </c>
      <c r="M223" s="16" t="inlineStr"/>
      <c r="N223" s="16" t="inlineStr"/>
      <c r="O223" s="16" t="inlineStr"/>
    </row>
    <row r="224" ht="78" customHeight="1">
      <c r="A224" s="16" t="inlineStr">
        <is>
          <t>TC-DC-001</t>
        </is>
      </c>
      <c r="B224" s="16" t="inlineStr">
        <is>
          <t>Documentation Viewer</t>
        </is>
      </c>
      <c r="C224" s="16" t="inlineStr">
        <is>
          <t>Help</t>
        </is>
      </c>
      <c r="D224" s="16" t="inlineStr">
        <is>
          <t>Functional</t>
        </is>
      </c>
      <c r="E224" s="16" t="inlineStr">
        <is>
          <t>Search a topic</t>
        </is>
      </c>
      <c r="F224" s="16" t="inlineStr">
        <is>
          <t>Help panel.</t>
        </is>
      </c>
      <c r="G224" s="16" t="inlineStr">
        <is>
          <t>1. Search 'oauth'.</t>
        </is>
      </c>
      <c r="H224" s="16" t="inlineStr">
        <is>
          <t>—</t>
        </is>
      </c>
      <c r="I224" s="16" t="inlineStr">
        <is>
          <t>Matching topics surface; Markdown content renders.</t>
        </is>
      </c>
      <c r="J224" s="16" t="inlineStr"/>
      <c r="K224" s="16" t="inlineStr">
        <is>
          <t>Not Run</t>
        </is>
      </c>
      <c r="L224" s="16" t="inlineStr">
        <is>
          <t>Medium</t>
        </is>
      </c>
      <c r="M224" s="16" t="inlineStr"/>
      <c r="N224" s="16" t="inlineStr"/>
      <c r="O224" s="16" t="inlineStr"/>
    </row>
    <row r="225" ht="78" customHeight="1">
      <c r="A225" s="16" t="inlineStr">
        <is>
          <t>TC-DC-002</t>
        </is>
      </c>
      <c r="B225" s="16" t="inlineStr">
        <is>
          <t>Documentation Viewer</t>
        </is>
      </c>
      <c r="C225" s="16" t="inlineStr">
        <is>
          <t>Help</t>
        </is>
      </c>
      <c r="D225" s="16" t="inlineStr">
        <is>
          <t>Security</t>
        </is>
      </c>
      <c r="E225" s="16" t="inlineStr">
        <is>
          <t>Markdown sanitized against XSS</t>
        </is>
      </c>
      <c r="F225" s="16" t="inlineStr">
        <is>
          <t>Topic with crafted Markdown injecting &lt;script&gt;.</t>
        </is>
      </c>
      <c r="G225" s="16" t="inlineStr">
        <is>
          <t>1. Open the topic.</t>
        </is>
      </c>
      <c r="H225" s="16" t="inlineStr">
        <is>
          <t>—</t>
        </is>
      </c>
      <c r="I225" s="16" t="inlineStr">
        <is>
          <t>Script tags stripped/escaped; renders as text; no script execution.</t>
        </is>
      </c>
      <c r="J225" s="16" t="inlineStr"/>
      <c r="K225" s="16" t="inlineStr">
        <is>
          <t>Not Run</t>
        </is>
      </c>
      <c r="L225" s="16" t="inlineStr">
        <is>
          <t>High</t>
        </is>
      </c>
      <c r="M225" s="16" t="inlineStr"/>
      <c r="N225" s="16" t="inlineStr"/>
      <c r="O225" s="16" t="inlineStr"/>
    </row>
    <row r="226" ht="78" customHeight="1">
      <c r="A226" s="16" t="inlineStr">
        <is>
          <t>TC-DC-003</t>
        </is>
      </c>
      <c r="B226" s="16" t="inlineStr">
        <is>
          <t>Documentation Viewer</t>
        </is>
      </c>
      <c r="C226" s="16" t="inlineStr">
        <is>
          <t>Request Docs</t>
        </is>
      </c>
      <c r="D226" s="16" t="inlineStr">
        <is>
          <t>Functional</t>
        </is>
      </c>
      <c r="E226" s="16" t="inlineStr">
        <is>
          <t>Request Docs tab renders Markdown</t>
        </is>
      </c>
      <c r="F226" s="16" t="inlineStr">
        <is>
          <t>Request with docs '# Hi\n- bullet'.</t>
        </is>
      </c>
      <c r="G226" s="16" t="inlineStr">
        <is>
          <t>1. Open Docs tab.</t>
        </is>
      </c>
      <c r="H226" s="16" t="inlineStr">
        <is>
          <t>—</t>
        </is>
      </c>
      <c r="I226" s="16" t="inlineStr">
        <is>
          <t>Heading and bullet render with proper HTML.</t>
        </is>
      </c>
      <c r="J226" s="16" t="inlineStr"/>
      <c r="K226" s="16" t="inlineStr">
        <is>
          <t>Not Run</t>
        </is>
      </c>
      <c r="L226" s="16" t="inlineStr">
        <is>
          <t>Medium</t>
        </is>
      </c>
      <c r="M226" s="16" t="inlineStr"/>
      <c r="N226" s="16" t="inlineStr"/>
      <c r="O226" s="16" t="inlineStr"/>
    </row>
    <row r="227" ht="78" customHeight="1">
      <c r="A227" s="16" t="inlineStr">
        <is>
          <t>TC-DC-004</t>
        </is>
      </c>
      <c r="B227" s="16" t="inlineStr">
        <is>
          <t>Documentation Viewer</t>
        </is>
      </c>
      <c r="C227" s="16" t="inlineStr">
        <is>
          <t>External Links</t>
        </is>
      </c>
      <c r="D227" s="16" t="inlineStr">
        <is>
          <t>UX/UI</t>
        </is>
      </c>
      <c r="E227" s="16" t="inlineStr">
        <is>
          <t>External help links open externally</t>
        </is>
      </c>
      <c r="F227" s="16" t="inlineStr">
        <is>
          <t>Help links to https://...</t>
        </is>
      </c>
      <c r="G227" s="16" t="inlineStr">
        <is>
          <t>1. Click an external link.</t>
        </is>
      </c>
      <c r="H227" s="16" t="inlineStr">
        <is>
          <t>—</t>
        </is>
      </c>
      <c r="I227" s="16" t="inlineStr">
        <is>
          <t>Web: opens new tab. Desktop: opens OS browser via shell.openExternal.</t>
        </is>
      </c>
      <c r="J227" s="16" t="inlineStr"/>
      <c r="K227" s="16" t="inlineStr">
        <is>
          <t>Not Run</t>
        </is>
      </c>
      <c r="L227" s="16" t="inlineStr">
        <is>
          <t>Medium</t>
        </is>
      </c>
      <c r="M227" s="16" t="inlineStr"/>
      <c r="N227" s="16" t="inlineStr"/>
      <c r="O227" s="16" t="inlineStr"/>
    </row>
    <row r="228" ht="78" customHeight="1">
      <c r="A228" s="16" t="inlineStr">
        <is>
          <t>TC-SE-001</t>
        </is>
      </c>
      <c r="B228" s="16" t="inlineStr">
        <is>
          <t>Search &amp; Marketplace</t>
        </is>
      </c>
      <c r="C228" s="16" t="inlineStr">
        <is>
          <t>Marketplace</t>
        </is>
      </c>
      <c r="D228" s="16" t="inlineStr">
        <is>
          <t>Functional</t>
        </is>
      </c>
      <c r="E228" s="16" t="inlineStr">
        <is>
          <t>Search returns public workspaces</t>
        </is>
      </c>
      <c r="F228" s="16" t="inlineStr">
        <is>
          <t>Marketplace reachable.</t>
        </is>
      </c>
      <c r="G228" s="16" t="inlineStr">
        <is>
          <t>1. Search 'stripe'.</t>
        </is>
      </c>
      <c r="H228" s="16" t="inlineStr">
        <is>
          <t>—</t>
        </is>
      </c>
      <c r="I228" s="16" t="inlineStr">
        <is>
          <t>Matching public workspaces listed.</t>
        </is>
      </c>
      <c r="J228" s="16" t="inlineStr"/>
      <c r="K228" s="16" t="inlineStr">
        <is>
          <t>Not Run</t>
        </is>
      </c>
      <c r="L228" s="16" t="inlineStr">
        <is>
          <t>Low</t>
        </is>
      </c>
      <c r="M228" s="16" t="inlineStr"/>
      <c r="N228" s="16" t="inlineStr"/>
      <c r="O228" s="16" t="inlineStr"/>
    </row>
    <row r="229" ht="78" customHeight="1">
      <c r="A229" s="16" t="inlineStr">
        <is>
          <t>TC-SE-002</t>
        </is>
      </c>
      <c r="B229" s="16" t="inlineStr">
        <is>
          <t>Search &amp; Marketplace</t>
        </is>
      </c>
      <c r="C229" s="16" t="inlineStr">
        <is>
          <t>Marketplace</t>
        </is>
      </c>
      <c r="D229" s="16" t="inlineStr">
        <is>
          <t>Functional</t>
        </is>
      </c>
      <c r="E229" s="16" t="inlineStr">
        <is>
          <t>Link a public workspace</t>
        </is>
      </c>
      <c r="F229" s="16" t="inlineStr">
        <is>
          <t>Result open.</t>
        </is>
      </c>
      <c r="G229" s="16" t="inlineStr">
        <is>
          <t>1. Add to workspace.</t>
        </is>
      </c>
      <c r="H229" s="16" t="inlineStr">
        <is>
          <t>—</t>
        </is>
      </c>
      <c r="I229" s="16" t="inlineStr">
        <is>
          <t>Linked workspace appears in sidebar; collections become referenceable; consumer overrides allowed.</t>
        </is>
      </c>
      <c r="J229" s="16" t="inlineStr"/>
      <c r="K229" s="16" t="inlineStr">
        <is>
          <t>Not Run</t>
        </is>
      </c>
      <c r="L229" s="16" t="inlineStr">
        <is>
          <t>Medium</t>
        </is>
      </c>
      <c r="M229" s="16" t="inlineStr"/>
      <c r="N229" s="16" t="inlineStr"/>
      <c r="O229" s="16" t="inlineStr"/>
    </row>
    <row r="230" ht="78" customHeight="1">
      <c r="A230" s="16" t="inlineStr">
        <is>
          <t>TC-SE-003</t>
        </is>
      </c>
      <c r="B230" s="16" t="inlineStr">
        <is>
          <t>Search &amp; Marketplace</t>
        </is>
      </c>
      <c r="C230" s="16" t="inlineStr">
        <is>
          <t>Marketplace</t>
        </is>
      </c>
      <c r="D230" s="16" t="inlineStr">
        <is>
          <t>Negative</t>
        </is>
      </c>
      <c r="E230" s="16" t="inlineStr">
        <is>
          <t>Empty marketplace results</t>
        </is>
      </c>
      <c r="F230" s="16" t="inlineStr">
        <is>
          <t>Search for nonexistent term.</t>
        </is>
      </c>
      <c r="G230" s="16" t="inlineStr">
        <is>
          <t>1. Search 'xyzzy'.</t>
        </is>
      </c>
      <c r="H230" s="16" t="inlineStr">
        <is>
          <t>—</t>
        </is>
      </c>
      <c r="I230" s="16" t="inlineStr">
        <is>
          <t>Empty-state message with suggested searches.</t>
        </is>
      </c>
      <c r="J230" s="16" t="inlineStr"/>
      <c r="K230" s="16" t="inlineStr">
        <is>
          <t>Not Run</t>
        </is>
      </c>
      <c r="L230" s="16" t="inlineStr">
        <is>
          <t>Low</t>
        </is>
      </c>
      <c r="M230" s="16" t="inlineStr"/>
      <c r="N230" s="16" t="inlineStr"/>
      <c r="O230" s="16" t="inlineStr"/>
    </row>
    <row r="231" ht="78" customHeight="1">
      <c r="A231" s="16" t="inlineStr">
        <is>
          <t>TC-KB-001</t>
        </is>
      </c>
      <c r="B231" s="16" t="inlineStr">
        <is>
          <t>Keyboard Shortcuts</t>
        </is>
      </c>
      <c r="C231" s="16" t="inlineStr">
        <is>
          <t>Send</t>
        </is>
      </c>
      <c r="D231" s="16" t="inlineStr">
        <is>
          <t>Functional</t>
        </is>
      </c>
      <c r="E231" s="16" t="inlineStr">
        <is>
          <t>Ctrl/Cmd+Enter sends</t>
        </is>
      </c>
      <c r="F231" s="16" t="inlineStr">
        <is>
          <t>Request open.</t>
        </is>
      </c>
      <c r="G231" s="16" t="inlineStr">
        <is>
          <t>1. Anywhere in editor, press shortcut.</t>
        </is>
      </c>
      <c r="H231" s="16" t="inlineStr">
        <is>
          <t>—</t>
        </is>
      </c>
      <c r="I231" s="16" t="inlineStr">
        <is>
          <t>Request sent regardless of focused element.</t>
        </is>
      </c>
      <c r="J231" s="16" t="inlineStr"/>
      <c r="K231" s="16" t="inlineStr">
        <is>
          <t>Not Run</t>
        </is>
      </c>
      <c r="L231" s="16" t="inlineStr">
        <is>
          <t>High</t>
        </is>
      </c>
      <c r="M231" s="16" t="inlineStr"/>
      <c r="N231" s="16" t="inlineStr"/>
      <c r="O231" s="16" t="inlineStr"/>
    </row>
    <row r="232" ht="78" customHeight="1">
      <c r="A232" s="16" t="inlineStr">
        <is>
          <t>TC-KB-002</t>
        </is>
      </c>
      <c r="B232" s="16" t="inlineStr">
        <is>
          <t>Keyboard Shortcuts</t>
        </is>
      </c>
      <c r="C232" s="16" t="inlineStr">
        <is>
          <t>Panels</t>
        </is>
      </c>
      <c r="D232" s="16" t="inlineStr">
        <is>
          <t>Functional</t>
        </is>
      </c>
      <c r="E232" s="16" t="inlineStr">
        <is>
          <t>Ctrl/Cmd+1..9 switches panels</t>
        </is>
      </c>
      <c r="F232" s="16" t="inlineStr">
        <is>
          <t>—</t>
        </is>
      </c>
      <c r="G232" s="16" t="inlineStr">
        <is>
          <t>1. Press 1, 3, 7.</t>
        </is>
      </c>
      <c r="H232" s="16" t="inlineStr">
        <is>
          <t>—</t>
        </is>
      </c>
      <c r="I232" s="16" t="inlineStr">
        <is>
          <t>Panel changes accordingly; while typing in inputs, shortcut is suppressed.</t>
        </is>
      </c>
      <c r="J232" s="16" t="inlineStr"/>
      <c r="K232" s="16" t="inlineStr">
        <is>
          <t>Not Run</t>
        </is>
      </c>
      <c r="L232" s="16" t="inlineStr">
        <is>
          <t>Medium</t>
        </is>
      </c>
      <c r="M232" s="16" t="inlineStr"/>
      <c r="N232" s="16" t="inlineStr"/>
      <c r="O232" s="16" t="inlineStr"/>
    </row>
    <row r="233" ht="78" customHeight="1">
      <c r="A233" s="16" t="inlineStr">
        <is>
          <t>TC-KB-003</t>
        </is>
      </c>
      <c r="B233" s="16" t="inlineStr">
        <is>
          <t>Keyboard Shortcuts</t>
        </is>
      </c>
      <c r="C233" s="16" t="inlineStr">
        <is>
          <t>Vault</t>
        </is>
      </c>
      <c r="D233" s="16" t="inlineStr">
        <is>
          <t>Functional</t>
        </is>
      </c>
      <c r="E233" s="16" t="inlineStr">
        <is>
          <t>Ctrl/Cmd+K opens Vault tab</t>
        </is>
      </c>
      <c r="F233" s="16" t="inlineStr">
        <is>
          <t>Any panel.</t>
        </is>
      </c>
      <c r="G233" s="16" t="inlineStr">
        <is>
          <t>1. Press shortcut.</t>
        </is>
      </c>
      <c r="H233" s="16" t="inlineStr">
        <is>
          <t>—</t>
        </is>
      </c>
      <c r="I233" s="16" t="inlineStr">
        <is>
          <t>Right dock opens Vault.</t>
        </is>
      </c>
      <c r="J233" s="16" t="inlineStr"/>
      <c r="K233" s="16" t="inlineStr">
        <is>
          <t>Not Run</t>
        </is>
      </c>
      <c r="L233" s="16" t="inlineStr">
        <is>
          <t>Low</t>
        </is>
      </c>
      <c r="M233" s="16" t="inlineStr"/>
      <c r="N233" s="16" t="inlineStr"/>
      <c r="O233" s="16" t="inlineStr"/>
    </row>
    <row r="234" ht="78" customHeight="1">
      <c r="A234" s="16" t="inlineStr">
        <is>
          <t>TC-KB-004</t>
        </is>
      </c>
      <c r="B234" s="16" t="inlineStr">
        <is>
          <t>Keyboard Shortcuts</t>
        </is>
      </c>
      <c r="C234" s="16" t="inlineStr">
        <is>
          <t>Refresh</t>
        </is>
      </c>
      <c r="D234" s="16" t="inlineStr">
        <is>
          <t>Functional</t>
        </is>
      </c>
      <c r="E234" s="16" t="inlineStr">
        <is>
          <t>Ctrl/Cmd+Shift+R refreshes workspace</t>
        </is>
      </c>
      <c r="F234" s="16" t="inlineStr">
        <is>
          <t>Linked workspace.</t>
        </is>
      </c>
      <c r="G234" s="16" t="inlineStr">
        <is>
          <t>1. Press shortcut.</t>
        </is>
      </c>
      <c r="H234" s="16" t="inlineStr">
        <is>
          <t>—</t>
        </is>
      </c>
      <c r="I234" s="16" t="inlineStr">
        <is>
          <t>Refresh action runs; does NOT reload the page/window.</t>
        </is>
      </c>
      <c r="J234" s="16" t="inlineStr"/>
      <c r="K234" s="16" t="inlineStr">
        <is>
          <t>Not Run</t>
        </is>
      </c>
      <c r="L234" s="16" t="inlineStr">
        <is>
          <t>Medium</t>
        </is>
      </c>
      <c r="M234" s="16" t="inlineStr"/>
      <c r="N234" s="16" t="inlineStr"/>
      <c r="O234" s="16" t="inlineStr"/>
    </row>
    <row r="235" ht="78" customHeight="1">
      <c r="A235" s="16" t="inlineStr">
        <is>
          <t>TC-KB-005</t>
        </is>
      </c>
      <c r="B235" s="16" t="inlineStr">
        <is>
          <t>Keyboard Shortcuts</t>
        </is>
      </c>
      <c r="C235" s="16" t="inlineStr">
        <is>
          <t>Font Size</t>
        </is>
      </c>
      <c r="D235" s="16" t="inlineStr">
        <is>
          <t>Functional</t>
        </is>
      </c>
      <c r="E235" s="16" t="inlineStr">
        <is>
          <t>Ctrl/Cmd+Shift+= increases UI size</t>
        </is>
      </c>
      <c r="F235" s="16" t="inlineStr">
        <is>
          <t>—</t>
        </is>
      </c>
      <c r="G235" s="16" t="inlineStr">
        <is>
          <t>1. Press 3×.</t>
        </is>
      </c>
      <c r="H235" s="16" t="inlineStr">
        <is>
          <t>—</t>
        </is>
      </c>
      <c r="I235" s="16" t="inlineStr">
        <is>
          <t>UI scales up; reset via Ctrl/Cmd+Shift+0.</t>
        </is>
      </c>
      <c r="J235" s="16" t="inlineStr"/>
      <c r="K235" s="16" t="inlineStr">
        <is>
          <t>Not Run</t>
        </is>
      </c>
      <c r="L235" s="16" t="inlineStr">
        <is>
          <t>Low</t>
        </is>
      </c>
      <c r="M235" s="16" t="inlineStr"/>
      <c r="N235" s="16" t="inlineStr"/>
      <c r="O235" s="16" t="inlineStr"/>
    </row>
    <row r="236" ht="78" customHeight="1">
      <c r="A236" s="16" t="inlineStr">
        <is>
          <t>TC-KB-006</t>
        </is>
      </c>
      <c r="B236" s="16" t="inlineStr">
        <is>
          <t>Keyboard Shortcuts</t>
        </is>
      </c>
      <c r="C236" s="16" t="inlineStr">
        <is>
          <t>New Request</t>
        </is>
      </c>
      <c r="D236" s="16" t="inlineStr">
        <is>
          <t>Functional</t>
        </is>
      </c>
      <c r="E236" s="16" t="inlineStr">
        <is>
          <t>Ctrl/Cmd+N creates new request in Editor</t>
        </is>
      </c>
      <c r="F236" s="16" t="inlineStr">
        <is>
          <t>Editor panel focused.</t>
        </is>
      </c>
      <c r="G236" s="16" t="inlineStr">
        <is>
          <t>1. Press shortcut.</t>
        </is>
      </c>
      <c r="H236" s="16" t="inlineStr">
        <is>
          <t>—</t>
        </is>
      </c>
      <c r="I236" s="16" t="inlineStr">
        <is>
          <t>New request created under selected folder.</t>
        </is>
      </c>
      <c r="J236" s="16" t="inlineStr"/>
      <c r="K236" s="16" t="inlineStr">
        <is>
          <t>Not Run</t>
        </is>
      </c>
      <c r="L236" s="16" t="inlineStr">
        <is>
          <t>Medium</t>
        </is>
      </c>
      <c r="M236" s="16" t="inlineStr"/>
      <c r="N236" s="16" t="inlineStr"/>
      <c r="O236" s="16" t="inlineStr"/>
    </row>
    <row r="237" ht="78" customHeight="1">
      <c r="A237" s="16" t="inlineStr">
        <is>
          <t>TC-KB-007</t>
        </is>
      </c>
      <c r="B237" s="16" t="inlineStr">
        <is>
          <t>Keyboard Shortcuts</t>
        </is>
      </c>
      <c r="C237" s="16" t="inlineStr">
        <is>
          <t>Conflict</t>
        </is>
      </c>
      <c r="D237" s="16" t="inlineStr">
        <is>
          <t>Compatibility</t>
        </is>
      </c>
      <c r="E237" s="16" t="inlineStr">
        <is>
          <t>Ctrl+R reloads browser (not workspace)</t>
        </is>
      </c>
      <c r="F237" s="16" t="inlineStr">
        <is>
          <t>App open.</t>
        </is>
      </c>
      <c r="G237" s="16" t="inlineStr">
        <is>
          <t>1. Press Ctrl/Cmd+R.</t>
        </is>
      </c>
      <c r="H237" s="16" t="inlineStr">
        <is>
          <t>—</t>
        </is>
      </c>
      <c r="I237" s="16" t="inlineStr">
        <is>
          <t>Browser reloads (expected); user uses Ctrl+Shift+R for workspace refresh — clearly documented.</t>
        </is>
      </c>
      <c r="J237" s="16" t="inlineStr"/>
      <c r="K237" s="16" t="inlineStr">
        <is>
          <t>Not Run</t>
        </is>
      </c>
      <c r="L237" s="16" t="inlineStr">
        <is>
          <t>Medium</t>
        </is>
      </c>
      <c r="M237" s="16" t="inlineStr"/>
      <c r="N237" s="16" t="inlineStr"/>
      <c r="O237" s="16" t="inlineStr"/>
    </row>
    <row r="238" ht="78" customHeight="1">
      <c r="A238" s="16" t="inlineStr">
        <is>
          <t>TC-KB-008</t>
        </is>
      </c>
      <c r="B238" s="16" t="inlineStr">
        <is>
          <t>Keyboard Shortcuts</t>
        </is>
      </c>
      <c r="C238" s="16" t="inlineStr">
        <is>
          <t>Conflict</t>
        </is>
      </c>
      <c r="D238" s="16" t="inlineStr">
        <is>
          <t>Compatibility</t>
        </is>
      </c>
      <c r="E238" s="16" t="inlineStr">
        <is>
          <t>Ctrl+W closes tab (browser default)</t>
        </is>
      </c>
      <c r="F238" s="16" t="inlineStr">
        <is>
          <t>App open.</t>
        </is>
      </c>
      <c r="G238" s="16" t="inlineStr">
        <is>
          <t>1. Press Ctrl/Cmd+W.</t>
        </is>
      </c>
      <c r="H238" s="16" t="inlineStr">
        <is>
          <t>—</t>
        </is>
      </c>
      <c r="I238" s="16" t="inlineStr">
        <is>
          <t>Browser closes the tab; user warned about unsaved changes (if any) per browser/extension behavior.</t>
        </is>
      </c>
      <c r="J238" s="16" t="inlineStr"/>
      <c r="K238" s="16" t="inlineStr">
        <is>
          <t>Not Run</t>
        </is>
      </c>
      <c r="L238" s="16" t="inlineStr">
        <is>
          <t>Medium</t>
        </is>
      </c>
      <c r="M238" s="16" t="inlineStr"/>
      <c r="N238" s="16" t="inlineStr"/>
      <c r="O238" s="16" t="inlineStr"/>
    </row>
    <row r="239" ht="78" customHeight="1">
      <c r="A239" s="16" t="inlineStr">
        <is>
          <t>TC-KB-009</t>
        </is>
      </c>
      <c r="B239" s="16" t="inlineStr">
        <is>
          <t>Keyboard Shortcuts</t>
        </is>
      </c>
      <c r="C239" s="16" t="inlineStr">
        <is>
          <t>Conflict</t>
        </is>
      </c>
      <c r="D239" s="16" t="inlineStr">
        <is>
          <t>Compatibility</t>
        </is>
      </c>
      <c r="E239" s="16" t="inlineStr">
        <is>
          <t>Ctrl+F opens browser Find</t>
        </is>
      </c>
      <c r="F239" s="16" t="inlineStr">
        <is>
          <t>App open.</t>
        </is>
      </c>
      <c r="G239" s="16" t="inlineStr">
        <is>
          <t>1. Press Ctrl/Cmd+F.</t>
        </is>
      </c>
      <c r="H239" s="16" t="inlineStr">
        <is>
          <t>—</t>
        </is>
      </c>
      <c r="I239" s="16" t="inlineStr">
        <is>
          <t>Browser-native Find bar opens; in-app search uses its own shortcut (documented).</t>
        </is>
      </c>
      <c r="J239" s="16" t="inlineStr"/>
      <c r="K239" s="16" t="inlineStr">
        <is>
          <t>Not Run</t>
        </is>
      </c>
      <c r="L239" s="16" t="inlineStr">
        <is>
          <t>Low</t>
        </is>
      </c>
      <c r="M239" s="16" t="inlineStr"/>
      <c r="N239" s="16" t="inlineStr"/>
      <c r="O239" s="16" t="inlineStr"/>
    </row>
    <row r="240" ht="78" customHeight="1">
      <c r="A240" s="16" t="inlineStr">
        <is>
          <t>TC-KB-010</t>
        </is>
      </c>
      <c r="B240" s="16" t="inlineStr">
        <is>
          <t>Keyboard Shortcuts</t>
        </is>
      </c>
      <c r="C240" s="16" t="inlineStr">
        <is>
          <t>Conflict</t>
        </is>
      </c>
      <c r="D240" s="16" t="inlineStr">
        <is>
          <t>Compatibility</t>
        </is>
      </c>
      <c r="E240" s="16" t="inlineStr">
        <is>
          <t>Ctrl+P opens browser Print</t>
        </is>
      </c>
      <c r="F240" s="16" t="inlineStr">
        <is>
          <t>App open.</t>
        </is>
      </c>
      <c r="G240" s="16" t="inlineStr">
        <is>
          <t>1. Press Ctrl/Cmd+P.</t>
        </is>
      </c>
      <c r="H240" s="16" t="inlineStr">
        <is>
          <t>—</t>
        </is>
      </c>
      <c r="I240" s="16" t="inlineStr">
        <is>
          <t>Browser Print dialog opens (does not break app); user may need to dismiss to return.</t>
        </is>
      </c>
      <c r="J240" s="16" t="inlineStr"/>
      <c r="K240" s="16" t="inlineStr">
        <is>
          <t>Not Run</t>
        </is>
      </c>
      <c r="L240" s="16" t="inlineStr">
        <is>
          <t>Low</t>
        </is>
      </c>
      <c r="M240" s="16" t="inlineStr"/>
      <c r="N240" s="16" t="inlineStr"/>
      <c r="O240" s="16" t="inlineStr"/>
    </row>
    <row r="241" ht="78" customHeight="1">
      <c r="A241" s="16" t="inlineStr">
        <is>
          <t>TC-AL-001</t>
        </is>
      </c>
      <c r="B241" s="16" t="inlineStr">
        <is>
          <t>Accessibility</t>
        </is>
      </c>
      <c r="C241" s="16" t="inlineStr">
        <is>
          <t>Tab Order</t>
        </is>
      </c>
      <c r="D241" s="16" t="inlineStr">
        <is>
          <t>A11y</t>
        </is>
      </c>
      <c r="E241" s="16" t="inlineStr">
        <is>
          <t>Tab order is logical</t>
        </is>
      </c>
      <c r="F241" s="16" t="inlineStr">
        <is>
          <t>Editor open.</t>
        </is>
      </c>
      <c r="G241" s="16" t="inlineStr">
        <is>
          <t>1. Tab through controls.</t>
        </is>
      </c>
      <c r="H241" s="16" t="inlineStr">
        <is>
          <t>—</t>
        </is>
      </c>
      <c r="I241" s="16" t="inlineStr">
        <is>
          <t>Focus moves Method → URL → Send → sub-tabs → editor surfaces; no focus traps.</t>
        </is>
      </c>
      <c r="J241" s="16" t="inlineStr"/>
      <c r="K241" s="16" t="inlineStr">
        <is>
          <t>Not Run</t>
        </is>
      </c>
      <c r="L241" s="16" t="inlineStr">
        <is>
          <t>High</t>
        </is>
      </c>
      <c r="M241" s="16" t="inlineStr"/>
      <c r="N241" s="16" t="inlineStr"/>
      <c r="O241" s="16" t="inlineStr"/>
    </row>
    <row r="242" ht="78" customHeight="1">
      <c r="A242" s="16" t="inlineStr">
        <is>
          <t>TC-AL-002</t>
        </is>
      </c>
      <c r="B242" s="16" t="inlineStr">
        <is>
          <t>Accessibility</t>
        </is>
      </c>
      <c r="C242" s="16" t="inlineStr">
        <is>
          <t>Focus Ring</t>
        </is>
      </c>
      <c r="D242" s="16" t="inlineStr">
        <is>
          <t>A11y</t>
        </is>
      </c>
      <c r="E242" s="16" t="inlineStr">
        <is>
          <t>Visible focus indicator on all interactive elements</t>
        </is>
      </c>
      <c r="F242" s="16" t="inlineStr">
        <is>
          <t>—</t>
        </is>
      </c>
      <c r="G242" s="16" t="inlineStr">
        <is>
          <t>1. Tab to each.</t>
        </is>
      </c>
      <c r="H242" s="16" t="inlineStr">
        <is>
          <t>—</t>
        </is>
      </c>
      <c r="I242" s="16" t="inlineStr">
        <is>
          <t>Focus ring (var(--purple)) clearly visible; ≥3:1 contrast with background.</t>
        </is>
      </c>
      <c r="J242" s="16" t="inlineStr"/>
      <c r="K242" s="16" t="inlineStr">
        <is>
          <t>Not Run</t>
        </is>
      </c>
      <c r="L242" s="16" t="inlineStr">
        <is>
          <t>High</t>
        </is>
      </c>
      <c r="M242" s="16" t="inlineStr"/>
      <c r="N242" s="16" t="inlineStr"/>
      <c r="O242" s="16" t="inlineStr"/>
    </row>
    <row r="243" ht="78" customHeight="1">
      <c r="A243" s="16" t="inlineStr">
        <is>
          <t>TC-AL-003</t>
        </is>
      </c>
      <c r="B243" s="16" t="inlineStr">
        <is>
          <t>Accessibility</t>
        </is>
      </c>
      <c r="C243" s="16" t="inlineStr">
        <is>
          <t>Screen Reader</t>
        </is>
      </c>
      <c r="D243" s="16" t="inlineStr">
        <is>
          <t>A11y</t>
        </is>
      </c>
      <c r="E243" s="16" t="inlineStr">
        <is>
          <t>Buttons announce purpose</t>
        </is>
      </c>
      <c r="F243" s="16" t="inlineStr">
        <is>
          <t>Screen reader on.</t>
        </is>
      </c>
      <c r="G243" s="16" t="inlineStr">
        <is>
          <t>1. Audit Send/Save/Delete buttons.</t>
        </is>
      </c>
      <c r="H243" s="16" t="inlineStr">
        <is>
          <t>—</t>
        </is>
      </c>
      <c r="I243" s="16" t="inlineStr">
        <is>
          <t>Each announces clearly; state changes (e.g., 'Sending…') are announced.</t>
        </is>
      </c>
      <c r="J243" s="16" t="inlineStr"/>
      <c r="K243" s="16" t="inlineStr">
        <is>
          <t>Not Run</t>
        </is>
      </c>
      <c r="L243" s="16" t="inlineStr">
        <is>
          <t>Medium</t>
        </is>
      </c>
      <c r="M243" s="16" t="inlineStr"/>
      <c r="N243" s="16" t="inlineStr"/>
      <c r="O243" s="16" t="inlineStr"/>
    </row>
    <row r="244" ht="78" customHeight="1">
      <c r="A244" s="16" t="inlineStr">
        <is>
          <t>TC-AL-004</t>
        </is>
      </c>
      <c r="B244" s="16" t="inlineStr">
        <is>
          <t>Accessibility</t>
        </is>
      </c>
      <c r="C244" s="16" t="inlineStr">
        <is>
          <t>Color Independence</t>
        </is>
      </c>
      <c r="D244" s="16" t="inlineStr">
        <is>
          <t>A11y</t>
        </is>
      </c>
      <c r="E244" s="16" t="inlineStr">
        <is>
          <t>Status not conveyed by color alone</t>
        </is>
      </c>
      <c r="F244" s="16" t="inlineStr">
        <is>
          <t>Test results mixed pass/fail.</t>
        </is>
      </c>
      <c r="G244" s="16" t="inlineStr">
        <is>
          <t>1. Inspect Tests panel.</t>
        </is>
      </c>
      <c r="H244" s="16" t="inlineStr">
        <is>
          <t>—</t>
        </is>
      </c>
      <c r="I244" s="16" t="inlineStr">
        <is>
          <t>Pass/Fail conveyed by icon AND color; readable for color-blind users.</t>
        </is>
      </c>
      <c r="J244" s="16" t="inlineStr"/>
      <c r="K244" s="16" t="inlineStr">
        <is>
          <t>Not Run</t>
        </is>
      </c>
      <c r="L244" s="16" t="inlineStr">
        <is>
          <t>Medium</t>
        </is>
      </c>
      <c r="M244" s="16" t="inlineStr"/>
      <c r="N244" s="16" t="inlineStr"/>
      <c r="O244" s="16" t="inlineStr"/>
    </row>
    <row r="245" ht="78" customHeight="1">
      <c r="A245" s="16" t="inlineStr">
        <is>
          <t>TC-AL-005</t>
        </is>
      </c>
      <c r="B245" s="16" t="inlineStr">
        <is>
          <t>Accessibility</t>
        </is>
      </c>
      <c r="C245" s="16" t="inlineStr">
        <is>
          <t>Reduced Motion</t>
        </is>
      </c>
      <c r="D245" s="16" t="inlineStr">
        <is>
          <t>A11y</t>
        </is>
      </c>
      <c r="E245" s="16" t="inlineStr">
        <is>
          <t>Respects prefers-reduced-motion</t>
        </is>
      </c>
      <c r="F245" s="16" t="inlineStr">
        <is>
          <t>OS setting on.</t>
        </is>
      </c>
      <c r="G245" s="16" t="inlineStr">
        <is>
          <t>1. Trigger panel slide-in / toast animations.</t>
        </is>
      </c>
      <c r="H245" s="16" t="inlineStr">
        <is>
          <t>—</t>
        </is>
      </c>
      <c r="I245" s="16" t="inlineStr">
        <is>
          <t>Animations are reduced or removed; functionality preserved.</t>
        </is>
      </c>
      <c r="J245" s="16" t="inlineStr"/>
      <c r="K245" s="16" t="inlineStr">
        <is>
          <t>Not Run</t>
        </is>
      </c>
      <c r="L245" s="16" t="inlineStr">
        <is>
          <t>Low</t>
        </is>
      </c>
      <c r="M245" s="16" t="inlineStr"/>
      <c r="N245" s="16" t="inlineStr"/>
      <c r="O245" s="16" t="inlineStr"/>
    </row>
    <row r="246" ht="78" customHeight="1">
      <c r="A246" s="16" t="inlineStr">
        <is>
          <t>TC-AL-006</t>
        </is>
      </c>
      <c r="B246" s="16" t="inlineStr">
        <is>
          <t>Accessibility</t>
        </is>
      </c>
      <c r="C246" s="16" t="inlineStr">
        <is>
          <t>Keyboard Only</t>
        </is>
      </c>
      <c r="D246" s="16" t="inlineStr">
        <is>
          <t>A11y</t>
        </is>
      </c>
      <c r="E246" s="16" t="inlineStr">
        <is>
          <t>Full app navigable without mouse</t>
        </is>
      </c>
      <c r="F246" s="16" t="inlineStr">
        <is>
          <t>No mouse.</t>
        </is>
      </c>
      <c r="G246" s="16" t="inlineStr">
        <is>
          <t>1. Create workspace, add request, set body, send.</t>
        </is>
      </c>
      <c r="H246" s="16" t="inlineStr">
        <is>
          <t>—</t>
        </is>
      </c>
      <c r="I246" s="16" t="inlineStr">
        <is>
          <t>All flows reachable via keyboard; no mouse-only actions.</t>
        </is>
      </c>
      <c r="J246" s="16" t="inlineStr"/>
      <c r="K246" s="16" t="inlineStr">
        <is>
          <t>Not Run</t>
        </is>
      </c>
      <c r="L246" s="16" t="inlineStr">
        <is>
          <t>High</t>
        </is>
      </c>
      <c r="M246" s="16" t="inlineStr"/>
      <c r="N246" s="16" t="inlineStr"/>
      <c r="O246" s="16" t="inlineStr"/>
    </row>
    <row r="247" ht="78" customHeight="1">
      <c r="A247" s="16" t="inlineStr">
        <is>
          <t>TC-AL-007</t>
        </is>
      </c>
      <c r="B247" s="16" t="inlineStr">
        <is>
          <t>Accessibility</t>
        </is>
      </c>
      <c r="C247" s="16" t="inlineStr">
        <is>
          <t>ARIA</t>
        </is>
      </c>
      <c r="D247" s="16" t="inlineStr">
        <is>
          <t>A11y</t>
        </is>
      </c>
      <c r="E247" s="16" t="inlineStr">
        <is>
          <t>ARIA roles match semantics</t>
        </is>
      </c>
      <c r="F247" s="16" t="inlineStr">
        <is>
          <t>—</t>
        </is>
      </c>
      <c r="G247" s="16" t="inlineStr">
        <is>
          <t>1. Inspect with a11y devtools.</t>
        </is>
      </c>
      <c r="H247" s="16" t="inlineStr">
        <is>
          <t>—</t>
        </is>
      </c>
      <c r="I247" s="16" t="inlineStr">
        <is>
          <t>Roles align with usage (role='button', 'navigation', 'region'); no incorrect roles.</t>
        </is>
      </c>
      <c r="J247" s="16" t="inlineStr"/>
      <c r="K247" s="16" t="inlineStr">
        <is>
          <t>Not Run</t>
        </is>
      </c>
      <c r="L247" s="16" t="inlineStr">
        <is>
          <t>Medium</t>
        </is>
      </c>
      <c r="M247" s="16" t="inlineStr"/>
      <c r="N247" s="16" t="inlineStr"/>
      <c r="O247" s="16" t="inlineStr"/>
    </row>
    <row r="248" ht="78" customHeight="1">
      <c r="A248" s="16" t="inlineStr">
        <is>
          <t>TC-AL-008</t>
        </is>
      </c>
      <c r="B248" s="16" t="inlineStr">
        <is>
          <t>Accessibility</t>
        </is>
      </c>
      <c r="C248" s="16" t="inlineStr">
        <is>
          <t>Contrast</t>
        </is>
      </c>
      <c r="D248" s="16" t="inlineStr">
        <is>
          <t>A11y</t>
        </is>
      </c>
      <c r="E248" s="16" t="inlineStr">
        <is>
          <t>Default theme meets WCAG AA contrast</t>
        </is>
      </c>
      <c r="F248" s="16" t="inlineStr">
        <is>
          <t>Default theme.</t>
        </is>
      </c>
      <c r="G248" s="16" t="inlineStr">
        <is>
          <t>1. Run contrast checker.</t>
        </is>
      </c>
      <c r="H248" s="16" t="inlineStr">
        <is>
          <t>—</t>
        </is>
      </c>
      <c r="I248" s="16" t="inlineStr">
        <is>
          <t>All text/UI passes AA; AAA where critical (forms, errors).</t>
        </is>
      </c>
      <c r="J248" s="16" t="inlineStr"/>
      <c r="K248" s="16" t="inlineStr">
        <is>
          <t>Not Run</t>
        </is>
      </c>
      <c r="L248" s="16" t="inlineStr">
        <is>
          <t>Medium</t>
        </is>
      </c>
      <c r="M248" s="16" t="inlineStr"/>
      <c r="N248" s="16" t="inlineStr"/>
      <c r="O248" s="16" t="inlineStr"/>
    </row>
    <row r="249" ht="78" customHeight="1">
      <c r="A249" s="16" t="inlineStr">
        <is>
          <t>TC-NW-001</t>
        </is>
      </c>
      <c r="B249" s="16" t="inlineStr">
        <is>
          <t>Network Conditions</t>
        </is>
      </c>
      <c r="C249" s="16" t="inlineStr">
        <is>
          <t>Timeout</t>
        </is>
      </c>
      <c r="D249" s="16" t="inlineStr">
        <is>
          <t>Negative</t>
        </is>
      </c>
      <c r="E249" s="16" t="inlineStr">
        <is>
          <t>Default request timeout</t>
        </is>
      </c>
      <c r="F249" s="16" t="inlineStr">
        <is>
          <t>Endpoint that never responds.</t>
        </is>
      </c>
      <c r="G249" s="16" t="inlineStr">
        <is>
          <t>1. Send.</t>
        </is>
      </c>
      <c r="H249" s="16" t="inlineStr">
        <is>
          <t>—</t>
        </is>
      </c>
      <c r="I249" s="16" t="inlineStr">
        <is>
          <t>After timeout (e.g., 30s), error 'Request timeout'; not silent hang.</t>
        </is>
      </c>
      <c r="J249" s="16" t="inlineStr"/>
      <c r="K249" s="16" t="inlineStr">
        <is>
          <t>Not Run</t>
        </is>
      </c>
      <c r="L249" s="16" t="inlineStr">
        <is>
          <t>High</t>
        </is>
      </c>
      <c r="M249" s="16" t="inlineStr"/>
      <c r="N249" s="16" t="inlineStr"/>
      <c r="O249" s="16" t="inlineStr"/>
    </row>
    <row r="250" ht="78" customHeight="1">
      <c r="A250" s="16" t="inlineStr">
        <is>
          <t>TC-NW-002</t>
        </is>
      </c>
      <c r="B250" s="16" t="inlineStr">
        <is>
          <t>Network Conditions</t>
        </is>
      </c>
      <c r="C250" s="16" t="inlineStr">
        <is>
          <t>Slow</t>
        </is>
      </c>
      <c r="D250" s="16" t="inlineStr">
        <is>
          <t>Edge Case</t>
        </is>
      </c>
      <c r="E250" s="16" t="inlineStr">
        <is>
          <t>Slow response (10s)</t>
        </is>
      </c>
      <c r="F250" s="16" t="inlineStr">
        <is>
          <t>Endpoint with 10s delay.</t>
        </is>
      </c>
      <c r="G250" s="16" t="inlineStr">
        <is>
          <t>1. Send.</t>
        </is>
      </c>
      <c r="H250" s="16" t="inlineStr">
        <is>
          <t>—</t>
        </is>
      </c>
      <c r="I250" s="16" t="inlineStr">
        <is>
          <t>Spinner remains active; response renders correctly when received.</t>
        </is>
      </c>
      <c r="J250" s="16" t="inlineStr"/>
      <c r="K250" s="16" t="inlineStr">
        <is>
          <t>Not Run</t>
        </is>
      </c>
      <c r="L250" s="16" t="inlineStr">
        <is>
          <t>Medium</t>
        </is>
      </c>
      <c r="M250" s="16" t="inlineStr"/>
      <c r="N250" s="16" t="inlineStr"/>
      <c r="O250" s="16" t="inlineStr"/>
    </row>
    <row r="251" ht="78" customHeight="1">
      <c r="A251" s="16" t="inlineStr">
        <is>
          <t>TC-NW-003</t>
        </is>
      </c>
      <c r="B251" s="16" t="inlineStr">
        <is>
          <t>Network Conditions</t>
        </is>
      </c>
      <c r="C251" s="16" t="inlineStr">
        <is>
          <t>DNS</t>
        </is>
      </c>
      <c r="D251" s="16" t="inlineStr">
        <is>
          <t>Negative</t>
        </is>
      </c>
      <c r="E251" s="16" t="inlineStr">
        <is>
          <t>Unresolvable hostname</t>
        </is>
      </c>
      <c r="F251" s="16" t="inlineStr">
        <is>
          <t>—</t>
        </is>
      </c>
      <c r="G251" s="16" t="inlineStr">
        <is>
          <t>1. Send to 'https://this-does-not-resolve.example'.</t>
        </is>
      </c>
      <c r="H251" s="16" t="inlineStr">
        <is>
          <t>—</t>
        </is>
      </c>
      <c r="I251" s="16" t="inlineStr">
        <is>
          <t>Clear error 'DNS resolution failed'; user offered guidance.</t>
        </is>
      </c>
      <c r="J251" s="16" t="inlineStr"/>
      <c r="K251" s="16" t="inlineStr">
        <is>
          <t>Not Run</t>
        </is>
      </c>
      <c r="L251" s="16" t="inlineStr">
        <is>
          <t>Medium</t>
        </is>
      </c>
      <c r="M251" s="16" t="inlineStr"/>
      <c r="N251" s="16" t="inlineStr"/>
      <c r="O251" s="16" t="inlineStr"/>
    </row>
    <row r="252" ht="78" customHeight="1">
      <c r="A252" s="16" t="inlineStr">
        <is>
          <t>TC-NW-004</t>
        </is>
      </c>
      <c r="B252" s="16" t="inlineStr">
        <is>
          <t>Network Conditions</t>
        </is>
      </c>
      <c r="C252" s="16" t="inlineStr">
        <is>
          <t>Connection</t>
        </is>
      </c>
      <c r="D252" s="16" t="inlineStr">
        <is>
          <t>Negative</t>
        </is>
      </c>
      <c r="E252" s="16" t="inlineStr">
        <is>
          <t>Connection refused</t>
        </is>
      </c>
      <c r="F252" s="16" t="inlineStr">
        <is>
          <t>Local port not listening.</t>
        </is>
      </c>
      <c r="G252" s="16" t="inlineStr">
        <is>
          <t>1. Send to http://localhost:9999.</t>
        </is>
      </c>
      <c r="H252" s="16" t="inlineStr">
        <is>
          <t>—</t>
        </is>
      </c>
      <c r="I252" s="16" t="inlineStr">
        <is>
          <t>Clear error 'Connection refused'.</t>
        </is>
      </c>
      <c r="J252" s="16" t="inlineStr"/>
      <c r="K252" s="16" t="inlineStr">
        <is>
          <t>Not Run</t>
        </is>
      </c>
      <c r="L252" s="16" t="inlineStr">
        <is>
          <t>Medium</t>
        </is>
      </c>
      <c r="M252" s="16" t="inlineStr"/>
      <c r="N252" s="16" t="inlineStr"/>
      <c r="O252" s="16" t="inlineStr"/>
    </row>
    <row r="253" ht="78" customHeight="1">
      <c r="A253" s="16" t="inlineStr">
        <is>
          <t>TC-NW-005</t>
        </is>
      </c>
      <c r="B253" s="16" t="inlineStr">
        <is>
          <t>Network Conditions</t>
        </is>
      </c>
      <c r="C253" s="16" t="inlineStr">
        <is>
          <t>TLS</t>
        </is>
      </c>
      <c r="D253" s="16" t="inlineStr">
        <is>
          <t>Negative</t>
        </is>
      </c>
      <c r="E253" s="16" t="inlineStr">
        <is>
          <t>Self-signed TLS certificate</t>
        </is>
      </c>
      <c r="F253" s="16" t="inlineStr">
        <is>
          <t>Endpoint with self-signed cert.</t>
        </is>
      </c>
      <c r="G253" s="16" t="inlineStr">
        <is>
          <t>1. Send.</t>
        </is>
      </c>
      <c r="H253" s="16" t="inlineStr">
        <is>
          <t>—</t>
        </is>
      </c>
      <c r="I253" s="16" t="inlineStr">
        <is>
          <t>Error reported with cert details; option to allow once (if implemented) or guidance.</t>
        </is>
      </c>
      <c r="J253" s="16" t="inlineStr"/>
      <c r="K253" s="16" t="inlineStr">
        <is>
          <t>Not Run</t>
        </is>
      </c>
      <c r="L253" s="16" t="inlineStr">
        <is>
          <t>Medium</t>
        </is>
      </c>
      <c r="M253" s="16" t="inlineStr"/>
      <c r="N253" s="16" t="inlineStr"/>
      <c r="O253" s="16" t="inlineStr"/>
    </row>
    <row r="254" ht="78" customHeight="1">
      <c r="A254" s="16" t="inlineStr">
        <is>
          <t>TC-NW-006</t>
        </is>
      </c>
      <c r="B254" s="16" t="inlineStr">
        <is>
          <t>Network Conditions</t>
        </is>
      </c>
      <c r="C254" s="16" t="inlineStr">
        <is>
          <t>Redirect</t>
        </is>
      </c>
      <c r="D254" s="16" t="inlineStr">
        <is>
          <t>Functional</t>
        </is>
      </c>
      <c r="E254" s="16" t="inlineStr">
        <is>
          <t>HTTP 302 followed transparently</t>
        </is>
      </c>
      <c r="F254" s="16" t="inlineStr">
        <is>
          <t>Endpoint that 302→200.</t>
        </is>
      </c>
      <c r="G254" s="16" t="inlineStr">
        <is>
          <t>1. Send.</t>
        </is>
      </c>
      <c r="H254" s="16" t="inlineStr">
        <is>
          <t>—</t>
        </is>
      </c>
      <c r="I254" s="16" t="inlineStr">
        <is>
          <t>Final 200 response shown; redirect chain optionally inspectable.</t>
        </is>
      </c>
      <c r="J254" s="16" t="inlineStr"/>
      <c r="K254" s="16" t="inlineStr">
        <is>
          <t>Not Run</t>
        </is>
      </c>
      <c r="L254" s="16" t="inlineStr">
        <is>
          <t>Medium</t>
        </is>
      </c>
      <c r="M254" s="16" t="inlineStr"/>
      <c r="N254" s="16" t="inlineStr"/>
      <c r="O254" s="16" t="inlineStr"/>
    </row>
    <row r="255" ht="78" customHeight="1">
      <c r="A255" s="16" t="inlineStr">
        <is>
          <t>TC-NW-007</t>
        </is>
      </c>
      <c r="B255" s="16" t="inlineStr">
        <is>
          <t>Network Conditions</t>
        </is>
      </c>
      <c r="C255" s="16" t="inlineStr">
        <is>
          <t>Redirect</t>
        </is>
      </c>
      <c r="D255" s="16" t="inlineStr">
        <is>
          <t>Edge Case</t>
        </is>
      </c>
      <c r="E255" s="16" t="inlineStr">
        <is>
          <t>Redirect loop terminated</t>
        </is>
      </c>
      <c r="F255" s="16" t="inlineStr">
        <is>
          <t>Endpoint loops 301→301.</t>
        </is>
      </c>
      <c r="G255" s="16" t="inlineStr">
        <is>
          <t>1. Send.</t>
        </is>
      </c>
      <c r="H255" s="16" t="inlineStr">
        <is>
          <t>—</t>
        </is>
      </c>
      <c r="I255" s="16" t="inlineStr">
        <is>
          <t>Loop detected; error after N redirects.</t>
        </is>
      </c>
      <c r="J255" s="16" t="inlineStr"/>
      <c r="K255" s="16" t="inlineStr">
        <is>
          <t>Not Run</t>
        </is>
      </c>
      <c r="L255" s="16" t="inlineStr">
        <is>
          <t>Low</t>
        </is>
      </c>
      <c r="M255" s="16" t="inlineStr"/>
      <c r="N255" s="16" t="inlineStr"/>
      <c r="O255" s="16" t="inlineStr"/>
    </row>
    <row r="256" ht="78" customHeight="1">
      <c r="A256" s="16" t="inlineStr">
        <is>
          <t>TC-NW-008</t>
        </is>
      </c>
      <c r="B256" s="16" t="inlineStr">
        <is>
          <t>Network Conditions</t>
        </is>
      </c>
      <c r="C256" s="16" t="inlineStr">
        <is>
          <t>Streaming</t>
        </is>
      </c>
      <c r="D256" s="16" t="inlineStr">
        <is>
          <t>Functional</t>
        </is>
      </c>
      <c r="E256" s="16" t="inlineStr">
        <is>
          <t>Chunked response streamed</t>
        </is>
      </c>
      <c r="F256" s="16" t="inlineStr">
        <is>
          <t>Endpoint sends chunked transfer-encoding.</t>
        </is>
      </c>
      <c r="G256" s="16" t="inlineStr">
        <is>
          <t>1. Send.</t>
        </is>
      </c>
      <c r="H256" s="16" t="inlineStr">
        <is>
          <t>—</t>
        </is>
      </c>
      <c r="I256" s="16" t="inlineStr">
        <is>
          <t>Body appears progressively or after full receive; size reported correctly.</t>
        </is>
      </c>
      <c r="J256" s="16" t="inlineStr"/>
      <c r="K256" s="16" t="inlineStr">
        <is>
          <t>Not Run</t>
        </is>
      </c>
      <c r="L256" s="16" t="inlineStr">
        <is>
          <t>Low</t>
        </is>
      </c>
      <c r="M256" s="16" t="inlineStr"/>
      <c r="N256" s="16" t="inlineStr"/>
      <c r="O256" s="16" t="inlineStr"/>
    </row>
    <row r="257" ht="78" customHeight="1">
      <c r="A257" s="16" t="inlineStr">
        <is>
          <t>TC-NW-009</t>
        </is>
      </c>
      <c r="B257" s="16" t="inlineStr">
        <is>
          <t>Network Conditions</t>
        </is>
      </c>
      <c r="C257" s="16" t="inlineStr">
        <is>
          <t>CORS Preflight</t>
        </is>
      </c>
      <c r="D257" s="16" t="inlineStr">
        <is>
          <t>Functional</t>
        </is>
      </c>
      <c r="E257" s="16" t="inlineStr">
        <is>
          <t>Preflight OPTIONS handled by browser</t>
        </is>
      </c>
      <c r="F257" s="16" t="inlineStr">
        <is>
          <t>Endpoint requiring CORS.</t>
        </is>
      </c>
      <c r="G257" s="16" t="inlineStr">
        <is>
          <t>1. Send POST with custom header.</t>
        </is>
      </c>
      <c r="H257" s="16" t="inlineStr">
        <is>
          <t>—</t>
        </is>
      </c>
      <c r="I257" s="16" t="inlineStr">
        <is>
          <t>Browser sends OPTIONS first; if allowed, real request goes through; otherwise CORS error in response panel.</t>
        </is>
      </c>
      <c r="J257" s="16" t="inlineStr"/>
      <c r="K257" s="16" t="inlineStr">
        <is>
          <t>Not Run</t>
        </is>
      </c>
      <c r="L257" s="16" t="inlineStr">
        <is>
          <t>Medium</t>
        </is>
      </c>
      <c r="M257" s="16" t="inlineStr"/>
      <c r="N257" s="16" t="inlineStr"/>
      <c r="O257" s="16" t="inlineStr"/>
    </row>
    <row r="258" ht="78" customHeight="1">
      <c r="A258" s="16" t="inlineStr">
        <is>
          <t>TC-NW-010</t>
        </is>
      </c>
      <c r="B258" s="16" t="inlineStr">
        <is>
          <t>Network Conditions</t>
        </is>
      </c>
      <c r="C258" s="16" t="inlineStr">
        <is>
          <t>Offline</t>
        </is>
      </c>
      <c r="D258" s="16" t="inlineStr">
        <is>
          <t>Negative</t>
        </is>
      </c>
      <c r="E258" s="16" t="inlineStr">
        <is>
          <t>Browser offline mode</t>
        </is>
      </c>
      <c r="F258" s="16" t="inlineStr">
        <is>
          <t>DevTools: offline.</t>
        </is>
      </c>
      <c r="G258" s="16" t="inlineStr">
        <is>
          <t>1. Send.</t>
        </is>
      </c>
      <c r="H258" s="16" t="inlineStr">
        <is>
          <t>—</t>
        </is>
      </c>
      <c r="I258" s="16" t="inlineStr">
        <is>
          <t>Error 'Network unavailable'; clear messaging.</t>
        </is>
      </c>
      <c r="J258" s="16" t="inlineStr"/>
      <c r="K258" s="16" t="inlineStr">
        <is>
          <t>Not Run</t>
        </is>
      </c>
      <c r="L258" s="16" t="inlineStr">
        <is>
          <t>Medium</t>
        </is>
      </c>
      <c r="M258" s="16" t="inlineStr"/>
      <c r="N258" s="16" t="inlineStr"/>
      <c r="O258" s="16" t="inlineStr"/>
    </row>
    <row r="259" ht="78" customHeight="1">
      <c r="A259" s="16" t="inlineStr">
        <is>
          <t>TC-PE-001</t>
        </is>
      </c>
      <c r="B259" s="16" t="inlineStr">
        <is>
          <t>Performance</t>
        </is>
      </c>
      <c r="C259" s="16" t="inlineStr">
        <is>
          <t>Large Workspace</t>
        </is>
      </c>
      <c r="D259" s="16" t="inlineStr">
        <is>
          <t>Performance</t>
        </is>
      </c>
      <c r="E259" s="16" t="inlineStr">
        <is>
          <t>Workspace with 500 requests opens in &lt; 3s</t>
        </is>
      </c>
      <c r="F259" s="16" t="inlineStr">
        <is>
          <t>Workspace with 500 requests across 50 folders.</t>
        </is>
      </c>
      <c r="G259" s="16" t="inlineStr">
        <is>
          <t>1. Open the workspace.</t>
        </is>
      </c>
      <c r="H259" s="16" t="inlineStr">
        <is>
          <t>—</t>
        </is>
      </c>
      <c r="I259" s="16" t="inlineStr">
        <is>
          <t>Hydrate + first paint &lt; 3 s on baseline machine; tree scrolling smooth.</t>
        </is>
      </c>
      <c r="J259" s="16" t="inlineStr"/>
      <c r="K259" s="16" t="inlineStr">
        <is>
          <t>Not Run</t>
        </is>
      </c>
      <c r="L259" s="16" t="inlineStr">
        <is>
          <t>Medium</t>
        </is>
      </c>
      <c r="M259" s="16" t="inlineStr"/>
      <c r="N259" s="16" t="inlineStr"/>
      <c r="O259" s="16" t="inlineStr"/>
    </row>
    <row r="260" ht="78" customHeight="1">
      <c r="A260" s="16" t="inlineStr">
        <is>
          <t>TC-PE-002</t>
        </is>
      </c>
      <c r="B260" s="16" t="inlineStr">
        <is>
          <t>Performance</t>
        </is>
      </c>
      <c r="C260" s="16" t="inlineStr">
        <is>
          <t>Large Response</t>
        </is>
      </c>
      <c r="D260" s="16" t="inlineStr">
        <is>
          <t>Performance</t>
        </is>
      </c>
      <c r="E260" s="16" t="inlineStr">
        <is>
          <t>10 MB response renders without freezing</t>
        </is>
      </c>
      <c r="F260" s="16" t="inlineStr">
        <is>
          <t>Endpoint returning 10 MB JSON.</t>
        </is>
      </c>
      <c r="G260" s="16" t="inlineStr">
        <is>
          <t>1. Send.</t>
        </is>
      </c>
      <c r="H260" s="16" t="inlineStr">
        <is>
          <t>—</t>
        </is>
      </c>
      <c r="I260" s="16" t="inlineStr">
        <is>
          <t>Preview cap kicks in; viewer remains responsive; Download offered; UI does not freeze.</t>
        </is>
      </c>
      <c r="J260" s="16" t="inlineStr"/>
      <c r="K260" s="16" t="inlineStr">
        <is>
          <t>Not Run</t>
        </is>
      </c>
      <c r="L260" s="16" t="inlineStr">
        <is>
          <t>Medium</t>
        </is>
      </c>
      <c r="M260" s="16" t="inlineStr"/>
      <c r="N260" s="16" t="inlineStr"/>
      <c r="O260" s="16" t="inlineStr"/>
    </row>
    <row r="261" ht="78" customHeight="1">
      <c r="A261" s="16" t="inlineStr">
        <is>
          <t>TC-PE-003</t>
        </is>
      </c>
      <c r="B261" s="16" t="inlineStr">
        <is>
          <t>Performance</t>
        </is>
      </c>
      <c r="C261" s="16" t="inlineStr">
        <is>
          <t>Many Vars</t>
        </is>
      </c>
      <c r="D261" s="16" t="inlineStr">
        <is>
          <t>Performance</t>
        </is>
      </c>
      <c r="E261" s="16" t="inlineStr">
        <is>
          <t>Env with 1000 variables loads fast</t>
        </is>
      </c>
      <c r="F261" s="16" t="inlineStr">
        <is>
          <t>Env with 1000 vars.</t>
        </is>
      </c>
      <c r="G261" s="16" t="inlineStr">
        <is>
          <t>1. Open Variables panel.</t>
        </is>
      </c>
      <c r="H261" s="16" t="inlineStr">
        <is>
          <t>—</t>
        </is>
      </c>
      <c r="I261" s="16" t="inlineStr">
        <is>
          <t>Panel opens &lt; 1s; filtering is responsive.</t>
        </is>
      </c>
      <c r="J261" s="16" t="inlineStr"/>
      <c r="K261" s="16" t="inlineStr">
        <is>
          <t>Not Run</t>
        </is>
      </c>
      <c r="L261" s="16" t="inlineStr">
        <is>
          <t>Low</t>
        </is>
      </c>
      <c r="M261" s="16" t="inlineStr"/>
      <c r="N261" s="16" t="inlineStr"/>
      <c r="O261" s="16" t="inlineStr"/>
    </row>
    <row r="262" ht="78" customHeight="1">
      <c r="A262" s="16" t="inlineStr">
        <is>
          <t>TC-PE-004</t>
        </is>
      </c>
      <c r="B262" s="16" t="inlineStr">
        <is>
          <t>Performance</t>
        </is>
      </c>
      <c r="C262" s="16" t="inlineStr">
        <is>
          <t>Many Attachments</t>
        </is>
      </c>
      <c r="D262" s="16" t="inlineStr">
        <is>
          <t>Performance</t>
        </is>
      </c>
      <c r="E262" s="16" t="inlineStr">
        <is>
          <t>Workspace with 50 file attachments</t>
        </is>
      </c>
      <c r="F262" s="16" t="inlineStr">
        <is>
          <t>—</t>
        </is>
      </c>
      <c r="G262" s="16" t="inlineStr">
        <is>
          <t>1. Open workspace.</t>
        </is>
      </c>
      <c r="H262" s="16" t="inlineStr">
        <is>
          <t>—</t>
        </is>
      </c>
      <c r="I262" s="16" t="inlineStr">
        <is>
          <t>Hydrate doesn't load attachment blobs eagerly; they load on demand.</t>
        </is>
      </c>
      <c r="J262" s="16" t="inlineStr"/>
      <c r="K262" s="16" t="inlineStr">
        <is>
          <t>Not Run</t>
        </is>
      </c>
      <c r="L262" s="16" t="inlineStr">
        <is>
          <t>Low</t>
        </is>
      </c>
      <c r="M262" s="16" t="inlineStr"/>
      <c r="N262" s="16" t="inlineStr"/>
      <c r="O262" s="16" t="inlineStr"/>
    </row>
    <row r="263" ht="78" customHeight="1">
      <c r="A263" s="16" t="inlineStr">
        <is>
          <t>TC-PE-005</t>
        </is>
      </c>
      <c r="B263" s="16" t="inlineStr">
        <is>
          <t>Performance</t>
        </is>
      </c>
      <c r="C263" s="16" t="inlineStr">
        <is>
          <t>Debounce</t>
        </is>
      </c>
      <c r="D263" s="16" t="inlineStr">
        <is>
          <t>Performance</t>
        </is>
      </c>
      <c r="E263" s="16" t="inlineStr">
        <is>
          <t>Rapid keystrokes don't thrash IndexedDB</t>
        </is>
      </c>
      <c r="F263" s="16" t="inlineStr">
        <is>
          <t>Body editor.</t>
        </is>
      </c>
      <c r="G263" s="16" t="inlineStr">
        <is>
          <t>1. Type 100 keystrokes quickly.</t>
        </is>
      </c>
      <c r="H263" s="16" t="inlineStr">
        <is>
          <t>—</t>
        </is>
      </c>
      <c r="I263" s="16" t="inlineStr">
        <is>
          <t>Disk writes coalesced via 250ms debounce; final state intact.</t>
        </is>
      </c>
      <c r="J263" s="16" t="inlineStr"/>
      <c r="K263" s="16" t="inlineStr">
        <is>
          <t>Not Run</t>
        </is>
      </c>
      <c r="L263" s="16" t="inlineStr">
        <is>
          <t>Medium</t>
        </is>
      </c>
      <c r="M263" s="16" t="inlineStr"/>
      <c r="N263" s="16" t="inlineStr"/>
      <c r="O263" s="16" t="inlineStr"/>
    </row>
    <row r="264" ht="78" customHeight="1">
      <c r="A264" s="16" t="inlineStr">
        <is>
          <t>TC-PE-006</t>
        </is>
      </c>
      <c r="B264" s="16" t="inlineStr">
        <is>
          <t>Performance</t>
        </is>
      </c>
      <c r="C264" s="16" t="inlineStr">
        <is>
          <t>Workspace Switch</t>
        </is>
      </c>
      <c r="D264" s="16" t="inlineStr">
        <is>
          <t>Performance</t>
        </is>
      </c>
      <c r="E264" s="16" t="inlineStr">
        <is>
          <t>Switching workspaces &lt; 1s</t>
        </is>
      </c>
      <c r="F264" s="16" t="inlineStr">
        <is>
          <t>Two normal-sized workspaces.</t>
        </is>
      </c>
      <c r="G264" s="16" t="inlineStr">
        <is>
          <t>1. Switch A → B.</t>
        </is>
      </c>
      <c r="H264" s="16" t="inlineStr">
        <is>
          <t>—</t>
        </is>
      </c>
      <c r="I264" s="16" t="inlineStr">
        <is>
          <t>Switch completes &lt; 1s; no UI freeze.</t>
        </is>
      </c>
      <c r="J264" s="16" t="inlineStr"/>
      <c r="K264" s="16" t="inlineStr">
        <is>
          <t>Not Run</t>
        </is>
      </c>
      <c r="L264" s="16" t="inlineStr">
        <is>
          <t>Medium</t>
        </is>
      </c>
      <c r="M264" s="16" t="inlineStr"/>
      <c r="N264" s="16" t="inlineStr"/>
      <c r="O264" s="16" t="inlineStr"/>
    </row>
    <row r="265" ht="78" customHeight="1">
      <c r="A265" s="16" t="inlineStr">
        <is>
          <t>TC-SY-001</t>
        </is>
      </c>
      <c r="B265" s="16" t="inlineStr">
        <is>
          <t>Security</t>
        </is>
      </c>
      <c r="C265" s="16" t="inlineStr">
        <is>
          <t>XSS</t>
        </is>
      </c>
      <c r="D265" s="16" t="inlineStr">
        <is>
          <t>Security</t>
        </is>
      </c>
      <c r="E265" s="16" t="inlineStr">
        <is>
          <t>Response Preview safe for malicious HTML</t>
        </is>
      </c>
      <c r="F265" s="16" t="inlineStr">
        <is>
          <t>Response with &lt;script&gt;alert(1)&lt;/script&gt;.</t>
        </is>
      </c>
      <c r="G265" s="16" t="inlineStr">
        <is>
          <t>1. Send.
2. Switch to Preview.</t>
        </is>
      </c>
      <c r="H265" s="16" t="inlineStr">
        <is>
          <t>—</t>
        </is>
      </c>
      <c r="I265" s="16" t="inlineStr">
        <is>
          <t>Script does not execute; rendered in sandboxed iframe or escaped.</t>
        </is>
      </c>
      <c r="J265" s="16" t="inlineStr"/>
      <c r="K265" s="16" t="inlineStr">
        <is>
          <t>Not Run</t>
        </is>
      </c>
      <c r="L265" s="16" t="inlineStr">
        <is>
          <t>High</t>
        </is>
      </c>
      <c r="M265" s="16" t="inlineStr"/>
      <c r="N265" s="16" t="inlineStr"/>
      <c r="O265" s="16" t="inlineStr"/>
    </row>
    <row r="266" ht="78" customHeight="1">
      <c r="A266" s="16" t="inlineStr">
        <is>
          <t>TC-SY-002</t>
        </is>
      </c>
      <c r="B266" s="16" t="inlineStr">
        <is>
          <t>Security</t>
        </is>
      </c>
      <c r="C266" s="16" t="inlineStr">
        <is>
          <t>XSS</t>
        </is>
      </c>
      <c r="D266" s="16" t="inlineStr">
        <is>
          <t>Security</t>
        </is>
      </c>
      <c r="E266" s="16" t="inlineStr">
        <is>
          <t>Variable values not interpreted as HTML</t>
        </is>
      </c>
      <c r="F266" s="16" t="inlineStr">
        <is>
          <t>Var v='&lt;img onerror=alert(1) src=x&gt;'.</t>
        </is>
      </c>
      <c r="G266" s="16" t="inlineStr">
        <is>
          <t>1. Insert {{v}} into a UI label/tooltip.</t>
        </is>
      </c>
      <c r="H266" s="16" t="inlineStr">
        <is>
          <t>—</t>
        </is>
      </c>
      <c r="I266" s="16" t="inlineStr">
        <is>
          <t>Rendered as text; no script execution.</t>
        </is>
      </c>
      <c r="J266" s="16" t="inlineStr"/>
      <c r="K266" s="16" t="inlineStr">
        <is>
          <t>Not Run</t>
        </is>
      </c>
      <c r="L266" s="16" t="inlineStr">
        <is>
          <t>High</t>
        </is>
      </c>
      <c r="M266" s="16" t="inlineStr"/>
      <c r="N266" s="16" t="inlineStr"/>
      <c r="O266" s="16" t="inlineStr"/>
    </row>
    <row r="267" ht="78" customHeight="1">
      <c r="A267" s="16" t="inlineStr">
        <is>
          <t>TC-SY-003</t>
        </is>
      </c>
      <c r="B267" s="16" t="inlineStr">
        <is>
          <t>Security</t>
        </is>
      </c>
      <c r="C267" s="16" t="inlineStr">
        <is>
          <t>Secrets</t>
        </is>
      </c>
      <c r="D267" s="16" t="inlineStr">
        <is>
          <t>Security</t>
        </is>
      </c>
      <c r="E267" s="16" t="inlineStr">
        <is>
          <t>Secrets not in plaintext history</t>
        </is>
      </c>
      <c r="F267" s="16" t="inlineStr">
        <is>
          <t>Request uses Bearer {{token}} with secret token.</t>
        </is>
      </c>
      <c r="G267" s="16" t="inlineStr">
        <is>
          <t>1. Send.
2. Inspect history entry.</t>
        </is>
      </c>
      <c r="H267" s="16" t="inlineStr">
        <is>
          <t>—</t>
        </is>
      </c>
      <c r="I267" s="16" t="inlineStr">
        <is>
          <t>Resolved Authorization header is redacted in history view (masked); raw token never persisted to history.</t>
        </is>
      </c>
      <c r="J267" s="16" t="inlineStr"/>
      <c r="K267" s="16" t="inlineStr">
        <is>
          <t>Not Run</t>
        </is>
      </c>
      <c r="L267" s="16" t="inlineStr">
        <is>
          <t>High</t>
        </is>
      </c>
      <c r="M267" s="16" t="inlineStr"/>
      <c r="N267" s="16" t="inlineStr"/>
      <c r="O267" s="16" t="inlineStr"/>
    </row>
    <row r="268" ht="78" customHeight="1">
      <c r="A268" s="16" t="inlineStr">
        <is>
          <t>TC-SY-004</t>
        </is>
      </c>
      <c r="B268" s="16" t="inlineStr">
        <is>
          <t>Security</t>
        </is>
      </c>
      <c r="C268" s="16" t="inlineStr">
        <is>
          <t>Secrets</t>
        </is>
      </c>
      <c r="D268" s="16" t="inlineStr">
        <is>
          <t>Security</t>
        </is>
      </c>
      <c r="E268" s="16" t="inlineStr">
        <is>
          <t>Secrets redacted in CLI logs</t>
        </is>
      </c>
      <c r="F268" s="16" t="inlineStr">
        <is>
          <t>Pre-request: console.log(pm.variables.get('token'))</t>
        </is>
      </c>
      <c r="G268" s="16" t="inlineStr">
        <is>
          <t>1. Send; check console.</t>
        </is>
      </c>
      <c r="H268" s="16" t="inlineStr">
        <is>
          <t>—</t>
        </is>
      </c>
      <c r="I268" s="16" t="inlineStr">
        <is>
          <t>Token value redacted or masked in console output.</t>
        </is>
      </c>
      <c r="J268" s="16" t="inlineStr"/>
      <c r="K268" s="16" t="inlineStr">
        <is>
          <t>Not Run</t>
        </is>
      </c>
      <c r="L268" s="16" t="inlineStr">
        <is>
          <t>Medium</t>
        </is>
      </c>
      <c r="M268" s="16" t="inlineStr"/>
      <c r="N268" s="16" t="inlineStr"/>
      <c r="O268" s="16" t="inlineStr"/>
    </row>
    <row r="269" ht="78" customHeight="1">
      <c r="A269" s="16" t="inlineStr">
        <is>
          <t>TC-SY-005</t>
        </is>
      </c>
      <c r="B269" s="16" t="inlineStr">
        <is>
          <t>Security</t>
        </is>
      </c>
      <c r="C269" s="16" t="inlineStr">
        <is>
          <t>Imports</t>
        </is>
      </c>
      <c r="D269" s="16" t="inlineStr">
        <is>
          <t>Security</t>
        </is>
      </c>
      <c r="E269" s="16" t="inlineStr">
        <is>
          <t>Imported file paths sanitized</t>
        </is>
      </c>
      <c r="F269" s="16" t="inlineStr">
        <is>
          <t>Malicious Postman v2.1 with path traversal in name '../../etc/passwd'.</t>
        </is>
      </c>
      <c r="G269" s="16" t="inlineStr">
        <is>
          <t>1. Import.</t>
        </is>
      </c>
      <c r="H269" s="16" t="inlineStr">
        <is>
          <t>—</t>
        </is>
      </c>
      <c r="I269" s="16" t="inlineStr">
        <is>
          <t>Name treated as literal; no file system access; no directory traversal.</t>
        </is>
      </c>
      <c r="J269" s="16" t="inlineStr"/>
      <c r="K269" s="16" t="inlineStr">
        <is>
          <t>Not Run</t>
        </is>
      </c>
      <c r="L269" s="16" t="inlineStr">
        <is>
          <t>High</t>
        </is>
      </c>
      <c r="M269" s="16" t="inlineStr"/>
      <c r="N269" s="16" t="inlineStr"/>
      <c r="O269" s="16" t="inlineStr"/>
    </row>
    <row r="270" ht="78" customHeight="1">
      <c r="A270" s="16" t="inlineStr">
        <is>
          <t>TC-SY-006</t>
        </is>
      </c>
      <c r="B270" s="16" t="inlineStr">
        <is>
          <t>Security</t>
        </is>
      </c>
      <c r="C270" s="16" t="inlineStr">
        <is>
          <t>URL</t>
        </is>
      </c>
      <c r="D270" s="16" t="inlineStr">
        <is>
          <t>Security</t>
        </is>
      </c>
      <c r="E270" s="16" t="inlineStr">
        <is>
          <t>javascript: URL blocked</t>
        </is>
      </c>
      <c r="F270" s="16" t="inlineStr">
        <is>
          <t>—</t>
        </is>
      </c>
      <c r="G270" s="16" t="inlineStr">
        <is>
          <t>1. URL: 'javascript:alert(1)'.
2. Send.</t>
        </is>
      </c>
      <c r="H270" s="16" t="inlineStr">
        <is>
          <t>—</t>
        </is>
      </c>
      <c r="I270" s="16" t="inlineStr">
        <is>
          <t>Send is blocked with clear message; no script execution.</t>
        </is>
      </c>
      <c r="J270" s="16" t="inlineStr"/>
      <c r="K270" s="16" t="inlineStr">
        <is>
          <t>Not Run</t>
        </is>
      </c>
      <c r="L270" s="16" t="inlineStr">
        <is>
          <t>High</t>
        </is>
      </c>
      <c r="M270" s="16" t="inlineStr"/>
      <c r="N270" s="16" t="inlineStr"/>
      <c r="O270" s="16" t="inlineStr"/>
    </row>
    <row r="271" ht="78" customHeight="1">
      <c r="A271" s="16" t="inlineStr">
        <is>
          <t>TC-SY-007</t>
        </is>
      </c>
      <c r="B271" s="16" t="inlineStr">
        <is>
          <t>Security</t>
        </is>
      </c>
      <c r="C271" s="16" t="inlineStr">
        <is>
          <t>Network</t>
        </is>
      </c>
      <c r="D271" s="16" t="inlineStr">
        <is>
          <t>Security</t>
        </is>
      </c>
      <c r="E271" s="16" t="inlineStr">
        <is>
          <t>Sending to file://, intranet by user is logged but allowed</t>
        </is>
      </c>
      <c r="F271" s="16" t="inlineStr">
        <is>
          <t>URL: 'file:///etc/hosts'.</t>
        </is>
      </c>
      <c r="G271" s="16" t="inlineStr">
        <is>
          <t>1. Send.</t>
        </is>
      </c>
      <c r="H271" s="16" t="inlineStr">
        <is>
          <t>—</t>
        </is>
      </c>
      <c r="I271" s="16" t="inlineStr">
        <is>
          <t>Either blocked with rationale, or attempted with no auto-bypass of CORS; web context applies browser policy; desktop may allow.</t>
        </is>
      </c>
      <c r="J271" s="16" t="inlineStr"/>
      <c r="K271" s="16" t="inlineStr">
        <is>
          <t>Not Run</t>
        </is>
      </c>
      <c r="L271" s="16" t="inlineStr">
        <is>
          <t>Medium</t>
        </is>
      </c>
      <c r="M271" s="16" t="inlineStr"/>
      <c r="N271" s="16" t="inlineStr"/>
      <c r="O271" s="16" t="inlineStr"/>
    </row>
    <row r="272" ht="78" customHeight="1">
      <c r="A272" s="16" t="inlineStr">
        <is>
          <t>TC-SY-008</t>
        </is>
      </c>
      <c r="B272" s="16" t="inlineStr">
        <is>
          <t>Security</t>
        </is>
      </c>
      <c r="C272" s="16" t="inlineStr">
        <is>
          <t>Headers</t>
        </is>
      </c>
      <c r="D272" s="16" t="inlineStr">
        <is>
          <t>Security</t>
        </is>
      </c>
      <c r="E272" s="16" t="inlineStr">
        <is>
          <t>Authorization header value masked in 'Copy as cURL' UI preview</t>
        </is>
      </c>
      <c r="F272" s="16" t="inlineStr">
        <is>
          <t>Auth Bearer token.</t>
        </is>
      </c>
      <c r="G272" s="16" t="inlineStr">
        <is>
          <t>1. Open 'Copy as cURL' preview.</t>
        </is>
      </c>
      <c r="H272" s="16" t="inlineStr">
        <is>
          <t>—</t>
        </is>
      </c>
      <c r="I272" s="16" t="inlineStr">
        <is>
          <t>UI preview shows token masked (full value still on clipboard); user warned the clipboard contains secret.</t>
        </is>
      </c>
      <c r="J272" s="16" t="inlineStr"/>
      <c r="K272" s="16" t="inlineStr">
        <is>
          <t>Not Run</t>
        </is>
      </c>
      <c r="L272" s="16" t="inlineStr">
        <is>
          <t>Medium</t>
        </is>
      </c>
      <c r="M272" s="16" t="inlineStr"/>
      <c r="N272" s="16" t="inlineStr"/>
      <c r="O272" s="16" t="inlineStr"/>
    </row>
    <row r="273" ht="78" customHeight="1">
      <c r="A273" s="16" t="inlineStr">
        <is>
          <t>TC-SY-009</t>
        </is>
      </c>
      <c r="B273" s="16" t="inlineStr">
        <is>
          <t>Security</t>
        </is>
      </c>
      <c r="C273" s="16" t="inlineStr">
        <is>
          <t>CSP</t>
        </is>
      </c>
      <c r="D273" s="16" t="inlineStr">
        <is>
          <t>Security</t>
        </is>
      </c>
      <c r="E273" s="16" t="inlineStr">
        <is>
          <t>Content Security Policy enforced</t>
        </is>
      </c>
      <c r="F273" s="16" t="inlineStr">
        <is>
          <t>Page loaded.</t>
        </is>
      </c>
      <c r="G273" s="16" t="inlineStr">
        <is>
          <t>1. Inspect response headers / meta.</t>
        </is>
      </c>
      <c r="H273" s="16" t="inlineStr">
        <is>
          <t>—</t>
        </is>
      </c>
      <c r="I273" s="16" t="inlineStr">
        <is>
          <t>CSP allows connect-src 'self' https: http: ws: wss: blob: data:; no unsafe-inline/eval (or only with rationale).</t>
        </is>
      </c>
      <c r="J273" s="16" t="inlineStr"/>
      <c r="K273" s="16" t="inlineStr">
        <is>
          <t>Not Run</t>
        </is>
      </c>
      <c r="L273" s="16" t="inlineStr">
        <is>
          <t>Medium</t>
        </is>
      </c>
      <c r="M273" s="16" t="inlineStr"/>
      <c r="N273" s="16" t="inlineStr"/>
      <c r="O273" s="16" t="inlineStr"/>
    </row>
    <row r="274" ht="78" customHeight="1">
      <c r="A274" s="16" t="inlineStr">
        <is>
          <t>TC-SY-010</t>
        </is>
      </c>
      <c r="B274" s="16" t="inlineStr">
        <is>
          <t>Security</t>
        </is>
      </c>
      <c r="C274" s="16" t="inlineStr">
        <is>
          <t>Iframe</t>
        </is>
      </c>
      <c r="D274" s="16" t="inlineStr">
        <is>
          <t>Security</t>
        </is>
      </c>
      <c r="E274" s="16" t="inlineStr">
        <is>
          <t>App refuses to be framed by third parties</t>
        </is>
      </c>
      <c r="F274" s="16" t="inlineStr">
        <is>
          <t>Third-party site iframes the app.</t>
        </is>
      </c>
      <c r="G274" s="16" t="inlineStr">
        <is>
          <t>1. Attempt to embed.</t>
        </is>
      </c>
      <c r="H274" s="16" t="inlineStr">
        <is>
          <t>—</t>
        </is>
      </c>
      <c r="I274" s="16" t="inlineStr">
        <is>
          <t>X-Frame-Options or frame-ancestors CSP blocks embedding.</t>
        </is>
      </c>
      <c r="J274" s="16" t="inlineStr"/>
      <c r="K274" s="16" t="inlineStr">
        <is>
          <t>Not Run</t>
        </is>
      </c>
      <c r="L274" s="16" t="inlineStr">
        <is>
          <t>Medium</t>
        </is>
      </c>
      <c r="M274" s="16" t="inlineStr"/>
      <c r="N274" s="16" t="inlineStr"/>
      <c r="O274" s="16" t="inlineStr"/>
    </row>
    <row r="275" ht="78" customHeight="1">
      <c r="A275" s="16" t="inlineStr">
        <is>
          <t>TC-CC-001</t>
        </is>
      </c>
      <c r="B275" s="16" t="inlineStr">
        <is>
          <t>Cross-Cutting UX</t>
        </is>
      </c>
      <c r="C275" s="16" t="inlineStr">
        <is>
          <t>Toasts</t>
        </is>
      </c>
      <c r="D275" s="16" t="inlineStr">
        <is>
          <t>Functional</t>
        </is>
      </c>
      <c r="E275" s="16" t="inlineStr">
        <is>
          <t>Success toast on successful push</t>
        </is>
      </c>
      <c r="F275" s="16" t="inlineStr">
        <is>
          <t>Linked workspace.</t>
        </is>
      </c>
      <c r="G275" s="16" t="inlineStr">
        <is>
          <t>1. Push.</t>
        </is>
      </c>
      <c r="H275" s="16" t="inlineStr">
        <is>
          <t>—</t>
        </is>
      </c>
      <c r="I275" s="16" t="inlineStr">
        <is>
          <t>Toast 'Workspace pushed' ~5s; dismissible.</t>
        </is>
      </c>
      <c r="J275" s="16" t="inlineStr"/>
      <c r="K275" s="16" t="inlineStr">
        <is>
          <t>Not Run</t>
        </is>
      </c>
      <c r="L275" s="16" t="inlineStr">
        <is>
          <t>Medium</t>
        </is>
      </c>
      <c r="M275" s="16" t="inlineStr"/>
      <c r="N275" s="16" t="inlineStr"/>
      <c r="O275" s="16" t="inlineStr"/>
    </row>
    <row r="276" ht="78" customHeight="1">
      <c r="A276" s="16" t="inlineStr">
        <is>
          <t>TC-CC-002</t>
        </is>
      </c>
      <c r="B276" s="16" t="inlineStr">
        <is>
          <t>Cross-Cutting UX</t>
        </is>
      </c>
      <c r="C276" s="16" t="inlineStr">
        <is>
          <t>Toasts</t>
        </is>
      </c>
      <c r="D276" s="16" t="inlineStr">
        <is>
          <t>Functional</t>
        </is>
      </c>
      <c r="E276" s="16" t="inlineStr">
        <is>
          <t>Error toast on network failure</t>
        </is>
      </c>
      <c r="F276" s="16" t="inlineStr">
        <is>
          <t>Network off.</t>
        </is>
      </c>
      <c r="G276" s="16" t="inlineStr">
        <is>
          <t>1. Send.</t>
        </is>
      </c>
      <c r="H276" s="16" t="inlineStr">
        <is>
          <t>—</t>
        </is>
      </c>
      <c r="I276" s="16" t="inlineStr">
        <is>
          <t>Toast describes error with actionable hint.</t>
        </is>
      </c>
      <c r="J276" s="16" t="inlineStr"/>
      <c r="K276" s="16" t="inlineStr">
        <is>
          <t>Not Run</t>
        </is>
      </c>
      <c r="L276" s="16" t="inlineStr">
        <is>
          <t>High</t>
        </is>
      </c>
      <c r="M276" s="16" t="inlineStr"/>
      <c r="N276" s="16" t="inlineStr"/>
      <c r="O276" s="16" t="inlineStr"/>
    </row>
    <row r="277" ht="78" customHeight="1">
      <c r="A277" s="16" t="inlineStr">
        <is>
          <t>TC-CC-003</t>
        </is>
      </c>
      <c r="B277" s="16" t="inlineStr">
        <is>
          <t>Cross-Cutting UX</t>
        </is>
      </c>
      <c r="C277" s="16" t="inlineStr">
        <is>
          <t>Toasts</t>
        </is>
      </c>
      <c r="D277" s="16" t="inlineStr">
        <is>
          <t>UX/UI</t>
        </is>
      </c>
      <c r="E277" s="16" t="inlineStr">
        <is>
          <t>Stacked toasts dismiss independently</t>
        </is>
      </c>
      <c r="F277" s="16" t="inlineStr">
        <is>
          <t>—</t>
        </is>
      </c>
      <c r="G277" s="16" t="inlineStr">
        <is>
          <t>1. Trigger 3 toasts quickly.</t>
        </is>
      </c>
      <c r="H277" s="16" t="inlineStr">
        <is>
          <t>—</t>
        </is>
      </c>
      <c r="I277" s="16" t="inlineStr">
        <is>
          <t>Stacked; each dismissible; auto-dismiss timers independent.</t>
        </is>
      </c>
      <c r="J277" s="16" t="inlineStr"/>
      <c r="K277" s="16" t="inlineStr">
        <is>
          <t>Not Run</t>
        </is>
      </c>
      <c r="L277" s="16" t="inlineStr">
        <is>
          <t>Low</t>
        </is>
      </c>
      <c r="M277" s="16" t="inlineStr"/>
      <c r="N277" s="16" t="inlineStr"/>
      <c r="O277" s="16" t="inlineStr"/>
    </row>
    <row r="278" ht="78" customHeight="1">
      <c r="A278" s="16" t="inlineStr">
        <is>
          <t>TC-CC-004</t>
        </is>
      </c>
      <c r="B278" s="16" t="inlineStr">
        <is>
          <t>Cross-Cutting UX</t>
        </is>
      </c>
      <c r="C278" s="16" t="inlineStr">
        <is>
          <t>Confirm</t>
        </is>
      </c>
      <c r="D278" s="16" t="inlineStr">
        <is>
          <t>UX/UI</t>
        </is>
      </c>
      <c r="E278" s="16" t="inlineStr">
        <is>
          <t>Destructive confirm uses red button</t>
        </is>
      </c>
      <c r="F278" s="16" t="inlineStr">
        <is>
          <t>Delete collection.</t>
        </is>
      </c>
      <c r="G278" s="16" t="inlineStr">
        <is>
          <t>1. Trigger delete.</t>
        </is>
      </c>
      <c r="H278" s="16" t="inlineStr">
        <is>
          <t>—</t>
        </is>
      </c>
      <c r="I278" s="16" t="inlineStr">
        <is>
          <t>Clear title, consequence text, red destructive button, Cancel default.</t>
        </is>
      </c>
      <c r="J278" s="16" t="inlineStr"/>
      <c r="K278" s="16" t="inlineStr">
        <is>
          <t>Not Run</t>
        </is>
      </c>
      <c r="L278" s="16" t="inlineStr">
        <is>
          <t>High</t>
        </is>
      </c>
      <c r="M278" s="16" t="inlineStr"/>
      <c r="N278" s="16" t="inlineStr"/>
      <c r="O278" s="16" t="inlineStr"/>
    </row>
    <row r="279" ht="78" customHeight="1">
      <c r="A279" s="16" t="inlineStr">
        <is>
          <t>TC-CC-005</t>
        </is>
      </c>
      <c r="B279" s="16" t="inlineStr">
        <is>
          <t>Cross-Cutting UX</t>
        </is>
      </c>
      <c r="C279" s="16" t="inlineStr">
        <is>
          <t>Modal</t>
        </is>
      </c>
      <c r="D279" s="16" t="inlineStr">
        <is>
          <t>Functional</t>
        </is>
      </c>
      <c r="E279" s="16" t="inlineStr">
        <is>
          <t>Esc closes non-critical modal</t>
        </is>
      </c>
      <c r="F279" s="16" t="inlineStr">
        <is>
          <t>Import modal.</t>
        </is>
      </c>
      <c r="G279" s="16" t="inlineStr">
        <is>
          <t>1. Press Esc.</t>
        </is>
      </c>
      <c r="H279" s="16" t="inlineStr">
        <is>
          <t>—</t>
        </is>
      </c>
      <c r="I279" s="16" t="inlineStr">
        <is>
          <t>Closes; focus returns to trigger.</t>
        </is>
      </c>
      <c r="J279" s="16" t="inlineStr"/>
      <c r="K279" s="16" t="inlineStr">
        <is>
          <t>Not Run</t>
        </is>
      </c>
      <c r="L279" s="16" t="inlineStr">
        <is>
          <t>Medium</t>
        </is>
      </c>
      <c r="M279" s="16" t="inlineStr"/>
      <c r="N279" s="16" t="inlineStr"/>
      <c r="O279" s="16" t="inlineStr"/>
    </row>
    <row r="280" ht="78" customHeight="1">
      <c r="A280" s="16" t="inlineStr">
        <is>
          <t>TC-CC-006</t>
        </is>
      </c>
      <c r="B280" s="16" t="inlineStr">
        <is>
          <t>Cross-Cutting UX</t>
        </is>
      </c>
      <c r="C280" s="16" t="inlineStr">
        <is>
          <t>Modal</t>
        </is>
      </c>
      <c r="D280" s="16" t="inlineStr">
        <is>
          <t>UX/UI</t>
        </is>
      </c>
      <c r="E280" s="16" t="inlineStr">
        <is>
          <t>Backdrop click does NOT close destructive modals</t>
        </is>
      </c>
      <c r="F280" s="16" t="inlineStr">
        <is>
          <t>Delete confirm.</t>
        </is>
      </c>
      <c r="G280" s="16" t="inlineStr">
        <is>
          <t>1. Click outside.</t>
        </is>
      </c>
      <c r="H280" s="16" t="inlineStr">
        <is>
          <t>—</t>
        </is>
      </c>
      <c r="I280" s="16" t="inlineStr">
        <is>
          <t>Modal remains; only Cancel/Confirm dismiss.</t>
        </is>
      </c>
      <c r="J280" s="16" t="inlineStr"/>
      <c r="K280" s="16" t="inlineStr">
        <is>
          <t>Not Run</t>
        </is>
      </c>
      <c r="L280" s="16" t="inlineStr">
        <is>
          <t>Medium</t>
        </is>
      </c>
      <c r="M280" s="16" t="inlineStr"/>
      <c r="N280" s="16" t="inlineStr"/>
      <c r="O280" s="16" t="inlineStr"/>
    </row>
    <row r="281" ht="78" customHeight="1">
      <c r="A281" s="16" t="inlineStr">
        <is>
          <t>TC-CC-007</t>
        </is>
      </c>
      <c r="B281" s="16" t="inlineStr">
        <is>
          <t>Cross-Cutting UX</t>
        </is>
      </c>
      <c r="C281" s="16" t="inlineStr">
        <is>
          <t>DnD</t>
        </is>
      </c>
      <c r="D281" s="16" t="inlineStr">
        <is>
          <t>Functional</t>
        </is>
      </c>
      <c r="E281" s="16" t="inlineStr">
        <is>
          <t>Drag-reorder env priority</t>
        </is>
      </c>
      <c r="F281" s="16" t="inlineStr">
        <is>
          <t>3 envs.</t>
        </is>
      </c>
      <c r="G281" s="16" t="inlineStr">
        <is>
          <t>1. Drag row 3 to position 1.</t>
        </is>
      </c>
      <c r="H281" s="16" t="inlineStr">
        <is>
          <t>—</t>
        </is>
      </c>
      <c r="I281" s="16" t="inlineStr">
        <is>
          <t>Order updates; persists.</t>
        </is>
      </c>
      <c r="J281" s="16" t="inlineStr"/>
      <c r="K281" s="16" t="inlineStr">
        <is>
          <t>Not Run</t>
        </is>
      </c>
      <c r="L281" s="16" t="inlineStr">
        <is>
          <t>Medium</t>
        </is>
      </c>
      <c r="M281" s="16" t="inlineStr"/>
      <c r="N281" s="16" t="inlineStr"/>
      <c r="O281" s="16" t="inlineStr"/>
    </row>
    <row r="282" ht="78" customHeight="1">
      <c r="A282" s="16" t="inlineStr">
        <is>
          <t>TC-CC-008</t>
        </is>
      </c>
      <c r="B282" s="16" t="inlineStr">
        <is>
          <t>Cross-Cutting UX</t>
        </is>
      </c>
      <c r="C282" s="16" t="inlineStr">
        <is>
          <t>Persistence</t>
        </is>
      </c>
      <c r="D282" s="16" t="inlineStr">
        <is>
          <t>Performance</t>
        </is>
      </c>
      <c r="E282" s="16" t="inlineStr">
        <is>
          <t>250ms debounce coalesces edits</t>
        </is>
      </c>
      <c r="F282" s="16" t="inlineStr">
        <is>
          <t>Body editor.</t>
        </is>
      </c>
      <c r="G282" s="16" t="inlineStr">
        <is>
          <t>1. Type 10 keystrokes &lt;250ms.</t>
        </is>
      </c>
      <c r="H282" s="16" t="inlineStr">
        <is>
          <t>—</t>
        </is>
      </c>
      <c r="I282" s="16" t="inlineStr">
        <is>
          <t>1 IndexedDB write; final state matches typed.</t>
        </is>
      </c>
      <c r="J282" s="16" t="inlineStr"/>
      <c r="K282" s="16" t="inlineStr">
        <is>
          <t>Not Run</t>
        </is>
      </c>
      <c r="L282" s="16" t="inlineStr">
        <is>
          <t>Medium</t>
        </is>
      </c>
      <c r="M282" s="16" t="inlineStr"/>
      <c r="N282" s="16" t="inlineStr"/>
      <c r="O282" s="16" t="inlineStr"/>
    </row>
    <row r="283" ht="78" customHeight="1">
      <c r="A283" s="16" t="inlineStr">
        <is>
          <t>TC-CC-009</t>
        </is>
      </c>
      <c r="B283" s="16" t="inlineStr">
        <is>
          <t>Cross-Cutting UX</t>
        </is>
      </c>
      <c r="C283" s="16" t="inlineStr">
        <is>
          <t>Error Recovery</t>
        </is>
      </c>
      <c r="D283" s="16" t="inlineStr">
        <is>
          <t>Negative</t>
        </is>
      </c>
      <c r="E283" s="16" t="inlineStr">
        <is>
          <t>Corrupted workspace.json shows recovery UI</t>
        </is>
      </c>
      <c r="F283" s="16" t="inlineStr">
        <is>
          <t>Manually corrupt workspace.</t>
        </is>
      </c>
      <c r="G283" s="16" t="inlineStr">
        <is>
          <t>1. Reopen.</t>
        </is>
      </c>
      <c r="H283" s="16" t="inlineStr">
        <is>
          <t>—</t>
        </is>
      </c>
      <c r="I283" s="16" t="inlineStr">
        <is>
          <t>Recovery screen with parse error and options (reset, restore from git, contact); no crash.</t>
        </is>
      </c>
      <c r="J283" s="16" t="inlineStr"/>
      <c r="K283" s="16" t="inlineStr">
        <is>
          <t>Not Run</t>
        </is>
      </c>
      <c r="L283" s="16" t="inlineStr">
        <is>
          <t>High</t>
        </is>
      </c>
      <c r="M283" s="16" t="inlineStr"/>
      <c r="N283" s="16" t="inlineStr"/>
      <c r="O283" s="16" t="inlineStr"/>
    </row>
    <row r="284" ht="78" customHeight="1">
      <c r="A284" s="16" t="inlineStr">
        <is>
          <t>TC-CC-010</t>
        </is>
      </c>
      <c r="B284" s="16" t="inlineStr">
        <is>
          <t>Cross-Cutting UX</t>
        </is>
      </c>
      <c r="C284" s="16" t="inlineStr">
        <is>
          <t>Empty States</t>
        </is>
      </c>
      <c r="D284" s="16" t="inlineStr">
        <is>
          <t>UX/UI</t>
        </is>
      </c>
      <c r="E284" s="16" t="inlineStr">
        <is>
          <t>Empty workspace shows helpful guidance</t>
        </is>
      </c>
      <c r="F284" s="16" t="inlineStr">
        <is>
          <t>New empty workspace.</t>
        </is>
      </c>
      <c r="G284" s="16" t="inlineStr">
        <is>
          <t>1. Look at editor sidebar.</t>
        </is>
      </c>
      <c r="H284" s="16" t="inlineStr">
        <is>
          <t>—</t>
        </is>
      </c>
      <c r="I284" s="16" t="inlineStr">
        <is>
          <t>Empty-state message + 'Create your first request' CTA; not blank.</t>
        </is>
      </c>
      <c r="J284" s="16" t="inlineStr"/>
      <c r="K284" s="16" t="inlineStr">
        <is>
          <t>Not Run</t>
        </is>
      </c>
      <c r="L284" s="16" t="inlineStr">
        <is>
          <t>Medium</t>
        </is>
      </c>
      <c r="M284" s="16" t="inlineStr"/>
      <c r="N284" s="16" t="inlineStr"/>
      <c r="O284" s="16" t="inlineStr"/>
    </row>
    <row r="285" ht="78" customHeight="1">
      <c r="A285" s="16" t="inlineStr">
        <is>
          <t>TC-CC-011</t>
        </is>
      </c>
      <c r="B285" s="16" t="inlineStr">
        <is>
          <t>Cross-Cutting UX</t>
        </is>
      </c>
      <c r="C285" s="16" t="inlineStr">
        <is>
          <t>Empty States</t>
        </is>
      </c>
      <c r="D285" s="16" t="inlineStr">
        <is>
          <t>UX/UI</t>
        </is>
      </c>
      <c r="E285" s="16" t="inlineStr">
        <is>
          <t>Empty history shows helpful guidance</t>
        </is>
      </c>
      <c r="F285" s="16" t="inlineStr">
        <is>
          <t>—</t>
        </is>
      </c>
      <c r="G285" s="16" t="inlineStr">
        <is>
          <t>1. Open History on fresh workspace.</t>
        </is>
      </c>
      <c r="H285" s="16" t="inlineStr">
        <is>
          <t>—</t>
        </is>
      </c>
      <c r="I285" s="16" t="inlineStr">
        <is>
          <t>Empty state explains 'No runs yet — send a request to see history here'.</t>
        </is>
      </c>
      <c r="J285" s="16" t="inlineStr"/>
      <c r="K285" s="16" t="inlineStr">
        <is>
          <t>Not Run</t>
        </is>
      </c>
      <c r="L285" s="16" t="inlineStr">
        <is>
          <t>Low</t>
        </is>
      </c>
      <c r="M285" s="16" t="inlineStr"/>
      <c r="N285" s="16" t="inlineStr"/>
      <c r="O285" s="16" t="inlineStr"/>
    </row>
    <row r="286" ht="78" customHeight="1">
      <c r="A286" s="16" t="inlineStr">
        <is>
          <t>TC-CC-012</t>
        </is>
      </c>
      <c r="B286" s="16" t="inlineStr">
        <is>
          <t>Cross-Cutting UX</t>
        </is>
      </c>
      <c r="C286" s="16" t="inlineStr">
        <is>
          <t>Empty States</t>
        </is>
      </c>
      <c r="D286" s="16" t="inlineStr">
        <is>
          <t>UX/UI</t>
        </is>
      </c>
      <c r="E286" s="16" t="inlineStr">
        <is>
          <t>Empty mocks shows CTA</t>
        </is>
      </c>
      <c r="F286" s="16" t="inlineStr">
        <is>
          <t>—</t>
        </is>
      </c>
      <c r="G286" s="16" t="inlineStr">
        <is>
          <t>1. Open Mocks on fresh workspace.</t>
        </is>
      </c>
      <c r="H286" s="16" t="inlineStr">
        <is>
          <t>—</t>
        </is>
      </c>
      <c r="I286" s="16" t="inlineStr">
        <is>
          <t>Empty state with 'Create your first mock' CTA.</t>
        </is>
      </c>
      <c r="J286" s="16" t="inlineStr"/>
      <c r="K286" s="16" t="inlineStr">
        <is>
          <t>Not Run</t>
        </is>
      </c>
      <c r="L286" s="16" t="inlineStr">
        <is>
          <t>Low</t>
        </is>
      </c>
      <c r="M286" s="16" t="inlineStr"/>
      <c r="N286" s="16" t="inlineStr"/>
      <c r="O286" s="16" t="inlineStr"/>
    </row>
    <row r="287" ht="78" customHeight="1">
      <c r="A287" s="16" t="inlineStr">
        <is>
          <t>TC-WB-001</t>
        </is>
      </c>
      <c r="B287" s="16" t="inlineStr">
        <is>
          <t>Web-Specific (Browser)</t>
        </is>
      </c>
      <c r="C287" s="16" t="inlineStr">
        <is>
          <t>Multi-Tab</t>
        </is>
      </c>
      <c r="D287" s="16" t="inlineStr">
        <is>
          <t>Edge Case</t>
        </is>
      </c>
      <c r="E287" s="16" t="inlineStr">
        <is>
          <t>Open same workspace in 2 tabs concurrently</t>
        </is>
      </c>
      <c r="F287" s="16" t="inlineStr">
        <is>
          <t>Tab A has workspace open.</t>
        </is>
      </c>
      <c r="G287" s="16" t="inlineStr">
        <is>
          <t>1. Open Tab B on same URL/workspace.
2. Edit in A.
3. Refresh B.</t>
        </is>
      </c>
      <c r="H287" s="16" t="inlineStr">
        <is>
          <t>—</t>
        </is>
      </c>
      <c r="I287" s="16" t="inlineStr">
        <is>
          <t>B reflects A's edits after refresh; no IndexedDB corruption; conflict (same field edited in both within debounce window) last-write-wins.</t>
        </is>
      </c>
      <c r="J287" s="16" t="inlineStr"/>
      <c r="K287" s="16" t="inlineStr">
        <is>
          <t>Not Run</t>
        </is>
      </c>
      <c r="L287" s="16" t="inlineStr">
        <is>
          <t>High</t>
        </is>
      </c>
      <c r="M287" s="16" t="inlineStr"/>
      <c r="N287" s="16" t="inlineStr"/>
      <c r="O287" s="16" t="inlineStr"/>
    </row>
    <row r="288" ht="78" customHeight="1">
      <c r="A288" s="16" t="inlineStr">
        <is>
          <t>TC-WB-002</t>
        </is>
      </c>
      <c r="B288" s="16" t="inlineStr">
        <is>
          <t>Web-Specific (Browser)</t>
        </is>
      </c>
      <c r="C288" s="16" t="inlineStr">
        <is>
          <t>Multi-Tab</t>
        </is>
      </c>
      <c r="D288" s="16" t="inlineStr">
        <is>
          <t>Edge Case</t>
        </is>
      </c>
      <c r="E288" s="16" t="inlineStr">
        <is>
          <t>Two tabs editing same request — last-write-wins</t>
        </is>
      </c>
      <c r="F288" s="16" t="inlineStr">
        <is>
          <t>Both tabs have request R open.</t>
        </is>
      </c>
      <c r="G288" s="16" t="inlineStr">
        <is>
          <t>1. In A, type 'foo' in body.
2. In B, type 'bar' in body.
3. Wait for debounce flush.</t>
        </is>
      </c>
      <c r="H288" s="16" t="inlineStr">
        <is>
          <t>—</t>
        </is>
      </c>
      <c r="I288" s="16" t="inlineStr">
        <is>
          <t>IndexedDB ends in a deterministic state (one tab's last keystroke wins); no JSON corruption.</t>
        </is>
      </c>
      <c r="J288" s="16" t="inlineStr"/>
      <c r="K288" s="16" t="inlineStr">
        <is>
          <t>Not Run</t>
        </is>
      </c>
      <c r="L288" s="16" t="inlineStr">
        <is>
          <t>Medium</t>
        </is>
      </c>
      <c r="M288" s="16" t="inlineStr"/>
      <c r="N288" s="16" t="inlineStr"/>
      <c r="O288" s="16" t="inlineStr"/>
    </row>
    <row r="289" ht="78" customHeight="1">
      <c r="A289" s="16" t="inlineStr">
        <is>
          <t>TC-WB-003</t>
        </is>
      </c>
      <c r="B289" s="16" t="inlineStr">
        <is>
          <t>Web-Specific (Browser)</t>
        </is>
      </c>
      <c r="C289" s="16" t="inlineStr">
        <is>
          <t>Tab Close</t>
        </is>
      </c>
      <c r="D289" s="16" t="inlineStr">
        <is>
          <t>Edge Case</t>
        </is>
      </c>
      <c r="E289" s="16" t="inlineStr">
        <is>
          <t>Closing tab with unsaved edits</t>
        </is>
      </c>
      <c r="F289" s="16" t="inlineStr">
        <is>
          <t>Active tab has unpushed edits.</t>
        </is>
      </c>
      <c r="G289" s="16" t="inlineStr">
        <is>
          <t>1. Close tab.</t>
        </is>
      </c>
      <c r="H289" s="16" t="inlineStr">
        <is>
          <t>—</t>
        </is>
      </c>
      <c r="I289" s="16" t="inlineStr">
        <is>
          <t>Edits persisted to IndexedDB; on reopen, edits restored; browser beforeunload warning is optional (some browsers ignore unless user typed).</t>
        </is>
      </c>
      <c r="J289" s="16" t="inlineStr"/>
      <c r="K289" s="16" t="inlineStr">
        <is>
          <t>Not Run</t>
        </is>
      </c>
      <c r="L289" s="16" t="inlineStr">
        <is>
          <t>Medium</t>
        </is>
      </c>
      <c r="M289" s="16" t="inlineStr"/>
      <c r="N289" s="16" t="inlineStr"/>
      <c r="O289" s="16" t="inlineStr"/>
    </row>
    <row r="290" ht="78" customHeight="1">
      <c r="A290" s="16" t="inlineStr">
        <is>
          <t>TC-WB-004</t>
        </is>
      </c>
      <c r="B290" s="16" t="inlineStr">
        <is>
          <t>Web-Specific (Browser)</t>
        </is>
      </c>
      <c r="C290" s="16" t="inlineStr">
        <is>
          <t>Refresh</t>
        </is>
      </c>
      <c r="D290" s="16" t="inlineStr">
        <is>
          <t>Functional</t>
        </is>
      </c>
      <c r="E290" s="16" t="inlineStr">
        <is>
          <t>F5 reload preserves in-progress request input</t>
        </is>
      </c>
      <c r="F290" s="16" t="inlineStr">
        <is>
          <t>Body field has content.</t>
        </is>
      </c>
      <c r="G290" s="16" t="inlineStr">
        <is>
          <t>1. Press F5.</t>
        </is>
      </c>
      <c r="H290" s="16" t="inlineStr">
        <is>
          <t>—</t>
        </is>
      </c>
      <c r="I290" s="16" t="inlineStr">
        <is>
          <t>Body content survives (saved via debounce); active request reopens.</t>
        </is>
      </c>
      <c r="J290" s="16" t="inlineStr"/>
      <c r="K290" s="16" t="inlineStr">
        <is>
          <t>Not Run</t>
        </is>
      </c>
      <c r="L290" s="16" t="inlineStr">
        <is>
          <t>Medium</t>
        </is>
      </c>
      <c r="M290" s="16" t="inlineStr"/>
      <c r="N290" s="16" t="inlineStr"/>
      <c r="O290" s="16" t="inlineStr"/>
    </row>
    <row r="291" ht="78" customHeight="1">
      <c r="A291" s="16" t="inlineStr">
        <is>
          <t>TC-WB-005</t>
        </is>
      </c>
      <c r="B291" s="16" t="inlineStr">
        <is>
          <t>Web-Specific (Browser)</t>
        </is>
      </c>
      <c r="C291" s="16" t="inlineStr">
        <is>
          <t>Refresh</t>
        </is>
      </c>
      <c r="D291" s="16" t="inlineStr">
        <is>
          <t>Edge Case</t>
        </is>
      </c>
      <c r="E291" s="16" t="inlineStr">
        <is>
          <t>Hard reload (Ctrl+Shift+R) preserves IndexedDB</t>
        </is>
      </c>
      <c r="F291" s="16" t="inlineStr">
        <is>
          <t>—</t>
        </is>
      </c>
      <c r="G291" s="16" t="inlineStr">
        <is>
          <t>1. Press Ctrl+Shift+R.</t>
        </is>
      </c>
      <c r="H291" s="16" t="inlineStr">
        <is>
          <t>—</t>
        </is>
      </c>
      <c r="I291" s="16" t="inlineStr">
        <is>
          <t>Service worker / cache cleared but IndexedDB intact; workspace re-hydrates.</t>
        </is>
      </c>
      <c r="J291" s="16" t="inlineStr"/>
      <c r="K291" s="16" t="inlineStr">
        <is>
          <t>Not Run</t>
        </is>
      </c>
      <c r="L291" s="16" t="inlineStr">
        <is>
          <t>Medium</t>
        </is>
      </c>
      <c r="M291" s="16" t="inlineStr"/>
      <c r="N291" s="16" t="inlineStr"/>
      <c r="O291" s="16" t="inlineStr"/>
    </row>
    <row r="292" ht="78" customHeight="1">
      <c r="A292" s="16" t="inlineStr">
        <is>
          <t>TC-WB-006</t>
        </is>
      </c>
      <c r="B292" s="16" t="inlineStr">
        <is>
          <t>Web-Specific (Browser)</t>
        </is>
      </c>
      <c r="C292" s="16" t="inlineStr">
        <is>
          <t>Browser Compat</t>
        </is>
      </c>
      <c r="D292" s="16" t="inlineStr">
        <is>
          <t>Compatibility</t>
        </is>
      </c>
      <c r="E292" s="16" t="inlineStr">
        <is>
          <t>Smoke test on Chrome</t>
        </is>
      </c>
      <c r="F292" s="16" t="inlineStr">
        <is>
          <t>Chrome latest.</t>
        </is>
      </c>
      <c r="G292" s="16" t="inlineStr">
        <is>
          <t>1. Run smoke flow: create workspace, add request, send.</t>
        </is>
      </c>
      <c r="H292" s="16" t="inlineStr">
        <is>
          <t>—</t>
        </is>
      </c>
      <c r="I292" s="16" t="inlineStr">
        <is>
          <t>All features work; no console errors.</t>
        </is>
      </c>
      <c r="J292" s="16" t="inlineStr"/>
      <c r="K292" s="16" t="inlineStr">
        <is>
          <t>Not Run</t>
        </is>
      </c>
      <c r="L292" s="16" t="inlineStr">
        <is>
          <t>High</t>
        </is>
      </c>
      <c r="M292" s="16" t="inlineStr"/>
      <c r="N292" s="16" t="inlineStr"/>
      <c r="O292" s="16" t="inlineStr"/>
    </row>
    <row r="293" ht="78" customHeight="1">
      <c r="A293" s="16" t="inlineStr">
        <is>
          <t>TC-WB-007</t>
        </is>
      </c>
      <c r="B293" s="16" t="inlineStr">
        <is>
          <t>Web-Specific (Browser)</t>
        </is>
      </c>
      <c r="C293" s="16" t="inlineStr">
        <is>
          <t>Browser Compat</t>
        </is>
      </c>
      <c r="D293" s="16" t="inlineStr">
        <is>
          <t>Compatibility</t>
        </is>
      </c>
      <c r="E293" s="16" t="inlineStr">
        <is>
          <t>Smoke test on Firefox</t>
        </is>
      </c>
      <c r="F293" s="16" t="inlineStr">
        <is>
          <t>Firefox latest.</t>
        </is>
      </c>
      <c r="G293" s="16" t="inlineStr">
        <is>
          <t>1. Run smoke flow.</t>
        </is>
      </c>
      <c r="H293" s="16" t="inlineStr">
        <is>
          <t>—</t>
        </is>
      </c>
      <c r="I293" s="16" t="inlineStr">
        <is>
          <t>All features work; minor browser-specific affordances acceptable.</t>
        </is>
      </c>
      <c r="J293" s="16" t="inlineStr"/>
      <c r="K293" s="16" t="inlineStr">
        <is>
          <t>Not Run</t>
        </is>
      </c>
      <c r="L293" s="16" t="inlineStr">
        <is>
          <t>High</t>
        </is>
      </c>
      <c r="M293" s="16" t="inlineStr"/>
      <c r="N293" s="16" t="inlineStr"/>
      <c r="O293" s="16" t="inlineStr"/>
    </row>
    <row r="294" ht="78" customHeight="1">
      <c r="A294" s="16" t="inlineStr">
        <is>
          <t>TC-WB-008</t>
        </is>
      </c>
      <c r="B294" s="16" t="inlineStr">
        <is>
          <t>Web-Specific (Browser)</t>
        </is>
      </c>
      <c r="C294" s="16" t="inlineStr">
        <is>
          <t>Browser Compat</t>
        </is>
      </c>
      <c r="D294" s="16" t="inlineStr">
        <is>
          <t>Compatibility</t>
        </is>
      </c>
      <c r="E294" s="16" t="inlineStr">
        <is>
          <t>Smoke test on Safari</t>
        </is>
      </c>
      <c r="F294" s="16" t="inlineStr">
        <is>
          <t>Safari latest (macOS).</t>
        </is>
      </c>
      <c r="G294" s="16" t="inlineStr">
        <is>
          <t>1. Run smoke flow.</t>
        </is>
      </c>
      <c r="H294" s="16" t="inlineStr">
        <is>
          <t>—</t>
        </is>
      </c>
      <c r="I294" s="16" t="inlineStr">
        <is>
          <t>All features work; popup-based OAuth functions correctly; BroadcastChannel works.</t>
        </is>
      </c>
      <c r="J294" s="16" t="inlineStr"/>
      <c r="K294" s="16" t="inlineStr">
        <is>
          <t>Not Run</t>
        </is>
      </c>
      <c r="L294" s="16" t="inlineStr">
        <is>
          <t>High</t>
        </is>
      </c>
      <c r="M294" s="16" t="inlineStr"/>
      <c r="N294" s="16" t="inlineStr"/>
      <c r="O294" s="16" t="inlineStr"/>
    </row>
    <row r="295" ht="78" customHeight="1">
      <c r="A295" s="16" t="inlineStr">
        <is>
          <t>TC-WB-009</t>
        </is>
      </c>
      <c r="B295" s="16" t="inlineStr">
        <is>
          <t>Web-Specific (Browser)</t>
        </is>
      </c>
      <c r="C295" s="16" t="inlineStr">
        <is>
          <t>Browser Compat</t>
        </is>
      </c>
      <c r="D295" s="16" t="inlineStr">
        <is>
          <t>Compatibility</t>
        </is>
      </c>
      <c r="E295" s="16" t="inlineStr">
        <is>
          <t>Smoke test on Edge</t>
        </is>
      </c>
      <c r="F295" s="16" t="inlineStr">
        <is>
          <t>Edge latest.</t>
        </is>
      </c>
      <c r="G295" s="16" t="inlineStr">
        <is>
          <t>1. Run smoke flow.</t>
        </is>
      </c>
      <c r="H295" s="16" t="inlineStr">
        <is>
          <t>—</t>
        </is>
      </c>
      <c r="I295" s="16" t="inlineStr">
        <is>
          <t>All features work.</t>
        </is>
      </c>
      <c r="J295" s="16" t="inlineStr"/>
      <c r="K295" s="16" t="inlineStr">
        <is>
          <t>Not Run</t>
        </is>
      </c>
      <c r="L295" s="16" t="inlineStr">
        <is>
          <t>High</t>
        </is>
      </c>
      <c r="M295" s="16" t="inlineStr"/>
      <c r="N295" s="16" t="inlineStr"/>
      <c r="O295" s="16" t="inlineStr"/>
    </row>
    <row r="296" ht="78" customHeight="1">
      <c r="A296" s="16" t="inlineStr">
        <is>
          <t>TC-WB-010</t>
        </is>
      </c>
      <c r="B296" s="16" t="inlineStr">
        <is>
          <t>Web-Specific (Browser)</t>
        </is>
      </c>
      <c r="C296" s="16" t="inlineStr">
        <is>
          <t>Privacy Mode</t>
        </is>
      </c>
      <c r="D296" s="16" t="inlineStr">
        <is>
          <t>Compatibility</t>
        </is>
      </c>
      <c r="E296" s="16" t="inlineStr">
        <is>
          <t>Incognito / Private mode</t>
        </is>
      </c>
      <c r="F296" s="16" t="inlineStr">
        <is>
          <t>Open app in private window.</t>
        </is>
      </c>
      <c r="G296" s="16" t="inlineStr">
        <is>
          <t>1. Create workspace.
2. Send a request.
3. Close window.</t>
        </is>
      </c>
      <c r="H296" s="16" t="inlineStr">
        <is>
          <t>—</t>
        </is>
      </c>
      <c r="I296" s="16" t="inlineStr">
        <is>
          <t>Works for the session; data clears on window close; user is informed if relevant.</t>
        </is>
      </c>
      <c r="J296" s="16" t="inlineStr"/>
      <c r="K296" s="16" t="inlineStr">
        <is>
          <t>Not Run</t>
        </is>
      </c>
      <c r="L296" s="16" t="inlineStr">
        <is>
          <t>Medium</t>
        </is>
      </c>
      <c r="M296" s="16" t="inlineStr"/>
      <c r="N296" s="16" t="inlineStr"/>
      <c r="O296" s="16" t="inlineStr"/>
    </row>
    <row r="297" ht="78" customHeight="1">
      <c r="A297" s="16" t="inlineStr">
        <is>
          <t>TC-WB-011</t>
        </is>
      </c>
      <c r="B297" s="16" t="inlineStr">
        <is>
          <t>Web-Specific (Browser)</t>
        </is>
      </c>
      <c r="C297" s="16" t="inlineStr">
        <is>
          <t>Quota</t>
        </is>
      </c>
      <c r="D297" s="16" t="inlineStr">
        <is>
          <t>Edge Case</t>
        </is>
      </c>
      <c r="E297" s="16" t="inlineStr">
        <is>
          <t>IndexedDB quota exceeded</t>
        </is>
      </c>
      <c r="F297" s="16" t="inlineStr">
        <is>
          <t>Fill IndexedDB near limit.</t>
        </is>
      </c>
      <c r="G297" s="16" t="inlineStr">
        <is>
          <t>1. Try saving a large attachment.</t>
        </is>
      </c>
      <c r="H297" s="16" t="inlineStr">
        <is>
          <t>—</t>
        </is>
      </c>
      <c r="I297" s="16" t="inlineStr">
        <is>
          <t>QuotaExceededError handled with clear toast; user is offered to clear history/attachments.</t>
        </is>
      </c>
      <c r="J297" s="16" t="inlineStr"/>
      <c r="K297" s="16" t="inlineStr">
        <is>
          <t>Not Run</t>
        </is>
      </c>
      <c r="L297" s="16" t="inlineStr">
        <is>
          <t>High</t>
        </is>
      </c>
      <c r="M297" s="16" t="inlineStr"/>
      <c r="N297" s="16" t="inlineStr"/>
      <c r="O297" s="16" t="inlineStr"/>
    </row>
    <row r="298" ht="78" customHeight="1">
      <c r="A298" s="16" t="inlineStr">
        <is>
          <t>TC-WB-012</t>
        </is>
      </c>
      <c r="B298" s="16" t="inlineStr">
        <is>
          <t>Web-Specific (Browser)</t>
        </is>
      </c>
      <c r="C298" s="16" t="inlineStr">
        <is>
          <t>Service Worker</t>
        </is>
      </c>
      <c r="D298" s="16" t="inlineStr">
        <is>
          <t>Functional</t>
        </is>
      </c>
      <c r="E298" s="16" t="inlineStr">
        <is>
          <t>Service worker (if registered) doesn't break OAuth callback</t>
        </is>
      </c>
      <c r="F298" s="16" t="inlineStr">
        <is>
          <t>—</t>
        </is>
      </c>
      <c r="G298" s="16" t="inlineStr">
        <is>
          <t>1. Run OAuth flow.</t>
        </is>
      </c>
      <c r="H298" s="16" t="inlineStr">
        <is>
          <t>—</t>
        </is>
      </c>
      <c r="I298" s="16" t="inlineStr">
        <is>
          <t>Service worker passes through /oauth-callback.html without caching auth params.</t>
        </is>
      </c>
      <c r="J298" s="16" t="inlineStr"/>
      <c r="K298" s="16" t="inlineStr">
        <is>
          <t>Not Run</t>
        </is>
      </c>
      <c r="L298" s="16" t="inlineStr">
        <is>
          <t>Medium</t>
        </is>
      </c>
      <c r="M298" s="16" t="inlineStr"/>
      <c r="N298" s="16" t="inlineStr"/>
      <c r="O298" s="16" t="inlineStr"/>
    </row>
    <row r="299" ht="78" customHeight="1">
      <c r="A299" s="16" t="inlineStr">
        <is>
          <t>TC-WB-013</t>
        </is>
      </c>
      <c r="B299" s="16" t="inlineStr">
        <is>
          <t>Web-Specific (Browser)</t>
        </is>
      </c>
      <c r="C299" s="16" t="inlineStr">
        <is>
          <t>Mixed Content</t>
        </is>
      </c>
      <c r="D299" s="16" t="inlineStr">
        <is>
          <t>Security</t>
        </is>
      </c>
      <c r="E299" s="16" t="inlineStr">
        <is>
          <t>HTTPS app refuses to send http://localhost in some browsers</t>
        </is>
      </c>
      <c r="F299" s="16" t="inlineStr">
        <is>
          <t>App on https://....</t>
        </is>
      </c>
      <c r="G299" s="16" t="inlineStr">
        <is>
          <t>1. URL: http://localhost:3000/x.
2. Send.</t>
        </is>
      </c>
      <c r="H299" s="16" t="inlineStr">
        <is>
          <t>—</t>
        </is>
      </c>
      <c r="I299" s="16" t="inlineStr">
        <is>
          <t>Modern browsers allow http://localhost as a secure context exception; otherwise clear error.</t>
        </is>
      </c>
      <c r="J299" s="16" t="inlineStr"/>
      <c r="K299" s="16" t="inlineStr">
        <is>
          <t>Not Run</t>
        </is>
      </c>
      <c r="L299" s="16" t="inlineStr">
        <is>
          <t>Medium</t>
        </is>
      </c>
      <c r="M299" s="16" t="inlineStr"/>
      <c r="N299" s="16" t="inlineStr"/>
      <c r="O299" s="16" t="inlineStr"/>
    </row>
    <row r="300" ht="78" customHeight="1">
      <c r="A300" s="16" t="inlineStr">
        <is>
          <t>TC-WB-014</t>
        </is>
      </c>
      <c r="B300" s="16" t="inlineStr">
        <is>
          <t>Web-Specific (Browser)</t>
        </is>
      </c>
      <c r="C300" s="16" t="inlineStr">
        <is>
          <t>Browser Back</t>
        </is>
      </c>
      <c r="D300" s="16" t="inlineStr">
        <is>
          <t>Edge Case</t>
        </is>
      </c>
      <c r="E300" s="16" t="inlineStr">
        <is>
          <t>Back button after deep navigation</t>
        </is>
      </c>
      <c r="F300" s="16" t="inlineStr">
        <is>
          <t>Navigated through panels.</t>
        </is>
      </c>
      <c r="G300" s="16" t="inlineStr">
        <is>
          <t>1. Press browser Back.</t>
        </is>
      </c>
      <c r="H300" s="16" t="inlineStr">
        <is>
          <t>—</t>
        </is>
      </c>
      <c r="I300" s="16" t="inlineStr">
        <is>
          <t>Either in-app back (panel history) or browser leaves the app with beforeunload prompt if unsaved.</t>
        </is>
      </c>
      <c r="J300" s="16" t="inlineStr"/>
      <c r="K300" s="16" t="inlineStr">
        <is>
          <t>Not Run</t>
        </is>
      </c>
      <c r="L300" s="16" t="inlineStr">
        <is>
          <t>Medium</t>
        </is>
      </c>
      <c r="M300" s="16" t="inlineStr"/>
      <c r="N300" s="16" t="inlineStr"/>
      <c r="O300" s="16" t="inlineStr"/>
    </row>
    <row r="301" ht="78" customHeight="1">
      <c r="A301" s="16" t="inlineStr">
        <is>
          <t>TC-WB-015</t>
        </is>
      </c>
      <c r="B301" s="16" t="inlineStr">
        <is>
          <t>Web-Specific (Browser)</t>
        </is>
      </c>
      <c r="C301" s="16" t="inlineStr">
        <is>
          <t>Bookmark</t>
        </is>
      </c>
      <c r="D301" s="16" t="inlineStr">
        <is>
          <t>Functional</t>
        </is>
      </c>
      <c r="E301" s="16" t="inlineStr">
        <is>
          <t>Bookmark URL re-opens same view</t>
        </is>
      </c>
      <c r="F301" s="16" t="inlineStr">
        <is>
          <t>User on Editor panel.</t>
        </is>
      </c>
      <c r="G301" s="16" t="inlineStr">
        <is>
          <t>1. Bookmark URL.
2. Open bookmark fresh.</t>
        </is>
      </c>
      <c r="H301" s="16" t="inlineStr">
        <is>
          <t>—</t>
        </is>
      </c>
      <c r="I301" s="16" t="inlineStr">
        <is>
          <t>Same view opens (panel state respected if reflected in URL); fallback graceful.</t>
        </is>
      </c>
      <c r="J301" s="16" t="inlineStr"/>
      <c r="K301" s="16" t="inlineStr">
        <is>
          <t>Not Run</t>
        </is>
      </c>
      <c r="L301" s="16" t="inlineStr">
        <is>
          <t>Low</t>
        </is>
      </c>
      <c r="M301" s="16" t="inlineStr"/>
      <c r="N301" s="16" t="inlineStr"/>
      <c r="O301" s="16" t="inlineStr"/>
    </row>
    <row r="302" ht="78" customHeight="1">
      <c r="A302" s="16" t="inlineStr">
        <is>
          <t>TC-WB-016</t>
        </is>
      </c>
      <c r="B302" s="16" t="inlineStr">
        <is>
          <t>Web-Specific (Browser)</t>
        </is>
      </c>
      <c r="C302" s="16" t="inlineStr">
        <is>
          <t>DevTools</t>
        </is>
      </c>
      <c r="D302" s="16" t="inlineStr">
        <is>
          <t>Compatibility</t>
        </is>
      </c>
      <c r="E302" s="16" t="inlineStr">
        <is>
          <t>DevTools open does not break app</t>
        </is>
      </c>
      <c r="F302" s="16" t="inlineStr">
        <is>
          <t>—</t>
        </is>
      </c>
      <c r="G302" s="16" t="inlineStr">
        <is>
          <t>1. F12.</t>
        </is>
      </c>
      <c r="H302" s="16" t="inlineStr">
        <is>
          <t>—</t>
        </is>
      </c>
      <c r="I302" s="16" t="inlineStr">
        <is>
          <t>DevTools opens; no exceptions; performance hit acceptable.</t>
        </is>
      </c>
      <c r="J302" s="16" t="inlineStr"/>
      <c r="K302" s="16" t="inlineStr">
        <is>
          <t>Not Run</t>
        </is>
      </c>
      <c r="L302" s="16" t="inlineStr">
        <is>
          <t>Low</t>
        </is>
      </c>
      <c r="M302" s="16" t="inlineStr"/>
      <c r="N302" s="16" t="inlineStr"/>
      <c r="O302" s="16" t="inlineStr"/>
    </row>
    <row r="303" ht="78" customHeight="1">
      <c r="A303" s="16" t="inlineStr">
        <is>
          <t>TC-WB-017</t>
        </is>
      </c>
      <c r="B303" s="16" t="inlineStr">
        <is>
          <t>Web-Specific (Browser)</t>
        </is>
      </c>
      <c r="C303" s="16" t="inlineStr">
        <is>
          <t>Clipboard</t>
        </is>
      </c>
      <c r="D303" s="16" t="inlineStr">
        <is>
          <t>Functional</t>
        </is>
      </c>
      <c r="E303" s="16" t="inlineStr">
        <is>
          <t>Clipboard read/write (Copy as cURL)</t>
        </is>
      </c>
      <c r="F303" s="16" t="inlineStr">
        <is>
          <t>HTTPS context.</t>
        </is>
      </c>
      <c r="G303" s="16" t="inlineStr">
        <is>
          <t>1. Click Copy as cURL.</t>
        </is>
      </c>
      <c r="H303" s="16" t="inlineStr">
        <is>
          <t>—</t>
        </is>
      </c>
      <c r="I303" s="16" t="inlineStr">
        <is>
          <t>navigator.clipboard.writeText succeeds; toast confirms.</t>
        </is>
      </c>
      <c r="J303" s="16" t="inlineStr"/>
      <c r="K303" s="16" t="inlineStr">
        <is>
          <t>Not Run</t>
        </is>
      </c>
      <c r="L303" s="16" t="inlineStr">
        <is>
          <t>Medium</t>
        </is>
      </c>
      <c r="M303" s="16" t="inlineStr"/>
      <c r="N303" s="16" t="inlineStr"/>
      <c r="O303" s="16" t="inlineStr"/>
    </row>
    <row r="304" ht="78" customHeight="1">
      <c r="A304" s="16" t="inlineStr">
        <is>
          <t>TC-WB-018</t>
        </is>
      </c>
      <c r="B304" s="16" t="inlineStr">
        <is>
          <t>Web-Specific (Browser)</t>
        </is>
      </c>
      <c r="C304" s="16" t="inlineStr">
        <is>
          <t>Clipboard</t>
        </is>
      </c>
      <c r="D304" s="16" t="inlineStr">
        <is>
          <t>Negative</t>
        </is>
      </c>
      <c r="E304" s="16" t="inlineStr">
        <is>
          <t>Clipboard denied in non-secure context</t>
        </is>
      </c>
      <c r="F304" s="16" t="inlineStr">
        <is>
          <t>HTTP context (rare).</t>
        </is>
      </c>
      <c r="G304" s="16" t="inlineStr">
        <is>
          <t>1. Click Copy as cURL.</t>
        </is>
      </c>
      <c r="H304" s="16" t="inlineStr">
        <is>
          <t>—</t>
        </is>
      </c>
      <c r="I304" s="16" t="inlineStr">
        <is>
          <t>Falls back to manual select-and-copy with a clear message.</t>
        </is>
      </c>
      <c r="J304" s="16" t="inlineStr"/>
      <c r="K304" s="16" t="inlineStr">
        <is>
          <t>Not Run</t>
        </is>
      </c>
      <c r="L304" s="16" t="inlineStr">
        <is>
          <t>Low</t>
        </is>
      </c>
      <c r="M304" s="16" t="inlineStr"/>
      <c r="N304" s="16" t="inlineStr"/>
      <c r="O304" s="16" t="inlineStr"/>
    </row>
    <row r="305" ht="78" customHeight="1">
      <c r="A305" s="16" t="inlineStr">
        <is>
          <t>TC-WB-019</t>
        </is>
      </c>
      <c r="B305" s="16" t="inlineStr">
        <is>
          <t>Web-Specific (Browser)</t>
        </is>
      </c>
      <c r="C305" s="16" t="inlineStr">
        <is>
          <t>Popup</t>
        </is>
      </c>
      <c r="D305" s="16" t="inlineStr">
        <is>
          <t>Negative</t>
        </is>
      </c>
      <c r="E305" s="16" t="inlineStr">
        <is>
          <t>OAuth popup blocked</t>
        </is>
      </c>
      <c r="F305" s="16" t="inlineStr">
        <is>
          <t>Popup blocker on.</t>
        </is>
      </c>
      <c r="G305" s="16" t="inlineStr">
        <is>
          <t>1. Click Get token.</t>
        </is>
      </c>
      <c r="H305" s="16" t="inlineStr">
        <is>
          <t>—</t>
        </is>
      </c>
      <c r="I305" s="16" t="inlineStr">
        <is>
          <t>Clear error 'Popup blocked'; instructions to allow popups for this site.</t>
        </is>
      </c>
      <c r="J305" s="16" t="inlineStr"/>
      <c r="K305" s="16" t="inlineStr">
        <is>
          <t>Not Run</t>
        </is>
      </c>
      <c r="L305" s="16" t="inlineStr">
        <is>
          <t>High</t>
        </is>
      </c>
      <c r="M305" s="16" t="inlineStr"/>
      <c r="N305" s="16" t="inlineStr"/>
      <c r="O305" s="16" t="inlineStr"/>
    </row>
    <row r="306" ht="78" customHeight="1">
      <c r="A306" s="16" t="inlineStr">
        <is>
          <t>TC-WB-020</t>
        </is>
      </c>
      <c r="B306" s="16" t="inlineStr">
        <is>
          <t>Web-Specific (Browser)</t>
        </is>
      </c>
      <c r="C306" s="16" t="inlineStr">
        <is>
          <t>Third-Party Cookies</t>
        </is>
      </c>
      <c r="D306" s="16" t="inlineStr">
        <is>
          <t>Compatibility</t>
        </is>
      </c>
      <c r="E306" s="16" t="inlineStr">
        <is>
          <t>Strict third-party cookie blocking</t>
        </is>
      </c>
      <c r="F306" s="16" t="inlineStr">
        <is>
          <t>Browser strict mode.</t>
        </is>
      </c>
      <c r="G306" s="16" t="inlineStr">
        <is>
          <t>1. Send to endpoint that sets cross-origin cookie.</t>
        </is>
      </c>
      <c r="H306" s="16" t="inlineStr">
        <is>
          <t>—</t>
        </is>
      </c>
      <c r="I306" s="16" t="inlineStr">
        <is>
          <t>Cookie may not be stored due to browser policy; app does not break; user can switch to desktop.</t>
        </is>
      </c>
      <c r="J306" s="16" t="inlineStr"/>
      <c r="K306" s="16" t="inlineStr">
        <is>
          <t>Not Run</t>
        </is>
      </c>
      <c r="L306" s="16" t="inlineStr">
        <is>
          <t>Medium</t>
        </is>
      </c>
      <c r="M306" s="16" t="inlineStr"/>
      <c r="N306" s="16" t="inlineStr"/>
      <c r="O306" s="16" t="inlineStr"/>
    </row>
    <row r="307" ht="78" customHeight="1">
      <c r="A307" s="16" t="inlineStr">
        <is>
          <t>TC-WB-021</t>
        </is>
      </c>
      <c r="B307" s="16" t="inlineStr">
        <is>
          <t>Web-Specific (Browser)</t>
        </is>
      </c>
      <c r="C307" s="16" t="inlineStr">
        <is>
          <t>Storage Events</t>
        </is>
      </c>
      <c r="D307" s="16" t="inlineStr">
        <is>
          <t>Edge Case</t>
        </is>
      </c>
      <c r="E307" s="16" t="inlineStr">
        <is>
          <t>localStorage change does not leak auth across tabs</t>
        </is>
      </c>
      <c r="F307" s="16" t="inlineStr">
        <is>
          <t>—</t>
        </is>
      </c>
      <c r="G307" s="16" t="inlineStr">
        <is>
          <t>1. Trigger any localStorage write.
2. Observe other tabs.</t>
        </is>
      </c>
      <c r="H307" s="16" t="inlineStr">
        <is>
          <t>—</t>
        </is>
      </c>
      <c r="I307" s="16" t="inlineStr">
        <is>
          <t>OAuth callback explicitly avoids localStorage to prevent storage-event token leakage to sibling tabs.</t>
        </is>
      </c>
      <c r="J307" s="16" t="inlineStr"/>
      <c r="K307" s="16" t="inlineStr">
        <is>
          <t>Not Run</t>
        </is>
      </c>
      <c r="L307" s="16" t="inlineStr">
        <is>
          <t>High</t>
        </is>
      </c>
      <c r="M307" s="16" t="inlineStr"/>
      <c r="N307" s="16" t="inlineStr"/>
      <c r="O307" s="16" t="inlineStr"/>
    </row>
    <row r="308" ht="78" customHeight="1">
      <c r="A308" s="16" t="inlineStr">
        <is>
          <t>TC-WB-022</t>
        </is>
      </c>
      <c r="B308" s="16" t="inlineStr">
        <is>
          <t>Web-Specific (Browser)</t>
        </is>
      </c>
      <c r="C308" s="16" t="inlineStr">
        <is>
          <t>Inactive Tab</t>
        </is>
      </c>
      <c r="D308" s="16" t="inlineStr">
        <is>
          <t>Performance</t>
        </is>
      </c>
      <c r="E308" s="16" t="inlineStr">
        <is>
          <t>Inactive tab throttled by browser</t>
        </is>
      </c>
      <c r="F308" s="16" t="inlineStr">
        <is>
          <t>Long-running request in background tab.</t>
        </is>
      </c>
      <c r="G308" s="16" t="inlineStr">
        <is>
          <t>1. Switch away.</t>
        </is>
      </c>
      <c r="H308" s="16" t="inlineStr">
        <is>
          <t>—</t>
        </is>
      </c>
      <c r="I308" s="16" t="inlineStr">
        <is>
          <t>Request completes when tab regains focus or via browser-permitted background timers; UI updates correctly on return.</t>
        </is>
      </c>
      <c r="J308" s="16" t="inlineStr"/>
      <c r="K308" s="16" t="inlineStr">
        <is>
          <t>Not Run</t>
        </is>
      </c>
      <c r="L308" s="16" t="inlineStr">
        <is>
          <t>Low</t>
        </is>
      </c>
      <c r="M308" s="16" t="inlineStr"/>
      <c r="N308" s="16" t="inlineStr"/>
      <c r="O308" s="16" t="inlineStr"/>
    </row>
    <row r="309" ht="78" customHeight="1">
      <c r="A309" s="16" t="inlineStr">
        <is>
          <t>TC-WB-023</t>
        </is>
      </c>
      <c r="B309" s="16" t="inlineStr">
        <is>
          <t>Web-Specific (Browser)</t>
        </is>
      </c>
      <c r="C309" s="16" t="inlineStr">
        <is>
          <t>Geolocation/Notifications</t>
        </is>
      </c>
      <c r="D309" s="16" t="inlineStr">
        <is>
          <t>Compatibility</t>
        </is>
      </c>
      <c r="E309" s="16" t="inlineStr">
        <is>
          <t>App does not unnecessarily request OS permissions</t>
        </is>
      </c>
      <c r="F309" s="16" t="inlineStr">
        <is>
          <t>—</t>
        </is>
      </c>
      <c r="G309" s="16" t="inlineStr">
        <is>
          <t>1. Open app first time.</t>
        </is>
      </c>
      <c r="H309" s="16" t="inlineStr">
        <is>
          <t>—</t>
        </is>
      </c>
      <c r="I309" s="16" t="inlineStr">
        <is>
          <t>No notification/geolocation/microphone permission prompt unless feature explicitly requires.</t>
        </is>
      </c>
      <c r="J309" s="16" t="inlineStr"/>
      <c r="K309" s="16" t="inlineStr">
        <is>
          <t>Not Run</t>
        </is>
      </c>
      <c r="L309" s="16" t="inlineStr">
        <is>
          <t>Low</t>
        </is>
      </c>
      <c r="M309" s="16" t="inlineStr"/>
      <c r="N309" s="16" t="inlineStr"/>
      <c r="O309" s="16" t="inlineStr"/>
    </row>
    <row r="310" ht="78" customHeight="1">
      <c r="A310" s="16" t="inlineStr">
        <is>
          <t>TC-WB-024</t>
        </is>
      </c>
      <c r="B310" s="16" t="inlineStr">
        <is>
          <t>Web-Specific (Browser)</t>
        </is>
      </c>
      <c r="C310" s="16" t="inlineStr">
        <is>
          <t>PWA</t>
        </is>
      </c>
      <c r="D310" s="16" t="inlineStr">
        <is>
          <t>Compatibility</t>
        </is>
      </c>
      <c r="E310" s="16" t="inlineStr">
        <is>
          <t>Install as PWA (if supported)</t>
        </is>
      </c>
      <c r="F310" s="16" t="inlineStr">
        <is>
          <t>Chrome/Edge.</t>
        </is>
      </c>
      <c r="G310" s="16" t="inlineStr">
        <is>
          <t>1. Use 'Install app' if offered.</t>
        </is>
      </c>
      <c r="H310" s="16" t="inlineStr">
        <is>
          <t>—</t>
        </is>
      </c>
      <c r="I310" s="16" t="inlineStr">
        <is>
          <t>Installs as PWA; standalone window works equivalently to in-browser.</t>
        </is>
      </c>
      <c r="J310" s="16" t="inlineStr"/>
      <c r="K310" s="16" t="inlineStr">
        <is>
          <t>Not Run</t>
        </is>
      </c>
      <c r="L310" s="16" t="inlineStr">
        <is>
          <t>Low</t>
        </is>
      </c>
      <c r="M310" s="16" t="inlineStr"/>
      <c r="N310" s="16" t="inlineStr"/>
      <c r="O310" s="16" t="inlineStr"/>
    </row>
    <row r="311" ht="78" customHeight="1">
      <c r="A311" s="16" t="inlineStr">
        <is>
          <t>TC-WB-025</t>
        </is>
      </c>
      <c r="B311" s="16" t="inlineStr">
        <is>
          <t>Web-Specific (Browser)</t>
        </is>
      </c>
      <c r="C311" s="16" t="inlineStr">
        <is>
          <t>URL Scheme</t>
        </is>
      </c>
      <c r="D311" s="16" t="inlineStr">
        <is>
          <t>Security</t>
        </is>
      </c>
      <c r="E311" s="16" t="inlineStr">
        <is>
          <t>Browser blocks dangerous URL schemes</t>
        </is>
      </c>
      <c r="F311" s="16" t="inlineStr">
        <is>
          <t>—</t>
        </is>
      </c>
      <c r="G311" s="16" t="inlineStr">
        <is>
          <t>1. URL: 'data:text/html,&lt;script&gt;'.</t>
        </is>
      </c>
      <c r="H311" s="16" t="inlineStr">
        <is>
          <t>—</t>
        </is>
      </c>
      <c r="I311" s="16" t="inlineStr">
        <is>
          <t>Either explicitly blocked or browser refuses to load via fetch; no XSS in app.</t>
        </is>
      </c>
      <c r="J311" s="16" t="inlineStr"/>
      <c r="K311" s="16" t="inlineStr">
        <is>
          <t>Not Run</t>
        </is>
      </c>
      <c r="L311" s="16" t="inlineStr">
        <is>
          <t>Medium</t>
        </is>
      </c>
      <c r="M311" s="16" t="inlineStr"/>
      <c r="N311" s="16" t="inlineStr"/>
      <c r="O311" s="16" t="inlineStr"/>
    </row>
    <row r="312" ht="78" customHeight="1">
      <c r="A312" s="16" t="inlineStr">
        <is>
          <t>TC-WB-026</t>
        </is>
      </c>
      <c r="B312" s="16" t="inlineStr">
        <is>
          <t>Web-Specific (Browser)</t>
        </is>
      </c>
      <c r="C312" s="16" t="inlineStr">
        <is>
          <t>CORS Tunnel</t>
        </is>
      </c>
      <c r="D312" s="16" t="inlineStr">
        <is>
          <t>Functional</t>
        </is>
      </c>
      <c r="E312" s="16" t="inlineStr">
        <is>
          <t>Vite dev proxy works (/_mock and /_gh-oauth)</t>
        </is>
      </c>
      <c r="F312" s="16" t="inlineStr">
        <is>
          <t>Dev build.</t>
        </is>
      </c>
      <c r="G312" s="16" t="inlineStr">
        <is>
          <t>1. Use mocks proxied path.</t>
        </is>
      </c>
      <c r="H312" s="16" t="inlineStr">
        <is>
          <t>—</t>
        </is>
      </c>
      <c r="I312" s="16" t="inlineStr">
        <is>
          <t>Proxy forwards correctly; cookies preserved for GH OAuth.</t>
        </is>
      </c>
      <c r="J312" s="16" t="inlineStr"/>
      <c r="K312" s="16" t="inlineStr">
        <is>
          <t>Not Run</t>
        </is>
      </c>
      <c r="L312" s="16" t="inlineStr">
        <is>
          <t>Low</t>
        </is>
      </c>
      <c r="M312" s="16" t="inlineStr"/>
      <c r="N312" s="16" t="inlineStr"/>
      <c r="O312" s="16" t="inlineStr"/>
    </row>
    <row r="313" ht="78" customHeight="1">
      <c r="A313" s="16" t="inlineStr">
        <is>
          <t>TC-WB-027</t>
        </is>
      </c>
      <c r="B313" s="16" t="inlineStr">
        <is>
          <t>Web-Specific (Browser)</t>
        </is>
      </c>
      <c r="C313" s="16" t="inlineStr">
        <is>
          <t>Visibility</t>
        </is>
      </c>
      <c r="D313" s="16" t="inlineStr">
        <is>
          <t>Edge Case</t>
        </is>
      </c>
      <c r="E313" s="16" t="inlineStr">
        <is>
          <t>Tab hidden during OAuth callback popup</t>
        </is>
      </c>
      <c r="F313" s="16" t="inlineStr">
        <is>
          <t>Main tab in background.</t>
        </is>
      </c>
      <c r="G313" s="16" t="inlineStr">
        <is>
          <t>1. Approve popup.</t>
        </is>
      </c>
      <c r="H313" s="16" t="inlineStr">
        <is>
          <t>—</t>
        </is>
      </c>
      <c r="I313" s="16" t="inlineStr">
        <is>
          <t>BroadcastChannel delivers regardless of visibility; main tab updates upon focus.</t>
        </is>
      </c>
      <c r="J313" s="16" t="inlineStr"/>
      <c r="K313" s="16" t="inlineStr">
        <is>
          <t>Not Run</t>
        </is>
      </c>
      <c r="L313" s="16" t="inlineStr">
        <is>
          <t>Medium</t>
        </is>
      </c>
      <c r="M313" s="16" t="inlineStr"/>
      <c r="N313" s="16" t="inlineStr"/>
      <c r="O313" s="16" t="inlineStr"/>
    </row>
  </sheetData>
  <autoFilter ref="A1:O313"/>
  <conditionalFormatting sqref="K2:K3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  <cfRule type="cellIs" priority="5" operator="equal" dxfId="4">
      <formula>"Skipped"</formula>
    </cfRule>
  </conditionalFormatting>
  <conditionalFormatting sqref="L2:L313">
    <cfRule type="cellIs" priority="6" operator="equal" dxfId="5">
      <formula>"High"</formula>
    </cfRule>
    <cfRule type="cellIs" priority="7" operator="equal" dxfId="6">
      <formula>"Medium"</formula>
    </cfRule>
    <cfRule type="cellIs" priority="8" operator="equal" dxfId="7">
      <formula>"Low"</formula>
    </cfRule>
  </conditionalFormatting>
  <dataValidations count="3">
    <dataValidation sqref="K2:K313" showDropDown="0" showInputMessage="0" showErrorMessage="0" allowBlank="1" errorTitle="Invalid status" error="Choose one of: Pass, Fail, Blocked, Skipped, Not Run" type="list">
      <formula1>"Pass,Fail,Blocked,Skipped,Not Run"</formula1>
    </dataValidation>
    <dataValidation sqref="L2:L313" showDropDown="0" showInputMessage="0" showErrorMessage="0" allowBlank="1" type="list">
      <formula1>"High,Medium,Low"</formula1>
    </dataValidation>
    <dataValidation sqref="D2:D313" showDropDown="0" showInputMessage="0" showErrorMessage="0" allowBlank="1" type="list">
      <formula1>"Functional,Negative,Edge Case,Security,A11y,Performance,Compatibility,UX/UI,Regression"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2026-05-13T21:36:08Z</dcterms:created>
  <dcterms:modified xsi:type="dcterms:W3CDTF">2026-05-13T21:36:08Z</dcterms:modified>
</cp:coreProperties>
</file>